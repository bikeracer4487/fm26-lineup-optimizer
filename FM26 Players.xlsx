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3520" tabRatio="600" firstSheet="0" activeTab="4" autoFilterDateGrouping="1"/>
  </bookViews>
  <sheets>
    <sheet name="Paste" sheetId="1" state="visible" r:id="rId1"/>
    <sheet name="Paste Full" sheetId="2" state="visible" r:id="rId2"/>
    <sheet name="Display" sheetId="3" state="visible" r:id="rId3"/>
    <sheet name="Attributes" sheetId="4" state="visible" r:id="rId4"/>
    <sheet name="Planner" sheetId="5" state="visible" r:id="rId5"/>
    <sheet name="AttWeights" sheetId="6" state="visible" r:id="rId6"/>
    <sheet name="Player Training" sheetId="7" state="visible" r:id="rId7"/>
  </sheets>
  <definedNames>
    <definedName name="_xlnm._FilterDatabase" localSheetId="2" hidden="1">'Display'!$A$1:$BM$100</definedName>
    <definedName name="_xlnm._FilterDatabase" localSheetId="4" hidden="1">'Planner'!$A$1:$P$75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164" fontId="1" fillId="0" borderId="1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164" fontId="0" fillId="0" borderId="6" applyAlignment="1" pivotButton="0" quotePrefix="0" xfId="0">
      <alignment horizontal="center"/>
    </xf>
    <xf numFmtId="0" fontId="3" fillId="0" borderId="5" pivotButton="0" quotePrefix="0" xfId="0"/>
    <xf numFmtId="0" fontId="3" fillId="0" borderId="7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0" fontId="3" fillId="0" borderId="10" applyAlignment="1" pivotButton="0" quotePrefix="0" xfId="0">
      <alignment horizontal="left"/>
    </xf>
    <xf numFmtId="0" fontId="3" fillId="0" borderId="10" pivotButton="0" quotePrefix="0" xfId="0"/>
    <xf numFmtId="0" fontId="3" fillId="0" borderId="9" pivotButton="0" quotePrefix="0" xfId="0"/>
    <xf numFmtId="0" fontId="1" fillId="0" borderId="11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0" fillId="6" borderId="2" applyAlignment="1" pivotButton="0" quotePrefix="0" xfId="0">
      <alignment horizontal="left"/>
    </xf>
    <xf numFmtId="0" fontId="0" fillId="6" borderId="15" applyAlignment="1" pivotButton="0" quotePrefix="0" xfId="0">
      <alignment horizontal="left"/>
    </xf>
    <xf numFmtId="0" fontId="0" fillId="6" borderId="16" applyAlignment="1" pivotButton="0" quotePrefix="0" xfId="0">
      <alignment horizontal="left"/>
    </xf>
    <xf numFmtId="1" fontId="0" fillId="0" borderId="0" pivotButton="0" quotePrefix="0" xfId="0"/>
    <xf numFmtId="164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" fillId="0" borderId="1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4">
    <dxf>
      <font>
        <strike val="0"/>
      </font>
      <fill>
        <patternFill>
          <bgColor theme="9" tint="0.7999816888943144"/>
        </patternFill>
      </fill>
    </dxf>
    <dxf>
      <fill>
        <patternFill>
          <bgColor auto="1"/>
        </patternFill>
      </fill>
    </dxf>
    <dxf>
      <fill>
        <patternFill>
          <bgColor theme="3" tint="0.8999603259376812"/>
        </patternFill>
      </fill>
    </dxf>
    <dxf>
      <font>
        <strike val="0"/>
      </font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39"/>
  <sheetViews>
    <sheetView workbookViewId="0">
      <selection activeCell="B45" sqref="B45"/>
    </sheetView>
  </sheetViews>
  <sheetFormatPr baseColWidth="8" defaultColWidth="8.7109375" defaultRowHeight="15"/>
  <cols>
    <col width="19" bestFit="1" customWidth="1" style="46" min="2" max="2"/>
  </cols>
  <sheetData>
    <row r="1" customFormat="1" s="1">
      <c r="A1" s="1" t="inlineStr">
        <is>
          <t>Inf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CA</t>
        </is>
      </c>
      <c r="E1" s="1" t="inlineStr">
        <is>
          <t>PA</t>
        </is>
      </c>
      <c r="F1" s="1" t="inlineStr">
        <is>
          <t>Nationalities</t>
        </is>
      </c>
      <c r="G1" s="1" t="inlineStr">
        <is>
          <t>Club</t>
        </is>
      </c>
      <c r="H1" s="1" t="inlineStr">
        <is>
          <t>Asking Price</t>
        </is>
      </c>
      <c r="I1" s="1" t="inlineStr">
        <is>
          <t>Positions</t>
        </is>
      </c>
      <c r="J1" s="1" t="inlineStr">
        <is>
          <t>Actual Rating</t>
        </is>
      </c>
      <c r="K1" s="1" t="inlineStr">
        <is>
          <t>Potential Rating</t>
        </is>
      </c>
      <c r="L1" s="1" t="inlineStr">
        <is>
          <t>Striker</t>
        </is>
      </c>
      <c r="M1" s="1" t="inlineStr">
        <is>
          <t>AM(L)</t>
        </is>
      </c>
      <c r="N1" s="1" t="inlineStr">
        <is>
          <t>AM(C)</t>
        </is>
      </c>
      <c r="O1" s="1" t="inlineStr">
        <is>
          <t>AM(R)</t>
        </is>
      </c>
      <c r="P1" s="1" t="inlineStr">
        <is>
          <t>DM</t>
        </is>
      </c>
      <c r="Q1" s="1" t="inlineStr">
        <is>
          <t>D(L)</t>
        </is>
      </c>
      <c r="R1" s="1" t="inlineStr">
        <is>
          <t>D(C)</t>
        </is>
      </c>
      <c r="S1" s="1" t="inlineStr">
        <is>
          <t>D(R)</t>
        </is>
      </c>
      <c r="T1" s="1" t="inlineStr">
        <is>
          <t>GK</t>
        </is>
      </c>
      <c r="U1" s="1" t="inlineStr">
        <is>
          <t>Accelereation</t>
        </is>
      </c>
      <c r="V1" s="1" t="inlineStr">
        <is>
          <t>Agility</t>
        </is>
      </c>
      <c r="W1" s="1" t="inlineStr">
        <is>
          <t>Balance</t>
        </is>
      </c>
      <c r="X1" s="1" t="inlineStr">
        <is>
          <t>Jumping</t>
        </is>
      </c>
      <c r="Y1" s="1" t="inlineStr">
        <is>
          <t>Left Foot</t>
        </is>
      </c>
      <c r="Z1" s="1" t="inlineStr">
        <is>
          <t>Natural Fitness</t>
        </is>
      </c>
      <c r="AA1" s="1" t="inlineStr">
        <is>
          <t>Pace</t>
        </is>
      </c>
      <c r="AB1" s="1" t="inlineStr">
        <is>
          <t>Right Foot</t>
        </is>
      </c>
      <c r="AC1" s="1" t="inlineStr">
        <is>
          <t>Stamina</t>
        </is>
      </c>
      <c r="AD1" s="1" t="inlineStr">
        <is>
          <t>Strength</t>
        </is>
      </c>
      <c r="AE1" s="1" t="inlineStr">
        <is>
          <t>Aerial Ability</t>
        </is>
      </c>
      <c r="AF1" s="1" t="inlineStr">
        <is>
          <t>Command of Area</t>
        </is>
      </c>
      <c r="AG1" s="1" t="inlineStr">
        <is>
          <t>Communication</t>
        </is>
      </c>
      <c r="AH1" s="1" t="inlineStr">
        <is>
          <t>Eccentricity</t>
        </is>
      </c>
      <c r="AI1" s="1" t="inlineStr">
        <is>
          <t>Handling</t>
        </is>
      </c>
      <c r="AJ1" s="1" t="inlineStr">
        <is>
          <t>Kicking</t>
        </is>
      </c>
      <c r="AK1" s="1" t="inlineStr">
        <is>
          <t>One on Ones</t>
        </is>
      </c>
      <c r="AL1" s="1" t="inlineStr">
        <is>
          <t>Reflexes</t>
        </is>
      </c>
      <c r="AM1" s="1" t="inlineStr">
        <is>
          <t>Rushing Out</t>
        </is>
      </c>
      <c r="AN1" s="1" t="inlineStr">
        <is>
          <t>Tendency to Punch</t>
        </is>
      </c>
      <c r="AO1" s="1" t="inlineStr">
        <is>
          <t>Throwing</t>
        </is>
      </c>
      <c r="AP1" s="1" t="inlineStr">
        <is>
          <t>Aggression</t>
        </is>
      </c>
      <c r="AQ1" s="1" t="inlineStr">
        <is>
          <t>Anticipation</t>
        </is>
      </c>
      <c r="AR1" s="1" t="inlineStr">
        <is>
          <t>Bravery</t>
        </is>
      </c>
      <c r="AS1" s="1" t="inlineStr">
        <is>
          <t>Composure</t>
        </is>
      </c>
      <c r="AT1" s="1" t="inlineStr">
        <is>
          <t>Concentration</t>
        </is>
      </c>
      <c r="AU1" s="1" t="inlineStr">
        <is>
          <t>Decisions</t>
        </is>
      </c>
      <c r="AV1" s="1" t="inlineStr">
        <is>
          <t>Determination</t>
        </is>
      </c>
      <c r="AW1" s="1" t="inlineStr">
        <is>
          <t>Flair</t>
        </is>
      </c>
      <c r="AX1" s="1" t="inlineStr">
        <is>
          <t>Leadership</t>
        </is>
      </c>
      <c r="AY1" s="1" t="inlineStr">
        <is>
          <t>Off the Ball</t>
        </is>
      </c>
      <c r="AZ1" s="1" t="inlineStr">
        <is>
          <t>Positioning</t>
        </is>
      </c>
      <c r="BA1" s="1" t="inlineStr">
        <is>
          <t>Teamwork</t>
        </is>
      </c>
      <c r="BB1" s="1" t="inlineStr">
        <is>
          <t>Vision</t>
        </is>
      </c>
      <c r="BC1" s="1" t="inlineStr">
        <is>
          <t>Workrate</t>
        </is>
      </c>
      <c r="BD1" s="1" t="inlineStr">
        <is>
          <t>Corners</t>
        </is>
      </c>
      <c r="BE1" s="1" t="inlineStr">
        <is>
          <t>Crossing</t>
        </is>
      </c>
      <c r="BF1" s="1" t="inlineStr">
        <is>
          <t>Dribbling</t>
        </is>
      </c>
      <c r="BG1" s="1" t="inlineStr">
        <is>
          <t>Finishing</t>
        </is>
      </c>
      <c r="BH1" s="1" t="inlineStr">
        <is>
          <t>First Touch</t>
        </is>
      </c>
      <c r="BI1" s="1" t="inlineStr">
        <is>
          <t>Freekicks</t>
        </is>
      </c>
      <c r="BJ1" s="1" t="inlineStr">
        <is>
          <t>Heading</t>
        </is>
      </c>
      <c r="BK1" s="1" t="inlineStr">
        <is>
          <t>Long Shots</t>
        </is>
      </c>
      <c r="BL1" s="1" t="inlineStr">
        <is>
          <t>Long Throws</t>
        </is>
      </c>
      <c r="BM1" s="1" t="inlineStr">
        <is>
          <t>Marking</t>
        </is>
      </c>
      <c r="BN1" s="1" t="inlineStr">
        <is>
          <t>Passing</t>
        </is>
      </c>
      <c r="BO1" s="1" t="inlineStr">
        <is>
          <t>Penalty Taking</t>
        </is>
      </c>
      <c r="BP1" s="1" t="inlineStr">
        <is>
          <t>Tackling</t>
        </is>
      </c>
      <c r="BQ1" s="1" t="inlineStr">
        <is>
          <t>Technique</t>
        </is>
      </c>
    </row>
    <row r="2">
      <c r="B2" t="inlineStr">
        <is>
          <t>Scot Little</t>
        </is>
      </c>
      <c r="C2" t="n">
        <v>16</v>
      </c>
      <c r="D2" t="n">
        <v>79</v>
      </c>
      <c r="E2" t="n">
        <v>163</v>
      </c>
      <c r="F2" t="inlineStr">
        <is>
          <t>Scotland,England</t>
        </is>
      </c>
      <c r="G2" t="inlineStr">
        <is>
          <t>Brixham</t>
        </is>
      </c>
      <c r="H2" t="inlineStr">
        <is>
          <t>£2,676</t>
        </is>
      </c>
      <c r="I2" t="inlineStr">
        <is>
          <t xml:space="preserve">ST </t>
        </is>
      </c>
      <c r="J2" t="n">
        <v>55.1</v>
      </c>
      <c r="K2" t="n">
        <v>81.83</v>
      </c>
      <c r="L2" t="n">
        <v>20</v>
      </c>
      <c r="M2" t="n">
        <v>15</v>
      </c>
      <c r="N2" t="n">
        <v>1</v>
      </c>
      <c r="O2" t="n">
        <v>9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11</v>
      </c>
      <c r="V2" t="n">
        <v>12</v>
      </c>
      <c r="W2" t="inlineStr">
        <is>
          <t>£13</t>
        </is>
      </c>
      <c r="X2" t="n">
        <v>5</v>
      </c>
      <c r="Y2" t="n">
        <v>20</v>
      </c>
      <c r="Z2" t="n">
        <v>13</v>
      </c>
      <c r="AA2" t="n">
        <v>12</v>
      </c>
      <c r="AB2" t="n">
        <v>13</v>
      </c>
      <c r="AC2" t="n">
        <v>10</v>
      </c>
      <c r="AD2" t="n">
        <v>2</v>
      </c>
      <c r="AE2" t="n">
        <v>1</v>
      </c>
      <c r="AF2" t="n">
        <v>1</v>
      </c>
      <c r="AG2" t="n">
        <v>3</v>
      </c>
      <c r="AH2" t="n">
        <v>3</v>
      </c>
      <c r="AI2" t="n">
        <v>2</v>
      </c>
      <c r="AJ2" t="n">
        <v>2</v>
      </c>
      <c r="AK2" t="n">
        <v>3</v>
      </c>
      <c r="AL2" t="n">
        <v>3</v>
      </c>
      <c r="AM2" t="n">
        <v>1</v>
      </c>
      <c r="AN2" t="n">
        <v>1</v>
      </c>
      <c r="AO2" t="n">
        <v>2</v>
      </c>
      <c r="AP2" t="n">
        <v>11</v>
      </c>
      <c r="AQ2" t="n">
        <v>9</v>
      </c>
      <c r="AR2" t="n">
        <v>4</v>
      </c>
      <c r="AS2" t="n">
        <v>11</v>
      </c>
      <c r="AT2" t="n">
        <v>7</v>
      </c>
      <c r="AU2" t="n">
        <v>10</v>
      </c>
      <c r="AV2" t="n">
        <v>3</v>
      </c>
      <c r="AW2" t="n">
        <v>14</v>
      </c>
      <c r="AX2" t="n">
        <v>5</v>
      </c>
      <c r="AY2" t="n">
        <v>12</v>
      </c>
      <c r="AZ2" t="n">
        <v>4</v>
      </c>
      <c r="BA2" t="n">
        <v>15</v>
      </c>
      <c r="BB2" t="n">
        <v>8</v>
      </c>
      <c r="BC2" t="n">
        <v>15</v>
      </c>
      <c r="BD2" t="n">
        <v>8</v>
      </c>
      <c r="BE2" t="n">
        <v>11</v>
      </c>
      <c r="BF2" t="n">
        <v>10</v>
      </c>
      <c r="BG2" t="n">
        <v>14</v>
      </c>
      <c r="BH2" t="n">
        <v>14</v>
      </c>
      <c r="BI2" t="n">
        <v>6</v>
      </c>
      <c r="BJ2" t="n">
        <v>7</v>
      </c>
      <c r="BK2" t="n">
        <v>7</v>
      </c>
      <c r="BL2" t="n">
        <v>2</v>
      </c>
      <c r="BM2" t="n">
        <v>2</v>
      </c>
      <c r="BN2" t="n">
        <v>9</v>
      </c>
      <c r="BO2" t="n">
        <v>8</v>
      </c>
      <c r="BP2" t="n">
        <v>1</v>
      </c>
      <c r="BQ2" t="n">
        <v>14</v>
      </c>
    </row>
    <row r="3">
      <c r="B3" t="inlineStr">
        <is>
          <t>Alan Hackney</t>
        </is>
      </c>
      <c r="C3" t="n">
        <v>16</v>
      </c>
      <c r="D3" t="n">
        <v>89</v>
      </c>
      <c r="E3" t="n">
        <v>177</v>
      </c>
      <c r="F3" t="inlineStr">
        <is>
          <t>England</t>
        </is>
      </c>
      <c r="G3" t="inlineStr">
        <is>
          <t>Brixham</t>
        </is>
      </c>
      <c r="H3" t="inlineStr">
        <is>
          <t>£12,105</t>
        </is>
      </c>
      <c r="I3" t="inlineStr">
        <is>
          <t>DM/M C</t>
        </is>
      </c>
      <c r="J3" t="n">
        <v>53.16</v>
      </c>
      <c r="K3" t="n">
        <v>78.5</v>
      </c>
      <c r="L3" t="n">
        <v>4</v>
      </c>
      <c r="M3" t="n">
        <v>1</v>
      </c>
      <c r="N3" t="n">
        <v>9</v>
      </c>
      <c r="O3" t="n">
        <v>1</v>
      </c>
      <c r="P3" t="n">
        <v>16</v>
      </c>
      <c r="Q3" t="n">
        <v>1</v>
      </c>
      <c r="R3" t="n">
        <v>1</v>
      </c>
      <c r="S3" t="n">
        <v>1</v>
      </c>
      <c r="T3" t="n">
        <v>1</v>
      </c>
      <c r="U3" t="n">
        <v>8</v>
      </c>
      <c r="V3" t="n">
        <v>9</v>
      </c>
      <c r="W3" t="inlineStr">
        <is>
          <t>£14</t>
        </is>
      </c>
      <c r="X3" t="n">
        <v>5</v>
      </c>
      <c r="Y3" t="n">
        <v>13</v>
      </c>
      <c r="Z3" t="n">
        <v>16</v>
      </c>
      <c r="AA3" t="n">
        <v>9</v>
      </c>
      <c r="AB3" t="n">
        <v>20</v>
      </c>
      <c r="AC3" t="n">
        <v>8</v>
      </c>
      <c r="AD3" t="n">
        <v>7</v>
      </c>
      <c r="AE3" t="n">
        <v>1</v>
      </c>
      <c r="AF3" t="n">
        <v>3</v>
      </c>
      <c r="AG3" t="n">
        <v>1</v>
      </c>
      <c r="AH3" t="n">
        <v>3</v>
      </c>
      <c r="AI3" t="n">
        <v>2</v>
      </c>
      <c r="AJ3" t="n">
        <v>3</v>
      </c>
      <c r="AK3" t="n">
        <v>1</v>
      </c>
      <c r="AL3" t="n">
        <v>1</v>
      </c>
      <c r="AM3" t="n">
        <v>2</v>
      </c>
      <c r="AN3" t="n">
        <v>3</v>
      </c>
      <c r="AO3" t="n">
        <v>2</v>
      </c>
      <c r="AP3" t="n">
        <v>12</v>
      </c>
      <c r="AQ3" t="n">
        <v>10</v>
      </c>
      <c r="AR3" t="n">
        <v>15</v>
      </c>
      <c r="AS3" t="n">
        <v>12</v>
      </c>
      <c r="AT3" t="n">
        <v>7</v>
      </c>
      <c r="AU3" t="n">
        <v>15</v>
      </c>
      <c r="AV3" t="n">
        <v>16</v>
      </c>
      <c r="AW3" t="n">
        <v>12</v>
      </c>
      <c r="AX3" t="n">
        <v>11</v>
      </c>
      <c r="AY3" t="n">
        <v>11</v>
      </c>
      <c r="AZ3" t="n">
        <v>6</v>
      </c>
      <c r="BA3" t="n">
        <v>10</v>
      </c>
      <c r="BB3" t="n">
        <v>12</v>
      </c>
      <c r="BC3" t="n">
        <v>13</v>
      </c>
      <c r="BD3" t="n">
        <v>8</v>
      </c>
      <c r="BE3" t="n">
        <v>11</v>
      </c>
      <c r="BF3" t="n">
        <v>8</v>
      </c>
      <c r="BG3" t="n">
        <v>10</v>
      </c>
      <c r="BH3" t="n">
        <v>14</v>
      </c>
      <c r="BI3" t="n">
        <v>11</v>
      </c>
      <c r="BJ3" t="n">
        <v>6</v>
      </c>
      <c r="BK3" t="n">
        <v>8</v>
      </c>
      <c r="BL3" t="n">
        <v>4</v>
      </c>
      <c r="BM3" t="n">
        <v>5</v>
      </c>
      <c r="BN3" t="n">
        <v>12</v>
      </c>
      <c r="BO3" t="n">
        <v>8</v>
      </c>
      <c r="BP3" t="n">
        <v>6</v>
      </c>
      <c r="BQ3" t="n">
        <v>14</v>
      </c>
    </row>
    <row r="4">
      <c r="B4" t="inlineStr">
        <is>
          <t>Marc Mitchell</t>
        </is>
      </c>
      <c r="C4" t="n">
        <v>16</v>
      </c>
      <c r="D4" t="n">
        <v>85</v>
      </c>
      <c r="E4" t="n">
        <v>158</v>
      </c>
      <c r="F4" t="inlineStr">
        <is>
          <t>Grenada,England</t>
        </is>
      </c>
      <c r="G4" t="inlineStr">
        <is>
          <t>Brixham</t>
        </is>
      </c>
      <c r="H4" t="inlineStr">
        <is>
          <t>£2,908</t>
        </is>
      </c>
      <c r="I4" t="inlineStr">
        <is>
          <t>AM LC</t>
        </is>
      </c>
      <c r="J4" t="n">
        <v>53.16</v>
      </c>
      <c r="K4" t="n">
        <v>77.37</v>
      </c>
      <c r="L4" t="n">
        <v>1</v>
      </c>
      <c r="M4" t="n">
        <v>8</v>
      </c>
      <c r="N4" t="n">
        <v>20</v>
      </c>
      <c r="O4" t="n">
        <v>8</v>
      </c>
      <c r="P4" t="n">
        <v>12</v>
      </c>
      <c r="Q4" t="n">
        <v>1</v>
      </c>
      <c r="R4" t="n">
        <v>1</v>
      </c>
      <c r="S4" t="n">
        <v>1</v>
      </c>
      <c r="T4" t="n">
        <v>1</v>
      </c>
      <c r="U4" t="n">
        <v>10</v>
      </c>
      <c r="V4" t="n">
        <v>11</v>
      </c>
      <c r="W4" t="inlineStr">
        <is>
          <t>£15</t>
        </is>
      </c>
      <c r="X4" t="n">
        <v>12</v>
      </c>
      <c r="Y4" t="n">
        <v>12</v>
      </c>
      <c r="Z4" t="n">
        <v>6</v>
      </c>
      <c r="AA4" t="n">
        <v>11</v>
      </c>
      <c r="AB4" t="n">
        <v>20</v>
      </c>
      <c r="AC4" t="n">
        <v>12</v>
      </c>
      <c r="AD4" t="n">
        <v>6</v>
      </c>
      <c r="AE4" t="n">
        <v>3</v>
      </c>
      <c r="AF4" t="n">
        <v>1</v>
      </c>
      <c r="AG4" t="n">
        <v>2</v>
      </c>
      <c r="AH4" t="n">
        <v>3</v>
      </c>
      <c r="AI4" t="n">
        <v>2</v>
      </c>
      <c r="AJ4" t="n">
        <v>2</v>
      </c>
      <c r="AK4" t="n">
        <v>2</v>
      </c>
      <c r="AL4" t="n">
        <v>1</v>
      </c>
      <c r="AM4" t="n">
        <v>1</v>
      </c>
      <c r="AN4" t="n">
        <v>2</v>
      </c>
      <c r="AO4" t="n">
        <v>3</v>
      </c>
      <c r="AP4" t="n">
        <v>7</v>
      </c>
      <c r="AQ4" t="n">
        <v>11</v>
      </c>
      <c r="AR4" t="n">
        <v>9</v>
      </c>
      <c r="AS4" t="n">
        <v>11</v>
      </c>
      <c r="AT4" t="n">
        <v>7</v>
      </c>
      <c r="AU4" t="n">
        <v>9</v>
      </c>
      <c r="AV4" t="n">
        <v>10</v>
      </c>
      <c r="AW4" t="n">
        <v>14</v>
      </c>
      <c r="AX4" t="n">
        <v>2</v>
      </c>
      <c r="AY4" t="n">
        <v>10</v>
      </c>
      <c r="AZ4" t="n">
        <v>8</v>
      </c>
      <c r="BA4" t="n">
        <v>9</v>
      </c>
      <c r="BB4" t="n">
        <v>11</v>
      </c>
      <c r="BC4" t="n">
        <v>14</v>
      </c>
      <c r="BD4" t="n">
        <v>8</v>
      </c>
      <c r="BE4" t="n">
        <v>12</v>
      </c>
      <c r="BF4" t="n">
        <v>9</v>
      </c>
      <c r="BG4" t="n">
        <v>9</v>
      </c>
      <c r="BH4" t="n">
        <v>14</v>
      </c>
      <c r="BI4" t="n">
        <v>6</v>
      </c>
      <c r="BJ4" t="n">
        <v>5</v>
      </c>
      <c r="BK4" t="n">
        <v>7</v>
      </c>
      <c r="BL4" t="n">
        <v>4</v>
      </c>
      <c r="BM4" t="n">
        <v>6</v>
      </c>
      <c r="BN4" t="n">
        <v>13</v>
      </c>
      <c r="BO4" t="n">
        <v>5</v>
      </c>
      <c r="BP4" t="n">
        <v>4</v>
      </c>
      <c r="BQ4" t="n">
        <v>11</v>
      </c>
    </row>
    <row r="5">
      <c r="B5" t="inlineStr">
        <is>
          <t>Paul Stroud</t>
        </is>
      </c>
      <c r="C5" t="n">
        <v>16</v>
      </c>
      <c r="D5" t="n">
        <v>77</v>
      </c>
      <c r="E5" t="n">
        <v>156</v>
      </c>
      <c r="F5" t="inlineStr">
        <is>
          <t>England</t>
        </is>
      </c>
      <c r="G5" t="inlineStr">
        <is>
          <t>Brixham</t>
        </is>
      </c>
      <c r="H5" t="inlineStr">
        <is>
          <t>£2,613</t>
        </is>
      </c>
      <c r="I5" t="inlineStr">
        <is>
          <t>AM/ST RC</t>
        </is>
      </c>
      <c r="J5" t="n">
        <v>51.25</v>
      </c>
      <c r="K5" t="n">
        <v>76.34999999999999</v>
      </c>
      <c r="L5" t="n">
        <v>20</v>
      </c>
      <c r="M5" t="n">
        <v>1</v>
      </c>
      <c r="N5" t="n">
        <v>15</v>
      </c>
      <c r="O5" t="n">
        <v>16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13</v>
      </c>
      <c r="V5" t="n">
        <v>10</v>
      </c>
      <c r="W5" t="inlineStr">
        <is>
          <t>£14</t>
        </is>
      </c>
      <c r="X5" t="n">
        <v>8</v>
      </c>
      <c r="Y5" t="n">
        <v>11</v>
      </c>
      <c r="Z5" t="n">
        <v>17</v>
      </c>
      <c r="AA5" t="n">
        <v>12</v>
      </c>
      <c r="AB5" t="n">
        <v>20</v>
      </c>
      <c r="AC5" t="n">
        <v>12</v>
      </c>
      <c r="AD5" t="n">
        <v>4</v>
      </c>
      <c r="AE5" t="n">
        <v>3</v>
      </c>
      <c r="AF5" t="n">
        <v>4</v>
      </c>
      <c r="AG5" t="n">
        <v>1</v>
      </c>
      <c r="AH5" t="n">
        <v>2</v>
      </c>
      <c r="AI5" t="n">
        <v>2</v>
      </c>
      <c r="AJ5" t="n">
        <v>3</v>
      </c>
      <c r="AK5" t="n">
        <v>3</v>
      </c>
      <c r="AL5" t="n">
        <v>1</v>
      </c>
      <c r="AM5" t="n">
        <v>3</v>
      </c>
      <c r="AN5" t="n">
        <v>2</v>
      </c>
      <c r="AO5" t="n">
        <v>2</v>
      </c>
      <c r="AP5" t="n">
        <v>6</v>
      </c>
      <c r="AQ5" t="n">
        <v>10</v>
      </c>
      <c r="AR5" t="n">
        <v>8</v>
      </c>
      <c r="AS5" t="n">
        <v>5</v>
      </c>
      <c r="AT5" t="n">
        <v>5</v>
      </c>
      <c r="AU5" t="n">
        <v>7</v>
      </c>
      <c r="AV5" t="n">
        <v>12</v>
      </c>
      <c r="AW5" t="n">
        <v>14</v>
      </c>
      <c r="AX5" t="n">
        <v>11</v>
      </c>
      <c r="AY5" t="n">
        <v>9</v>
      </c>
      <c r="AZ5" t="n">
        <v>4</v>
      </c>
      <c r="BA5" t="n">
        <v>12</v>
      </c>
      <c r="BB5" t="n">
        <v>10</v>
      </c>
      <c r="BC5" t="n">
        <v>7</v>
      </c>
      <c r="BD5" t="n">
        <v>4</v>
      </c>
      <c r="BE5" t="n">
        <v>6</v>
      </c>
      <c r="BF5" t="n">
        <v>14</v>
      </c>
      <c r="BG5" t="n">
        <v>5</v>
      </c>
      <c r="BH5" t="n">
        <v>12</v>
      </c>
      <c r="BI5" t="n">
        <v>5</v>
      </c>
      <c r="BJ5" t="n">
        <v>5</v>
      </c>
      <c r="BK5" t="n">
        <v>8</v>
      </c>
      <c r="BL5" t="n">
        <v>1</v>
      </c>
      <c r="BM5" t="n">
        <v>7</v>
      </c>
      <c r="BN5" t="n">
        <v>11</v>
      </c>
      <c r="BO5" t="n">
        <v>6</v>
      </c>
      <c r="BP5" t="n">
        <v>4</v>
      </c>
      <c r="BQ5" t="n">
        <v>14</v>
      </c>
    </row>
    <row r="6">
      <c r="B6" t="inlineStr">
        <is>
          <t>Hisashi Roddy</t>
        </is>
      </c>
      <c r="C6" t="n">
        <v>16</v>
      </c>
      <c r="D6" t="n">
        <v>78</v>
      </c>
      <c r="E6" t="n">
        <v>158</v>
      </c>
      <c r="F6" t="inlineStr">
        <is>
          <t>England</t>
        </is>
      </c>
      <c r="G6" t="inlineStr">
        <is>
          <t>Brixham</t>
        </is>
      </c>
      <c r="H6" t="inlineStr">
        <is>
          <t>£2,713</t>
        </is>
      </c>
      <c r="I6" t="inlineStr">
        <is>
          <t>D/WB RL</t>
        </is>
      </c>
      <c r="J6" t="n">
        <v>51.03</v>
      </c>
      <c r="K6" t="n">
        <v>76.01000000000001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16</v>
      </c>
      <c r="R6" t="n">
        <v>1</v>
      </c>
      <c r="S6" t="n">
        <v>20</v>
      </c>
      <c r="T6" t="n">
        <v>1</v>
      </c>
      <c r="U6" t="n">
        <v>12</v>
      </c>
      <c r="V6" t="n">
        <v>11</v>
      </c>
      <c r="W6" t="inlineStr">
        <is>
          <t>£14</t>
        </is>
      </c>
      <c r="X6" t="n">
        <v>11</v>
      </c>
      <c r="Y6" t="n">
        <v>15</v>
      </c>
      <c r="Z6" t="n">
        <v>18</v>
      </c>
      <c r="AA6" t="n">
        <v>10</v>
      </c>
      <c r="AB6" t="n">
        <v>20</v>
      </c>
      <c r="AC6" t="n">
        <v>14</v>
      </c>
      <c r="AD6" t="n">
        <v>6</v>
      </c>
      <c r="AE6" t="n">
        <v>3</v>
      </c>
      <c r="AF6" t="n">
        <v>4</v>
      </c>
      <c r="AG6" t="n">
        <v>1</v>
      </c>
      <c r="AH6" t="n">
        <v>3</v>
      </c>
      <c r="AI6" t="n">
        <v>1</v>
      </c>
      <c r="AJ6" t="n">
        <v>1</v>
      </c>
      <c r="AK6" t="n">
        <v>1</v>
      </c>
      <c r="AL6" t="n">
        <v>2</v>
      </c>
      <c r="AM6" t="n">
        <v>1</v>
      </c>
      <c r="AN6" t="n">
        <v>3</v>
      </c>
      <c r="AO6" t="n">
        <v>1</v>
      </c>
      <c r="AP6" t="n">
        <v>14</v>
      </c>
      <c r="AQ6" t="n">
        <v>10</v>
      </c>
      <c r="AR6" t="n">
        <v>15</v>
      </c>
      <c r="AS6" t="n">
        <v>6</v>
      </c>
      <c r="AT6" t="n">
        <v>9</v>
      </c>
      <c r="AU6" t="n">
        <v>9</v>
      </c>
      <c r="AV6" t="n">
        <v>11</v>
      </c>
      <c r="AW6" t="n">
        <v>8</v>
      </c>
      <c r="AX6" t="n">
        <v>6</v>
      </c>
      <c r="AY6" t="n">
        <v>9</v>
      </c>
      <c r="AZ6" t="n">
        <v>9</v>
      </c>
      <c r="BA6" t="n">
        <v>8</v>
      </c>
      <c r="BB6" t="n">
        <v>10</v>
      </c>
      <c r="BC6" t="n">
        <v>13</v>
      </c>
      <c r="BD6" t="n">
        <v>1</v>
      </c>
      <c r="BE6" t="n">
        <v>7</v>
      </c>
      <c r="BF6" t="n">
        <v>5</v>
      </c>
      <c r="BG6" t="n">
        <v>1</v>
      </c>
      <c r="BH6" t="n">
        <v>8</v>
      </c>
      <c r="BI6" t="n">
        <v>1</v>
      </c>
      <c r="BJ6" t="n">
        <v>5</v>
      </c>
      <c r="BK6" t="n">
        <v>2</v>
      </c>
      <c r="BL6" t="n">
        <v>3</v>
      </c>
      <c r="BM6" t="n">
        <v>9</v>
      </c>
      <c r="BN6" t="n">
        <v>7</v>
      </c>
      <c r="BO6" t="n">
        <v>3</v>
      </c>
      <c r="BP6" t="n">
        <v>13</v>
      </c>
      <c r="BQ6" t="n">
        <v>13</v>
      </c>
    </row>
    <row r="7">
      <c r="B7" t="inlineStr">
        <is>
          <t>Ashley Sarahs</t>
        </is>
      </c>
      <c r="C7" t="n">
        <v>16</v>
      </c>
      <c r="D7" t="n">
        <v>71</v>
      </c>
      <c r="E7" t="n">
        <v>146</v>
      </c>
      <c r="F7" t="inlineStr">
        <is>
          <t>England,Northern Ireland</t>
        </is>
      </c>
      <c r="G7" t="inlineStr">
        <is>
          <t>Brixham</t>
        </is>
      </c>
      <c r="H7" t="inlineStr">
        <is>
          <t>£1,980</t>
        </is>
      </c>
      <c r="I7" t="inlineStr">
        <is>
          <t xml:space="preserve">GK </t>
        </is>
      </c>
      <c r="J7" t="n">
        <v>51.89</v>
      </c>
      <c r="K7" t="n">
        <v>75.58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20</v>
      </c>
      <c r="U7" t="n">
        <v>10</v>
      </c>
      <c r="V7" t="n">
        <v>10</v>
      </c>
      <c r="W7" t="inlineStr">
        <is>
          <t>£8</t>
        </is>
      </c>
      <c r="X7" t="n">
        <v>13</v>
      </c>
      <c r="Y7" t="n">
        <v>16</v>
      </c>
      <c r="Z7" t="n">
        <v>7</v>
      </c>
      <c r="AA7" t="n">
        <v>9</v>
      </c>
      <c r="AB7" t="n">
        <v>20</v>
      </c>
      <c r="AC7" t="n">
        <v>3</v>
      </c>
      <c r="AD7" t="n">
        <v>6</v>
      </c>
      <c r="AE7" t="n">
        <v>9</v>
      </c>
      <c r="AF7" t="n">
        <v>8</v>
      </c>
      <c r="AG7" t="n">
        <v>10</v>
      </c>
      <c r="AH7" t="n">
        <v>2</v>
      </c>
      <c r="AI7" t="n">
        <v>15</v>
      </c>
      <c r="AJ7" t="n">
        <v>5</v>
      </c>
      <c r="AK7" t="n">
        <v>11</v>
      </c>
      <c r="AL7" t="n">
        <v>14</v>
      </c>
      <c r="AM7" t="n">
        <v>15</v>
      </c>
      <c r="AN7" t="n">
        <v>5</v>
      </c>
      <c r="AO7" t="n">
        <v>5</v>
      </c>
      <c r="AP7" t="n">
        <v>10</v>
      </c>
      <c r="AQ7" t="n">
        <v>11</v>
      </c>
      <c r="AR7" t="n">
        <v>6</v>
      </c>
      <c r="AS7" t="n">
        <v>4</v>
      </c>
      <c r="AT7" t="n">
        <v>11</v>
      </c>
      <c r="AU7" t="n">
        <v>10</v>
      </c>
      <c r="AV7" t="n">
        <v>8</v>
      </c>
      <c r="AW7" t="n">
        <v>3</v>
      </c>
      <c r="AX7" t="n">
        <v>5</v>
      </c>
      <c r="AY7" t="n">
        <v>3</v>
      </c>
      <c r="AZ7" t="n">
        <v>6</v>
      </c>
      <c r="BA7" t="n">
        <v>10</v>
      </c>
      <c r="BB7" t="n">
        <v>2</v>
      </c>
      <c r="BC7" t="n">
        <v>7</v>
      </c>
      <c r="BD7" t="n">
        <v>4</v>
      </c>
      <c r="BE7" t="n">
        <v>1</v>
      </c>
      <c r="BF7" t="n">
        <v>3</v>
      </c>
      <c r="BG7" t="n">
        <v>1</v>
      </c>
      <c r="BH7" t="n">
        <v>6</v>
      </c>
      <c r="BI7" t="n">
        <v>6</v>
      </c>
      <c r="BJ7" t="n">
        <v>1</v>
      </c>
      <c r="BK7" t="n">
        <v>2</v>
      </c>
      <c r="BL7" t="n">
        <v>2</v>
      </c>
      <c r="BM7" t="n">
        <v>1</v>
      </c>
      <c r="BN7" t="n">
        <v>4</v>
      </c>
      <c r="BO7" t="n">
        <v>1</v>
      </c>
      <c r="BP7" t="n">
        <v>1</v>
      </c>
      <c r="BQ7" t="n">
        <v>11</v>
      </c>
    </row>
    <row r="8">
      <c r="B8" t="inlineStr">
        <is>
          <t>Aydin Webb</t>
        </is>
      </c>
      <c r="C8" t="n">
        <v>16</v>
      </c>
      <c r="D8" t="n">
        <v>68</v>
      </c>
      <c r="E8" t="n">
        <v>135</v>
      </c>
      <c r="F8" t="inlineStr">
        <is>
          <t>England</t>
        </is>
      </c>
      <c r="G8" t="inlineStr">
        <is>
          <t>Brixham</t>
        </is>
      </c>
      <c r="H8" t="inlineStr">
        <is>
          <t>£2,507</t>
        </is>
      </c>
      <c r="I8" t="inlineStr">
        <is>
          <t>M/AM RLC</t>
        </is>
      </c>
      <c r="J8" t="n">
        <v>49.14</v>
      </c>
      <c r="K8" t="n">
        <v>72.98</v>
      </c>
      <c r="L8" t="n">
        <v>1</v>
      </c>
      <c r="M8" t="n">
        <v>16</v>
      </c>
      <c r="N8" t="n">
        <v>1</v>
      </c>
      <c r="O8" t="n">
        <v>20</v>
      </c>
      <c r="P8" t="n">
        <v>12</v>
      </c>
      <c r="Q8" t="n">
        <v>1</v>
      </c>
      <c r="R8" t="n">
        <v>1</v>
      </c>
      <c r="S8" t="n">
        <v>1</v>
      </c>
      <c r="T8" t="n">
        <v>1</v>
      </c>
      <c r="U8" t="n">
        <v>7</v>
      </c>
      <c r="V8" t="n">
        <v>8</v>
      </c>
      <c r="W8" t="inlineStr">
        <is>
          <t>£7</t>
        </is>
      </c>
      <c r="X8" t="n">
        <v>8</v>
      </c>
      <c r="Y8" t="n">
        <v>10</v>
      </c>
      <c r="Z8" t="n">
        <v>14</v>
      </c>
      <c r="AA8" t="n">
        <v>8</v>
      </c>
      <c r="AB8" t="n">
        <v>20</v>
      </c>
      <c r="AC8" t="n">
        <v>12</v>
      </c>
      <c r="AD8" t="n">
        <v>7</v>
      </c>
      <c r="AE8" t="n">
        <v>2</v>
      </c>
      <c r="AF8" t="n">
        <v>2</v>
      </c>
      <c r="AG8" t="n">
        <v>3</v>
      </c>
      <c r="AH8" t="n">
        <v>1</v>
      </c>
      <c r="AI8" t="n">
        <v>1</v>
      </c>
      <c r="AJ8" t="n">
        <v>3</v>
      </c>
      <c r="AK8" t="n">
        <v>1</v>
      </c>
      <c r="AL8" t="n">
        <v>2</v>
      </c>
      <c r="AM8" t="n">
        <v>1</v>
      </c>
      <c r="AN8" t="n">
        <v>1</v>
      </c>
      <c r="AO8" t="n">
        <v>3</v>
      </c>
      <c r="AP8" t="n">
        <v>11</v>
      </c>
      <c r="AQ8" t="n">
        <v>5</v>
      </c>
      <c r="AR8" t="n">
        <v>9</v>
      </c>
      <c r="AS8" t="n">
        <v>9</v>
      </c>
      <c r="AT8" t="n">
        <v>11</v>
      </c>
      <c r="AU8" t="n">
        <v>13</v>
      </c>
      <c r="AV8" t="n">
        <v>18</v>
      </c>
      <c r="AW8" t="n">
        <v>10</v>
      </c>
      <c r="AX8" t="n">
        <v>7</v>
      </c>
      <c r="AY8" t="n">
        <v>10</v>
      </c>
      <c r="AZ8" t="n">
        <v>6</v>
      </c>
      <c r="BA8" t="n">
        <v>14</v>
      </c>
      <c r="BB8" t="n">
        <v>12</v>
      </c>
      <c r="BC8" t="n">
        <v>13</v>
      </c>
      <c r="BD8" t="n">
        <v>4</v>
      </c>
      <c r="BE8" t="n">
        <v>8</v>
      </c>
      <c r="BF8" t="n">
        <v>7</v>
      </c>
      <c r="BG8" t="n">
        <v>10</v>
      </c>
      <c r="BH8" t="n">
        <v>15</v>
      </c>
      <c r="BI8" t="n">
        <v>6</v>
      </c>
      <c r="BJ8" t="n">
        <v>4</v>
      </c>
      <c r="BK8" t="n">
        <v>8</v>
      </c>
      <c r="BL8" t="n">
        <v>3</v>
      </c>
      <c r="BM8" t="n">
        <v>6</v>
      </c>
      <c r="BN8" t="n">
        <v>10</v>
      </c>
      <c r="BO8" t="n">
        <v>4</v>
      </c>
      <c r="BP8" t="n">
        <v>9</v>
      </c>
      <c r="BQ8" t="n">
        <v>11</v>
      </c>
    </row>
    <row r="9">
      <c r="B9" t="inlineStr">
        <is>
          <t>Daniel Willard</t>
        </is>
      </c>
      <c r="C9" t="n">
        <v>16</v>
      </c>
      <c r="D9" t="n">
        <v>74</v>
      </c>
      <c r="E9" t="n">
        <v>149</v>
      </c>
      <c r="F9" t="inlineStr">
        <is>
          <t>England,Northern Ireland</t>
        </is>
      </c>
      <c r="G9" t="inlineStr">
        <is>
          <t>Brixham</t>
        </is>
      </c>
      <c r="H9" t="inlineStr">
        <is>
          <t>£9,312</t>
        </is>
      </c>
      <c r="I9" t="inlineStr">
        <is>
          <t>AM L</t>
        </is>
      </c>
      <c r="J9" t="n">
        <v>48.14</v>
      </c>
      <c r="K9" t="n">
        <v>71.89</v>
      </c>
      <c r="L9" t="n">
        <v>4</v>
      </c>
      <c r="M9" t="n">
        <v>20</v>
      </c>
      <c r="N9" t="n">
        <v>3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13</v>
      </c>
      <c r="V9" t="n">
        <v>15</v>
      </c>
      <c r="W9" t="inlineStr">
        <is>
          <t>£10</t>
        </is>
      </c>
      <c r="X9" t="n">
        <v>8</v>
      </c>
      <c r="Y9" t="n">
        <v>20</v>
      </c>
      <c r="Z9" t="n">
        <v>5</v>
      </c>
      <c r="AA9" t="n">
        <v>13</v>
      </c>
      <c r="AB9" t="n">
        <v>11</v>
      </c>
      <c r="AC9" t="n">
        <v>12</v>
      </c>
      <c r="AD9" t="n">
        <v>5</v>
      </c>
      <c r="AE9" t="n">
        <v>3</v>
      </c>
      <c r="AF9" t="n">
        <v>1</v>
      </c>
      <c r="AG9" t="n">
        <v>1</v>
      </c>
      <c r="AH9" t="n">
        <v>2</v>
      </c>
      <c r="AI9" t="n">
        <v>1</v>
      </c>
      <c r="AJ9" t="n">
        <v>1</v>
      </c>
      <c r="AK9" t="n">
        <v>1</v>
      </c>
      <c r="AL9" t="n">
        <v>2</v>
      </c>
      <c r="AM9" t="n">
        <v>3</v>
      </c>
      <c r="AN9" t="n">
        <v>1</v>
      </c>
      <c r="AO9" t="n">
        <v>1</v>
      </c>
      <c r="AP9" t="n">
        <v>7</v>
      </c>
      <c r="AQ9" t="n">
        <v>6</v>
      </c>
      <c r="AR9" t="n">
        <v>10</v>
      </c>
      <c r="AS9" t="n">
        <v>7</v>
      </c>
      <c r="AT9" t="n">
        <v>6</v>
      </c>
      <c r="AU9" t="n">
        <v>6</v>
      </c>
      <c r="AV9" t="n">
        <v>18</v>
      </c>
      <c r="AW9" t="n">
        <v>12</v>
      </c>
      <c r="AX9" t="n">
        <v>5</v>
      </c>
      <c r="AY9" t="n">
        <v>8</v>
      </c>
      <c r="AZ9" t="n">
        <v>4</v>
      </c>
      <c r="BA9" t="n">
        <v>6</v>
      </c>
      <c r="BB9" t="n">
        <v>11</v>
      </c>
      <c r="BC9" t="n">
        <v>7</v>
      </c>
      <c r="BD9" t="n">
        <v>6</v>
      </c>
      <c r="BE9" t="n">
        <v>4</v>
      </c>
      <c r="BF9" t="n">
        <v>8</v>
      </c>
      <c r="BG9" t="n">
        <v>10</v>
      </c>
      <c r="BH9" t="n">
        <v>11</v>
      </c>
      <c r="BI9" t="n">
        <v>10</v>
      </c>
      <c r="BJ9" t="n">
        <v>6</v>
      </c>
      <c r="BK9" t="n">
        <v>5</v>
      </c>
      <c r="BL9" t="n">
        <v>4</v>
      </c>
      <c r="BM9" t="n">
        <v>2</v>
      </c>
      <c r="BN9" t="n">
        <v>10</v>
      </c>
      <c r="BO9" t="n">
        <v>6</v>
      </c>
      <c r="BP9" t="n">
        <v>4</v>
      </c>
      <c r="BQ9" t="n">
        <v>10</v>
      </c>
    </row>
    <row r="10">
      <c r="B10" t="inlineStr">
        <is>
          <t>Allan Hall</t>
        </is>
      </c>
      <c r="C10" t="n">
        <v>16</v>
      </c>
      <c r="D10" t="n">
        <v>71</v>
      </c>
      <c r="E10" t="n">
        <v>146</v>
      </c>
      <c r="F10" t="inlineStr">
        <is>
          <t>England,Australia</t>
        </is>
      </c>
      <c r="G10" t="inlineStr">
        <is>
          <t>Brixham</t>
        </is>
      </c>
      <c r="H10" t="inlineStr">
        <is>
          <t>£2,328</t>
        </is>
      </c>
      <c r="I10" t="inlineStr">
        <is>
          <t>DM/M C</t>
        </is>
      </c>
      <c r="J10" t="n">
        <v>45.22</v>
      </c>
      <c r="K10" t="n">
        <v>68.33</v>
      </c>
      <c r="L10" t="n">
        <v>1</v>
      </c>
      <c r="M10" t="n">
        <v>1</v>
      </c>
      <c r="N10" t="n">
        <v>16</v>
      </c>
      <c r="O10" t="n">
        <v>6</v>
      </c>
      <c r="P10" t="n">
        <v>16</v>
      </c>
      <c r="Q10" t="n">
        <v>1</v>
      </c>
      <c r="R10" t="n">
        <v>1</v>
      </c>
      <c r="S10" t="n">
        <v>1</v>
      </c>
      <c r="T10" t="n">
        <v>1</v>
      </c>
      <c r="U10" t="n">
        <v>13</v>
      </c>
      <c r="V10" t="n">
        <v>14</v>
      </c>
      <c r="W10" t="inlineStr">
        <is>
          <t>£10</t>
        </is>
      </c>
      <c r="X10" t="n">
        <v>4</v>
      </c>
      <c r="Y10" t="n">
        <v>12</v>
      </c>
      <c r="Z10" t="n">
        <v>13</v>
      </c>
      <c r="AA10" t="n">
        <v>12</v>
      </c>
      <c r="AB10" t="n">
        <v>20</v>
      </c>
      <c r="AC10" t="n">
        <v>13</v>
      </c>
      <c r="AD10" t="n">
        <v>4</v>
      </c>
      <c r="AE10" t="n">
        <v>3</v>
      </c>
      <c r="AF10" t="n">
        <v>1</v>
      </c>
      <c r="AG10" t="n">
        <v>2</v>
      </c>
      <c r="AH10" t="n">
        <v>2</v>
      </c>
      <c r="AI10" t="n">
        <v>2</v>
      </c>
      <c r="AJ10" t="n">
        <v>2</v>
      </c>
      <c r="AK10" t="n">
        <v>1</v>
      </c>
      <c r="AL10" t="n">
        <v>3</v>
      </c>
      <c r="AM10" t="n">
        <v>3</v>
      </c>
      <c r="AN10" t="n">
        <v>4</v>
      </c>
      <c r="AO10" t="n">
        <v>2</v>
      </c>
      <c r="AP10" t="n">
        <v>10</v>
      </c>
      <c r="AQ10" t="n">
        <v>7</v>
      </c>
      <c r="AR10" t="n">
        <v>13</v>
      </c>
      <c r="AS10" t="n">
        <v>5</v>
      </c>
      <c r="AT10" t="n">
        <v>4</v>
      </c>
      <c r="AU10" t="n">
        <v>9</v>
      </c>
      <c r="AV10" t="n">
        <v>14</v>
      </c>
      <c r="AW10" t="n">
        <v>10</v>
      </c>
      <c r="AX10" t="n">
        <v>1</v>
      </c>
      <c r="AY10" t="n">
        <v>5</v>
      </c>
      <c r="AZ10" t="n">
        <v>2</v>
      </c>
      <c r="BA10" t="n">
        <v>7</v>
      </c>
      <c r="BB10" t="n">
        <v>11</v>
      </c>
      <c r="BC10" t="n">
        <v>12</v>
      </c>
      <c r="BD10" t="n">
        <v>4</v>
      </c>
      <c r="BE10" t="n">
        <v>8</v>
      </c>
      <c r="BF10" t="n">
        <v>6</v>
      </c>
      <c r="BG10" t="n">
        <v>8</v>
      </c>
      <c r="BH10" t="n">
        <v>8</v>
      </c>
      <c r="BI10" t="n">
        <v>3</v>
      </c>
      <c r="BJ10" t="n">
        <v>3</v>
      </c>
      <c r="BK10" t="n">
        <v>5</v>
      </c>
      <c r="BL10" t="n">
        <v>3</v>
      </c>
      <c r="BM10" t="n">
        <v>3</v>
      </c>
      <c r="BN10" t="n">
        <v>10</v>
      </c>
      <c r="BO10" t="n">
        <v>5</v>
      </c>
      <c r="BP10" t="n">
        <v>4</v>
      </c>
      <c r="BQ10" t="n">
        <v>9</v>
      </c>
    </row>
    <row r="11">
      <c r="B11" t="inlineStr">
        <is>
          <t>Robbie Gallagher</t>
        </is>
      </c>
      <c r="C11" t="n">
        <v>19</v>
      </c>
      <c r="D11" t="n">
        <v>66</v>
      </c>
      <c r="E11" t="n">
        <v>109</v>
      </c>
      <c r="F11" t="inlineStr">
        <is>
          <t>England</t>
        </is>
      </c>
      <c r="G11" t="inlineStr">
        <is>
          <t>Brixham</t>
        </is>
      </c>
      <c r="H11" t="inlineStr">
        <is>
          <t>£11,298</t>
        </is>
      </c>
      <c r="I11" t="inlineStr">
        <is>
          <t xml:space="preserve">ST </t>
        </is>
      </c>
      <c r="J11" t="n">
        <v>46.57</v>
      </c>
      <c r="K11" t="n">
        <v>64.94</v>
      </c>
      <c r="L11" t="n">
        <v>20</v>
      </c>
      <c r="M11" t="n">
        <v>14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3</v>
      </c>
      <c r="T11" t="n">
        <v>1</v>
      </c>
      <c r="U11" t="n">
        <v>12</v>
      </c>
      <c r="V11" t="n">
        <v>9</v>
      </c>
      <c r="W11" t="inlineStr">
        <is>
          <t>£7</t>
        </is>
      </c>
      <c r="X11" t="n">
        <v>6</v>
      </c>
      <c r="Y11" t="n">
        <v>9</v>
      </c>
      <c r="Z11" t="n">
        <v>10</v>
      </c>
      <c r="AA11" t="n">
        <v>9</v>
      </c>
      <c r="AB11" t="n">
        <v>20</v>
      </c>
      <c r="AC11" t="n">
        <v>11</v>
      </c>
      <c r="AD11" t="n">
        <v>8</v>
      </c>
      <c r="AE11" t="n">
        <v>1</v>
      </c>
      <c r="AF11" t="n">
        <v>1</v>
      </c>
      <c r="AG11" t="n">
        <v>1</v>
      </c>
      <c r="AH11" t="n">
        <v>2</v>
      </c>
      <c r="AI11" t="n">
        <v>3</v>
      </c>
      <c r="AJ11" t="n">
        <v>2</v>
      </c>
      <c r="AK11" t="n">
        <v>3</v>
      </c>
      <c r="AL11" t="n">
        <v>3</v>
      </c>
      <c r="AM11" t="n">
        <v>3</v>
      </c>
      <c r="AN11" t="n">
        <v>2</v>
      </c>
      <c r="AO11" t="n">
        <v>3</v>
      </c>
      <c r="AP11" t="n">
        <v>13</v>
      </c>
      <c r="AQ11" t="n">
        <v>11</v>
      </c>
      <c r="AR11" t="n">
        <v>6</v>
      </c>
      <c r="AS11" t="n">
        <v>10</v>
      </c>
      <c r="AT11" t="n">
        <v>4</v>
      </c>
      <c r="AU11" t="n">
        <v>9</v>
      </c>
      <c r="AV11" t="n">
        <v>12</v>
      </c>
      <c r="AW11" t="n">
        <v>4</v>
      </c>
      <c r="AX11" t="n">
        <v>3</v>
      </c>
      <c r="AY11" t="n">
        <v>10</v>
      </c>
      <c r="AZ11" t="n">
        <v>6</v>
      </c>
      <c r="BA11" t="n">
        <v>5</v>
      </c>
      <c r="BB11" t="n">
        <v>5</v>
      </c>
      <c r="BC11" t="n">
        <v>8</v>
      </c>
      <c r="BD11" t="n">
        <v>4</v>
      </c>
      <c r="BE11" t="n">
        <v>3</v>
      </c>
      <c r="BF11" t="n">
        <v>13</v>
      </c>
      <c r="BG11" t="n">
        <v>9</v>
      </c>
      <c r="BH11" t="n">
        <v>12</v>
      </c>
      <c r="BI11" t="n">
        <v>4</v>
      </c>
      <c r="BJ11" t="n">
        <v>13</v>
      </c>
      <c r="BK11" t="n">
        <v>4</v>
      </c>
      <c r="BL11" t="n">
        <v>1</v>
      </c>
      <c r="BM11" t="n">
        <v>6</v>
      </c>
      <c r="BN11" t="n">
        <v>4</v>
      </c>
      <c r="BO11" t="n">
        <v>6</v>
      </c>
      <c r="BP11" t="n">
        <v>4</v>
      </c>
      <c r="BQ11" t="n">
        <v>9</v>
      </c>
    </row>
    <row r="12">
      <c r="B12" t="inlineStr">
        <is>
          <t>Jada Mawongo</t>
        </is>
      </c>
      <c r="C12" t="n">
        <v>21</v>
      </c>
      <c r="D12" t="n">
        <v>73</v>
      </c>
      <c r="E12" t="n">
        <v>97</v>
      </c>
      <c r="F12" t="inlineStr">
        <is>
          <t>Sri Lanka,Democratic Republic of Congo,England</t>
        </is>
      </c>
      <c r="G12" t="inlineStr">
        <is>
          <t>Brixham</t>
        </is>
      </c>
      <c r="H12" t="inlineStr">
        <is>
          <t>£13,932</t>
        </is>
      </c>
      <c r="I12" t="inlineStr">
        <is>
          <t>D C</t>
        </is>
      </c>
      <c r="J12" t="n">
        <v>52.03</v>
      </c>
      <c r="K12" t="n">
        <v>64.90000000000001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20</v>
      </c>
      <c r="S12" t="n">
        <v>10</v>
      </c>
      <c r="T12" t="n">
        <v>1</v>
      </c>
      <c r="U12" t="n">
        <v>8</v>
      </c>
      <c r="V12" t="n">
        <v>5</v>
      </c>
      <c r="W12" t="inlineStr">
        <is>
          <t>£6</t>
        </is>
      </c>
      <c r="X12" t="n">
        <v>11</v>
      </c>
      <c r="Y12" t="n">
        <v>9</v>
      </c>
      <c r="Z12" t="n">
        <v>7</v>
      </c>
      <c r="AA12" t="n">
        <v>8</v>
      </c>
      <c r="AB12" t="n">
        <v>20</v>
      </c>
      <c r="AC12" t="n">
        <v>5</v>
      </c>
      <c r="AD12" t="n">
        <v>13</v>
      </c>
      <c r="AE12" t="n">
        <v>4</v>
      </c>
      <c r="AF12" t="n">
        <v>1</v>
      </c>
      <c r="AG12" t="n">
        <v>2</v>
      </c>
      <c r="AH12" t="n">
        <v>2</v>
      </c>
      <c r="AI12" t="n">
        <v>1</v>
      </c>
      <c r="AJ12" t="n">
        <v>3</v>
      </c>
      <c r="AK12" t="n">
        <v>3</v>
      </c>
      <c r="AL12" t="n">
        <v>1</v>
      </c>
      <c r="AM12" t="n">
        <v>2</v>
      </c>
      <c r="AN12" t="n">
        <v>1</v>
      </c>
      <c r="AO12" t="n">
        <v>1</v>
      </c>
      <c r="AP12" t="n">
        <v>15</v>
      </c>
      <c r="AQ12" t="n">
        <v>7</v>
      </c>
      <c r="AR12" t="n">
        <v>10</v>
      </c>
      <c r="AS12" t="n">
        <v>8</v>
      </c>
      <c r="AT12" t="n">
        <v>12</v>
      </c>
      <c r="AU12" t="n">
        <v>14</v>
      </c>
      <c r="AV12" t="n">
        <v>10</v>
      </c>
      <c r="AW12" t="n">
        <v>6</v>
      </c>
      <c r="AX12" t="n">
        <v>10</v>
      </c>
      <c r="AY12" t="n">
        <v>5</v>
      </c>
      <c r="AZ12" t="n">
        <v>14</v>
      </c>
      <c r="BA12" t="n">
        <v>5</v>
      </c>
      <c r="BB12" t="n">
        <v>5</v>
      </c>
      <c r="BC12" t="n">
        <v>6</v>
      </c>
      <c r="BD12" t="n">
        <v>3</v>
      </c>
      <c r="BE12" t="n">
        <v>4</v>
      </c>
      <c r="BF12" t="n">
        <v>1</v>
      </c>
      <c r="BG12" t="n">
        <v>1</v>
      </c>
      <c r="BH12" t="n">
        <v>5</v>
      </c>
      <c r="BI12" t="n">
        <v>1</v>
      </c>
      <c r="BJ12" t="n">
        <v>11</v>
      </c>
      <c r="BK12" t="n">
        <v>4</v>
      </c>
      <c r="BL12" t="n">
        <v>1</v>
      </c>
      <c r="BM12" t="n">
        <v>14</v>
      </c>
      <c r="BN12" t="n">
        <v>1</v>
      </c>
      <c r="BO12" t="n">
        <v>1</v>
      </c>
      <c r="BP12" t="n">
        <v>13</v>
      </c>
      <c r="BQ12" t="n">
        <v>1</v>
      </c>
    </row>
    <row r="13">
      <c r="B13" t="inlineStr">
        <is>
          <t>Joe Cassidy</t>
        </is>
      </c>
      <c r="C13" t="n">
        <v>20</v>
      </c>
      <c r="D13" t="n">
        <v>59</v>
      </c>
      <c r="E13" t="n">
        <v>93</v>
      </c>
      <c r="F13" t="inlineStr">
        <is>
          <t>Scotland</t>
        </is>
      </c>
      <c r="G13" t="inlineStr">
        <is>
          <t>Brixham</t>
        </is>
      </c>
      <c r="H13" t="inlineStr">
        <is>
          <t>£0</t>
        </is>
      </c>
      <c r="I13" t="inlineStr">
        <is>
          <t>D C</t>
        </is>
      </c>
      <c r="J13" t="n">
        <v>43.32</v>
      </c>
      <c r="K13" t="n">
        <v>58.96</v>
      </c>
      <c r="L13" t="n">
        <v>1</v>
      </c>
      <c r="M13" t="n">
        <v>1</v>
      </c>
      <c r="N13" t="n">
        <v>1</v>
      </c>
      <c r="O13" t="n">
        <v>1</v>
      </c>
      <c r="P13" t="n">
        <v>5</v>
      </c>
      <c r="Q13" t="n">
        <v>1</v>
      </c>
      <c r="R13" t="n">
        <v>20</v>
      </c>
      <c r="S13" t="n">
        <v>1</v>
      </c>
      <c r="T13" t="n">
        <v>1</v>
      </c>
      <c r="U13" t="n">
        <v>5</v>
      </c>
      <c r="V13" t="n">
        <v>8</v>
      </c>
      <c r="W13" t="inlineStr">
        <is>
          <t>£6</t>
        </is>
      </c>
      <c r="X13" t="n">
        <v>15</v>
      </c>
      <c r="Y13" t="n">
        <v>10</v>
      </c>
      <c r="Z13" t="n">
        <v>15</v>
      </c>
      <c r="AA13" t="n">
        <v>11</v>
      </c>
      <c r="AB13" t="n">
        <v>20</v>
      </c>
      <c r="AC13" t="n">
        <v>6</v>
      </c>
      <c r="AD13" t="n">
        <v>6</v>
      </c>
      <c r="AE13" t="n">
        <v>4</v>
      </c>
      <c r="AF13" t="n">
        <v>2</v>
      </c>
      <c r="AG13" t="n">
        <v>1</v>
      </c>
      <c r="AH13" t="n">
        <v>3</v>
      </c>
      <c r="AI13" t="n">
        <v>2</v>
      </c>
      <c r="AJ13" t="n">
        <v>2</v>
      </c>
      <c r="AK13" t="n">
        <v>3</v>
      </c>
      <c r="AL13" t="n">
        <v>2</v>
      </c>
      <c r="AM13" t="n">
        <v>3</v>
      </c>
      <c r="AN13" t="n">
        <v>3</v>
      </c>
      <c r="AO13" t="n">
        <v>1</v>
      </c>
      <c r="AP13" t="n">
        <v>5</v>
      </c>
      <c r="AQ13" t="n">
        <v>10</v>
      </c>
      <c r="AR13" t="n">
        <v>7</v>
      </c>
      <c r="AS13" t="n">
        <v>6</v>
      </c>
      <c r="AT13" t="n">
        <v>8</v>
      </c>
      <c r="AU13" t="n">
        <v>13</v>
      </c>
      <c r="AV13" t="n">
        <v>12</v>
      </c>
      <c r="AW13" t="n">
        <v>6</v>
      </c>
      <c r="AX13" t="n">
        <v>8</v>
      </c>
      <c r="AY13" t="n">
        <v>5</v>
      </c>
      <c r="AZ13" t="n">
        <v>13</v>
      </c>
      <c r="BA13" t="n">
        <v>5</v>
      </c>
      <c r="BB13" t="n">
        <v>5</v>
      </c>
      <c r="BC13" t="n">
        <v>5</v>
      </c>
      <c r="BD13" t="n">
        <v>2</v>
      </c>
      <c r="BE13" t="n">
        <v>1</v>
      </c>
      <c r="BF13" t="n">
        <v>1</v>
      </c>
      <c r="BG13" t="n">
        <v>1</v>
      </c>
      <c r="BH13" t="n">
        <v>5</v>
      </c>
      <c r="BI13" t="n">
        <v>1</v>
      </c>
      <c r="BJ13" t="n">
        <v>8</v>
      </c>
      <c r="BK13" t="n">
        <v>4</v>
      </c>
      <c r="BL13" t="n">
        <v>1</v>
      </c>
      <c r="BM13" t="n">
        <v>13</v>
      </c>
      <c r="BN13" t="n">
        <v>2</v>
      </c>
      <c r="BO13" t="n">
        <v>2</v>
      </c>
      <c r="BP13" t="n">
        <v>7</v>
      </c>
      <c r="BQ13" t="n">
        <v>1</v>
      </c>
    </row>
    <row r="14">
      <c r="B14" t="inlineStr">
        <is>
          <t>Taye Weir</t>
        </is>
      </c>
      <c r="C14" t="n">
        <v>21</v>
      </c>
      <c r="D14" t="n">
        <v>53</v>
      </c>
      <c r="E14" t="n">
        <v>90</v>
      </c>
      <c r="F14" t="inlineStr">
        <is>
          <t>England</t>
        </is>
      </c>
      <c r="G14" t="inlineStr">
        <is>
          <t>Brixham</t>
        </is>
      </c>
      <c r="H14" t="inlineStr">
        <is>
          <t>£0</t>
        </is>
      </c>
      <c r="I14" t="inlineStr">
        <is>
          <t>D/WB/M L</t>
        </is>
      </c>
      <c r="J14" t="n">
        <v>41.6</v>
      </c>
      <c r="K14" t="n">
        <v>58.71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18</v>
      </c>
      <c r="R14" t="n">
        <v>1</v>
      </c>
      <c r="S14" t="n">
        <v>1</v>
      </c>
      <c r="T14" t="n">
        <v>1</v>
      </c>
      <c r="U14" t="n">
        <v>14</v>
      </c>
      <c r="V14" t="n">
        <v>12</v>
      </c>
      <c r="W14" t="inlineStr">
        <is>
          <t>£5</t>
        </is>
      </c>
      <c r="X14" t="n">
        <v>10</v>
      </c>
      <c r="Y14" t="n">
        <v>20</v>
      </c>
      <c r="Z14" t="n">
        <v>11</v>
      </c>
      <c r="AA14" t="n">
        <v>12</v>
      </c>
      <c r="AB14" t="n">
        <v>8</v>
      </c>
      <c r="AC14" t="n">
        <v>7</v>
      </c>
      <c r="AD14" t="n">
        <v>5</v>
      </c>
      <c r="AE14" t="n">
        <v>3</v>
      </c>
      <c r="AF14" t="n">
        <v>2</v>
      </c>
      <c r="AG14" t="n">
        <v>1</v>
      </c>
      <c r="AH14" t="n">
        <v>2</v>
      </c>
      <c r="AI14" t="n">
        <v>1</v>
      </c>
      <c r="AJ14" t="n">
        <v>3</v>
      </c>
      <c r="AK14" t="n">
        <v>1</v>
      </c>
      <c r="AL14" t="n">
        <v>1</v>
      </c>
      <c r="AM14" t="n">
        <v>3</v>
      </c>
      <c r="AN14" t="n">
        <v>3</v>
      </c>
      <c r="AO14" t="n">
        <v>2</v>
      </c>
      <c r="AP14" t="n">
        <v>10</v>
      </c>
      <c r="AQ14" t="n">
        <v>8</v>
      </c>
      <c r="AR14" t="n">
        <v>5</v>
      </c>
      <c r="AS14" t="n">
        <v>8</v>
      </c>
      <c r="AT14" t="n">
        <v>11</v>
      </c>
      <c r="AU14" t="n">
        <v>8</v>
      </c>
      <c r="AV14" t="n">
        <v>12</v>
      </c>
      <c r="AW14" t="n">
        <v>6</v>
      </c>
      <c r="AX14" t="n">
        <v>13</v>
      </c>
      <c r="AY14" t="n">
        <v>7</v>
      </c>
      <c r="AZ14" t="n">
        <v>6</v>
      </c>
      <c r="BA14" t="n">
        <v>7</v>
      </c>
      <c r="BB14" t="n">
        <v>6</v>
      </c>
      <c r="BC14" t="n">
        <v>7</v>
      </c>
      <c r="BD14" t="n">
        <v>4</v>
      </c>
      <c r="BE14" t="n">
        <v>8</v>
      </c>
      <c r="BF14" t="n">
        <v>6</v>
      </c>
      <c r="BG14" t="n">
        <v>3</v>
      </c>
      <c r="BH14" t="n">
        <v>11</v>
      </c>
      <c r="BI14" t="n">
        <v>4</v>
      </c>
      <c r="BJ14" t="n">
        <v>5</v>
      </c>
      <c r="BK14" t="n">
        <v>4</v>
      </c>
      <c r="BL14" t="n">
        <v>4</v>
      </c>
      <c r="BM14" t="n">
        <v>9</v>
      </c>
      <c r="BN14" t="n">
        <v>4</v>
      </c>
      <c r="BO14" t="n">
        <v>1</v>
      </c>
      <c r="BP14" t="n">
        <v>10</v>
      </c>
      <c r="BQ14" t="n">
        <v>7</v>
      </c>
    </row>
    <row r="15">
      <c r="B15" t="inlineStr">
        <is>
          <t>Sam Joce</t>
        </is>
      </c>
      <c r="C15" t="n">
        <v>20</v>
      </c>
      <c r="D15" t="n">
        <v>40</v>
      </c>
      <c r="E15" t="n">
        <v>58</v>
      </c>
      <c r="F15" t="inlineStr">
        <is>
          <t>England</t>
        </is>
      </c>
      <c r="G15" t="inlineStr">
        <is>
          <t>Brixham</t>
        </is>
      </c>
      <c r="H15" t="inlineStr">
        <is>
          <t>£3,223</t>
        </is>
      </c>
      <c r="I15" t="inlineStr">
        <is>
          <t>D C</t>
        </is>
      </c>
      <c r="J15" t="n">
        <v>44.31</v>
      </c>
      <c r="K15" t="n">
        <v>57.67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20</v>
      </c>
      <c r="S15" t="n">
        <v>1</v>
      </c>
      <c r="T15" t="n">
        <v>1</v>
      </c>
      <c r="U15" t="n">
        <v>7</v>
      </c>
      <c r="V15" t="n">
        <v>6</v>
      </c>
      <c r="W15" t="inlineStr">
        <is>
          <t>£6</t>
        </is>
      </c>
      <c r="X15" t="n">
        <v>16</v>
      </c>
      <c r="Y15" t="n">
        <v>7</v>
      </c>
      <c r="Z15" t="n">
        <v>11</v>
      </c>
      <c r="AA15" t="n">
        <v>8</v>
      </c>
      <c r="AB15" t="n">
        <v>20</v>
      </c>
      <c r="AC15" t="n">
        <v>6</v>
      </c>
      <c r="AD15" t="n">
        <v>8</v>
      </c>
      <c r="AE15" t="n">
        <v>2</v>
      </c>
      <c r="AF15" t="n">
        <v>3</v>
      </c>
      <c r="AG15" t="n">
        <v>2</v>
      </c>
      <c r="AH15" t="n">
        <v>2</v>
      </c>
      <c r="AI15" t="n">
        <v>1</v>
      </c>
      <c r="AJ15" t="n">
        <v>2</v>
      </c>
      <c r="AK15" t="n">
        <v>3</v>
      </c>
      <c r="AL15" t="n">
        <v>3</v>
      </c>
      <c r="AM15" t="n">
        <v>1</v>
      </c>
      <c r="AN15" t="n">
        <v>2</v>
      </c>
      <c r="AO15" t="n">
        <v>1</v>
      </c>
      <c r="AP15" t="n">
        <v>15</v>
      </c>
      <c r="AQ15" t="n">
        <v>7</v>
      </c>
      <c r="AR15" t="n">
        <v>15</v>
      </c>
      <c r="AS15" t="n">
        <v>6</v>
      </c>
      <c r="AT15" t="n">
        <v>4</v>
      </c>
      <c r="AU15" t="n">
        <v>7</v>
      </c>
      <c r="AV15" t="n">
        <v>10</v>
      </c>
      <c r="AW15" t="n">
        <v>5</v>
      </c>
      <c r="AX15" t="n">
        <v>5</v>
      </c>
      <c r="AY15" t="n">
        <v>4</v>
      </c>
      <c r="AZ15" t="n">
        <v>13</v>
      </c>
      <c r="BA15" t="n">
        <v>4</v>
      </c>
      <c r="BB15" t="n">
        <v>1</v>
      </c>
      <c r="BC15" t="n">
        <v>5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12</v>
      </c>
      <c r="BK15" t="n">
        <v>3</v>
      </c>
      <c r="BL15" t="n">
        <v>1</v>
      </c>
      <c r="BM15" t="n">
        <v>11</v>
      </c>
      <c r="BN15" t="n">
        <v>1</v>
      </c>
      <c r="BO15" t="n">
        <v>3</v>
      </c>
      <c r="BP15" t="n">
        <v>5</v>
      </c>
      <c r="BQ15" t="n">
        <v>1</v>
      </c>
    </row>
    <row r="16">
      <c r="B16" t="inlineStr">
        <is>
          <t>Donell Gordon</t>
        </is>
      </c>
      <c r="C16" t="n">
        <v>21</v>
      </c>
      <c r="D16" t="n">
        <v>44</v>
      </c>
      <c r="E16" t="n">
        <v>81</v>
      </c>
      <c r="F16" t="inlineStr">
        <is>
          <t>England</t>
        </is>
      </c>
      <c r="G16" t="inlineStr">
        <is>
          <t>Brixham</t>
        </is>
      </c>
      <c r="H16" t="inlineStr">
        <is>
          <t>£0</t>
        </is>
      </c>
      <c r="I16" t="inlineStr">
        <is>
          <t>M/AM RL</t>
        </is>
      </c>
      <c r="J16" t="n">
        <v>38.63</v>
      </c>
      <c r="K16" t="n">
        <v>56.28</v>
      </c>
      <c r="L16" t="n">
        <v>1</v>
      </c>
      <c r="M16" t="n">
        <v>16</v>
      </c>
      <c r="N16" t="n">
        <v>2</v>
      </c>
      <c r="O16" t="n">
        <v>20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12</v>
      </c>
      <c r="V16" t="n">
        <v>12</v>
      </c>
      <c r="W16" t="inlineStr">
        <is>
          <t>£1</t>
        </is>
      </c>
      <c r="X16" t="n">
        <v>4</v>
      </c>
      <c r="Y16" t="n">
        <v>12</v>
      </c>
      <c r="Z16" t="n">
        <v>10</v>
      </c>
      <c r="AA16" t="n">
        <v>11</v>
      </c>
      <c r="AB16" t="n">
        <v>20</v>
      </c>
      <c r="AC16" t="n">
        <v>11</v>
      </c>
      <c r="AD16" t="n">
        <v>1</v>
      </c>
      <c r="AE16" t="n">
        <v>1</v>
      </c>
      <c r="AF16" t="n">
        <v>2</v>
      </c>
      <c r="AG16" t="n">
        <v>3</v>
      </c>
      <c r="AH16" t="n">
        <v>2</v>
      </c>
      <c r="AI16" t="n">
        <v>4</v>
      </c>
      <c r="AJ16" t="n">
        <v>1</v>
      </c>
      <c r="AK16" t="n">
        <v>1</v>
      </c>
      <c r="AL16" t="n">
        <v>2</v>
      </c>
      <c r="AM16" t="n">
        <v>1</v>
      </c>
      <c r="AN16" t="n">
        <v>2</v>
      </c>
      <c r="AO16" t="n">
        <v>1</v>
      </c>
      <c r="AP16" t="n">
        <v>12</v>
      </c>
      <c r="AQ16" t="n">
        <v>6</v>
      </c>
      <c r="AR16" t="n">
        <v>2</v>
      </c>
      <c r="AS16" t="n">
        <v>2</v>
      </c>
      <c r="AT16" t="n">
        <v>4</v>
      </c>
      <c r="AU16" t="n">
        <v>6</v>
      </c>
      <c r="AV16" t="n">
        <v>3</v>
      </c>
      <c r="AW16" t="n">
        <v>8</v>
      </c>
      <c r="AX16" t="n">
        <v>9</v>
      </c>
      <c r="AY16" t="n">
        <v>7</v>
      </c>
      <c r="AZ16" t="n">
        <v>3</v>
      </c>
      <c r="BA16" t="n">
        <v>5</v>
      </c>
      <c r="BB16" t="n">
        <v>4</v>
      </c>
      <c r="BC16" t="n">
        <v>9</v>
      </c>
      <c r="BD16" t="n">
        <v>4</v>
      </c>
      <c r="BE16" t="n">
        <v>8</v>
      </c>
      <c r="BF16" t="n">
        <v>10</v>
      </c>
      <c r="BG16" t="n">
        <v>5</v>
      </c>
      <c r="BH16" t="n">
        <v>10</v>
      </c>
      <c r="BI16" t="n">
        <v>3</v>
      </c>
      <c r="BJ16" t="n">
        <v>2</v>
      </c>
      <c r="BK16" t="n">
        <v>4</v>
      </c>
      <c r="BL16" t="n">
        <v>3</v>
      </c>
      <c r="BM16" t="n">
        <v>1</v>
      </c>
      <c r="BN16" t="n">
        <v>9</v>
      </c>
      <c r="BO16" t="n">
        <v>1</v>
      </c>
      <c r="BP16" t="n">
        <v>3</v>
      </c>
      <c r="BQ16" t="n">
        <v>5</v>
      </c>
    </row>
    <row r="17">
      <c r="B17" t="inlineStr">
        <is>
          <t>Andrey Quintino</t>
        </is>
      </c>
      <c r="C17" t="n">
        <v>24</v>
      </c>
      <c r="D17" t="n">
        <v>85</v>
      </c>
      <c r="E17" t="n">
        <v>93</v>
      </c>
      <c r="F17" t="inlineStr">
        <is>
          <t>Brazil</t>
        </is>
      </c>
      <c r="G17" t="inlineStr">
        <is>
          <t>Brixham</t>
        </is>
      </c>
      <c r="H17" t="inlineStr">
        <is>
          <t>£121,306</t>
        </is>
      </c>
      <c r="I17" t="inlineStr">
        <is>
          <t>AM RL</t>
        </is>
      </c>
      <c r="J17" t="n">
        <v>54</v>
      </c>
      <c r="K17" t="n">
        <v>56.09</v>
      </c>
      <c r="L17" t="n">
        <v>1</v>
      </c>
      <c r="M17" t="n">
        <v>18</v>
      </c>
      <c r="N17" t="n">
        <v>1</v>
      </c>
      <c r="O17" t="n">
        <v>20</v>
      </c>
      <c r="P17" t="n">
        <v>3</v>
      </c>
      <c r="Q17" t="n">
        <v>1</v>
      </c>
      <c r="R17" t="n">
        <v>1</v>
      </c>
      <c r="S17" t="n">
        <v>14</v>
      </c>
      <c r="T17" t="n">
        <v>1</v>
      </c>
      <c r="U17" t="n">
        <v>12</v>
      </c>
      <c r="V17" t="n">
        <v>13</v>
      </c>
      <c r="W17" t="inlineStr">
        <is>
          <t>£10</t>
        </is>
      </c>
      <c r="X17" t="n">
        <v>8</v>
      </c>
      <c r="Y17" t="n">
        <v>10</v>
      </c>
      <c r="Z17" t="n">
        <v>11</v>
      </c>
      <c r="AA17" t="n">
        <v>12</v>
      </c>
      <c r="AB17" t="n">
        <v>20</v>
      </c>
      <c r="AC17" t="n">
        <v>12</v>
      </c>
      <c r="AD17" t="n">
        <v>7</v>
      </c>
      <c r="AE17" t="n">
        <v>2</v>
      </c>
      <c r="AF17" t="n">
        <v>1</v>
      </c>
      <c r="AG17" t="n">
        <v>2</v>
      </c>
      <c r="AH17" t="n">
        <v>3</v>
      </c>
      <c r="AI17" t="n">
        <v>3</v>
      </c>
      <c r="AJ17" t="n">
        <v>3</v>
      </c>
      <c r="AK17" t="n">
        <v>2</v>
      </c>
      <c r="AL17" t="n">
        <v>1</v>
      </c>
      <c r="AM17" t="n">
        <v>3</v>
      </c>
      <c r="AN17" t="n">
        <v>2</v>
      </c>
      <c r="AO17" t="n">
        <v>1</v>
      </c>
      <c r="AP17" t="n">
        <v>9</v>
      </c>
      <c r="AQ17" t="n">
        <v>10</v>
      </c>
      <c r="AR17" t="n">
        <v>9</v>
      </c>
      <c r="AS17" t="n">
        <v>10</v>
      </c>
      <c r="AT17" t="n">
        <v>10</v>
      </c>
      <c r="AU17" t="n">
        <v>11</v>
      </c>
      <c r="AV17" t="n">
        <v>19</v>
      </c>
      <c r="AW17" t="n">
        <v>12</v>
      </c>
      <c r="AX17" t="n">
        <v>5</v>
      </c>
      <c r="AY17" t="n">
        <v>11</v>
      </c>
      <c r="AZ17" t="n">
        <v>9</v>
      </c>
      <c r="BA17" t="n">
        <v>9</v>
      </c>
      <c r="BB17" t="n">
        <v>8</v>
      </c>
      <c r="BC17" t="n">
        <v>10</v>
      </c>
      <c r="BD17" t="n">
        <v>7</v>
      </c>
      <c r="BE17" t="n">
        <v>10</v>
      </c>
      <c r="BF17" t="n">
        <v>11</v>
      </c>
      <c r="BG17" t="n">
        <v>12</v>
      </c>
      <c r="BH17" t="n">
        <v>11</v>
      </c>
      <c r="BI17" t="n">
        <v>7</v>
      </c>
      <c r="BJ17" t="n">
        <v>7</v>
      </c>
      <c r="BK17" t="n">
        <v>5</v>
      </c>
      <c r="BL17" t="n">
        <v>7</v>
      </c>
      <c r="BM17" t="n">
        <v>8</v>
      </c>
      <c r="BN17" t="n">
        <v>13</v>
      </c>
      <c r="BO17" t="n">
        <v>3</v>
      </c>
      <c r="BP17" t="n">
        <v>6</v>
      </c>
      <c r="BQ17" t="n">
        <v>10</v>
      </c>
    </row>
    <row r="18">
      <c r="B18" t="inlineStr">
        <is>
          <t>Peter Purcell</t>
        </is>
      </c>
      <c r="C18" t="n">
        <v>17</v>
      </c>
      <c r="D18" t="n">
        <v>72</v>
      </c>
      <c r="E18" t="n">
        <v>87</v>
      </c>
      <c r="F18" t="inlineStr">
        <is>
          <t>England,Republic of Ireland</t>
        </is>
      </c>
      <c r="G18" t="inlineStr">
        <is>
          <t>Brixham</t>
        </is>
      </c>
      <c r="H18" t="inlineStr">
        <is>
          <t>£99,576</t>
        </is>
      </c>
      <c r="I18" t="inlineStr">
        <is>
          <t>AM RL</t>
        </is>
      </c>
      <c r="J18" t="n">
        <v>46.14</v>
      </c>
      <c r="K18" t="n">
        <v>54.1</v>
      </c>
      <c r="L18" t="n">
        <v>1</v>
      </c>
      <c r="M18" t="n">
        <v>20</v>
      </c>
      <c r="N18" t="n">
        <v>1</v>
      </c>
      <c r="O18" t="n">
        <v>19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14</v>
      </c>
      <c r="V18" t="n">
        <v>11</v>
      </c>
      <c r="W18" t="inlineStr">
        <is>
          <t>£14</t>
        </is>
      </c>
      <c r="X18" t="n">
        <v>6</v>
      </c>
      <c r="Y18" t="n">
        <v>20</v>
      </c>
      <c r="Z18" t="n">
        <v>5</v>
      </c>
      <c r="AA18" t="n">
        <v>12</v>
      </c>
      <c r="AB18" t="n">
        <v>11</v>
      </c>
      <c r="AC18" t="n">
        <v>13</v>
      </c>
      <c r="AD18" t="n">
        <v>6</v>
      </c>
      <c r="AE18" t="n">
        <v>3</v>
      </c>
      <c r="AF18" t="n">
        <v>4</v>
      </c>
      <c r="AG18" t="n">
        <v>2</v>
      </c>
      <c r="AH18" t="n">
        <v>4</v>
      </c>
      <c r="AI18" t="n">
        <v>3</v>
      </c>
      <c r="AJ18" t="n">
        <v>1</v>
      </c>
      <c r="AK18" t="n">
        <v>1</v>
      </c>
      <c r="AL18" t="n">
        <v>3</v>
      </c>
      <c r="AM18" t="n">
        <v>3</v>
      </c>
      <c r="AN18" t="n">
        <v>1</v>
      </c>
      <c r="AO18" t="n">
        <v>3</v>
      </c>
      <c r="AP18" t="n">
        <v>7</v>
      </c>
      <c r="AQ18" t="n">
        <v>7</v>
      </c>
      <c r="AR18" t="n">
        <v>7</v>
      </c>
      <c r="AS18" t="n">
        <v>7</v>
      </c>
      <c r="AT18" t="n">
        <v>5</v>
      </c>
      <c r="AU18" t="n">
        <v>7</v>
      </c>
      <c r="AV18" t="n">
        <v>12</v>
      </c>
      <c r="AW18" t="n">
        <v>9</v>
      </c>
      <c r="AX18" t="n">
        <v>11</v>
      </c>
      <c r="AY18" t="n">
        <v>11</v>
      </c>
      <c r="AZ18" t="n">
        <v>3</v>
      </c>
      <c r="BA18" t="n">
        <v>9</v>
      </c>
      <c r="BB18" t="n">
        <v>9</v>
      </c>
      <c r="BC18" t="n">
        <v>8</v>
      </c>
      <c r="BD18" t="n">
        <v>6</v>
      </c>
      <c r="BE18" t="n">
        <v>6</v>
      </c>
      <c r="BF18" t="n">
        <v>10</v>
      </c>
      <c r="BG18" t="n">
        <v>7</v>
      </c>
      <c r="BH18" t="n">
        <v>7</v>
      </c>
      <c r="BI18" t="n">
        <v>9</v>
      </c>
      <c r="BJ18" t="n">
        <v>4</v>
      </c>
      <c r="BK18" t="n">
        <v>5</v>
      </c>
      <c r="BL18" t="n">
        <v>3</v>
      </c>
      <c r="BM18" t="n">
        <v>3</v>
      </c>
      <c r="BN18" t="n">
        <v>7</v>
      </c>
      <c r="BO18" t="n">
        <v>3</v>
      </c>
      <c r="BP18" t="n">
        <v>1</v>
      </c>
      <c r="BQ18" t="n">
        <v>8</v>
      </c>
    </row>
    <row r="19">
      <c r="B19" t="inlineStr">
        <is>
          <t>Ryan Penny</t>
        </is>
      </c>
      <c r="C19" t="n">
        <v>20</v>
      </c>
      <c r="D19" t="n">
        <v>62</v>
      </c>
      <c r="E19" t="n">
        <v>72</v>
      </c>
      <c r="F19" t="inlineStr">
        <is>
          <t>England</t>
        </is>
      </c>
      <c r="G19" t="inlineStr">
        <is>
          <t>Brixham</t>
        </is>
      </c>
      <c r="H19" t="inlineStr">
        <is>
          <t>£0</t>
        </is>
      </c>
      <c r="I19" t="inlineStr">
        <is>
          <t>DM/M C</t>
        </is>
      </c>
      <c r="J19" t="n">
        <v>46.26</v>
      </c>
      <c r="K19" t="n">
        <v>52.68</v>
      </c>
      <c r="L19" t="n">
        <v>1</v>
      </c>
      <c r="M19" t="n">
        <v>1</v>
      </c>
      <c r="N19" t="n">
        <v>1</v>
      </c>
      <c r="O19" t="n">
        <v>1</v>
      </c>
      <c r="P19" t="n">
        <v>16</v>
      </c>
      <c r="Q19" t="n">
        <v>5</v>
      </c>
      <c r="R19" t="n">
        <v>1</v>
      </c>
      <c r="S19" t="n">
        <v>1</v>
      </c>
      <c r="T19" t="n">
        <v>1</v>
      </c>
      <c r="U19" t="n">
        <v>11</v>
      </c>
      <c r="V19" t="n">
        <v>11</v>
      </c>
      <c r="W19" t="inlineStr">
        <is>
          <t>£11</t>
        </is>
      </c>
      <c r="X19" t="n">
        <v>10</v>
      </c>
      <c r="Y19" t="n">
        <v>9</v>
      </c>
      <c r="Z19" t="n">
        <v>10</v>
      </c>
      <c r="AA19" t="n">
        <v>10</v>
      </c>
      <c r="AB19" t="n">
        <v>20</v>
      </c>
      <c r="AC19" t="n">
        <v>7</v>
      </c>
      <c r="AD19" t="n">
        <v>7</v>
      </c>
      <c r="AE19" t="n">
        <v>2</v>
      </c>
      <c r="AF19" t="n">
        <v>1</v>
      </c>
      <c r="AG19" t="n">
        <v>3</v>
      </c>
      <c r="AH19" t="n">
        <v>1</v>
      </c>
      <c r="AI19" t="n">
        <v>3</v>
      </c>
      <c r="AJ19" t="n">
        <v>3</v>
      </c>
      <c r="AK19" t="n">
        <v>2</v>
      </c>
      <c r="AL19" t="n">
        <v>3</v>
      </c>
      <c r="AM19" t="n">
        <v>2</v>
      </c>
      <c r="AN19" t="n">
        <v>3</v>
      </c>
      <c r="AO19" t="n">
        <v>1</v>
      </c>
      <c r="AP19" t="n">
        <v>6</v>
      </c>
      <c r="AQ19" t="n">
        <v>6</v>
      </c>
      <c r="AR19" t="n">
        <v>9</v>
      </c>
      <c r="AS19" t="n">
        <v>7</v>
      </c>
      <c r="AT19" t="n">
        <v>8</v>
      </c>
      <c r="AU19" t="n">
        <v>9</v>
      </c>
      <c r="AV19" t="n">
        <v>14</v>
      </c>
      <c r="AW19" t="n">
        <v>5</v>
      </c>
      <c r="AX19" t="n">
        <v>13</v>
      </c>
      <c r="AY19" t="n">
        <v>5</v>
      </c>
      <c r="AZ19" t="n">
        <v>9</v>
      </c>
      <c r="BA19" t="n">
        <v>7</v>
      </c>
      <c r="BB19" t="n">
        <v>12</v>
      </c>
      <c r="BC19" t="n">
        <v>11</v>
      </c>
      <c r="BD19" t="n">
        <v>5</v>
      </c>
      <c r="BE19" t="n">
        <v>5</v>
      </c>
      <c r="BF19" t="n">
        <v>5</v>
      </c>
      <c r="BG19" t="n">
        <v>6</v>
      </c>
      <c r="BH19" t="n">
        <v>10</v>
      </c>
      <c r="BI19" t="n">
        <v>5</v>
      </c>
      <c r="BJ19" t="n">
        <v>6</v>
      </c>
      <c r="BK19" t="n">
        <v>7</v>
      </c>
      <c r="BL19" t="n">
        <v>1</v>
      </c>
      <c r="BM19" t="n">
        <v>10</v>
      </c>
      <c r="BN19" t="n">
        <v>11</v>
      </c>
      <c r="BO19" t="n">
        <v>1</v>
      </c>
      <c r="BP19" t="n">
        <v>8</v>
      </c>
      <c r="BQ19" t="n">
        <v>14</v>
      </c>
    </row>
    <row r="20">
      <c r="B20" t="inlineStr">
        <is>
          <t>Asa Hall</t>
        </is>
      </c>
      <c r="C20" t="n">
        <v>39</v>
      </c>
      <c r="D20" t="n">
        <v>55</v>
      </c>
      <c r="E20" t="n">
        <v>107</v>
      </c>
      <c r="F20" t="inlineStr">
        <is>
          <t>England</t>
        </is>
      </c>
      <c r="G20" t="inlineStr">
        <is>
          <t>Brixham</t>
        </is>
      </c>
      <c r="H20" t="inlineStr">
        <is>
          <t>£0</t>
        </is>
      </c>
      <c r="I20" t="inlineStr">
        <is>
          <t>DM/M C</t>
        </is>
      </c>
      <c r="J20" t="n">
        <v>51.09</v>
      </c>
      <c r="K20" t="n">
        <v>51.09</v>
      </c>
      <c r="L20" t="n">
        <v>1</v>
      </c>
      <c r="M20" t="n">
        <v>1</v>
      </c>
      <c r="N20" t="n">
        <v>1</v>
      </c>
      <c r="O20" t="n">
        <v>1</v>
      </c>
      <c r="P20" t="n">
        <v>18</v>
      </c>
      <c r="Q20" t="n">
        <v>1</v>
      </c>
      <c r="R20" t="n">
        <v>16</v>
      </c>
      <c r="S20" t="n">
        <v>1</v>
      </c>
      <c r="T20" t="n">
        <v>1</v>
      </c>
      <c r="U20" t="n">
        <v>5</v>
      </c>
      <c r="V20" t="n">
        <v>6</v>
      </c>
      <c r="W20" t="inlineStr">
        <is>
          <t>£7</t>
        </is>
      </c>
      <c r="X20" t="n">
        <v>11</v>
      </c>
      <c r="Y20" t="n">
        <v>9</v>
      </c>
      <c r="Z20" t="n">
        <v>11</v>
      </c>
      <c r="AA20" t="n">
        <v>5</v>
      </c>
      <c r="AB20" t="n">
        <v>20</v>
      </c>
      <c r="AC20" t="n">
        <v>6</v>
      </c>
      <c r="AD20" t="n">
        <v>10</v>
      </c>
      <c r="AE20" t="n">
        <v>1</v>
      </c>
      <c r="AF20" t="n">
        <v>2</v>
      </c>
      <c r="AG20" t="n">
        <v>2</v>
      </c>
      <c r="AH20" t="n">
        <v>3</v>
      </c>
      <c r="AI20" t="n">
        <v>2</v>
      </c>
      <c r="AJ20" t="n">
        <v>1</v>
      </c>
      <c r="AK20" t="n">
        <v>2</v>
      </c>
      <c r="AL20" t="n">
        <v>1</v>
      </c>
      <c r="AM20" t="n">
        <v>1</v>
      </c>
      <c r="AN20" t="n">
        <v>2</v>
      </c>
      <c r="AO20" t="n">
        <v>1</v>
      </c>
      <c r="AP20" t="n">
        <v>9</v>
      </c>
      <c r="AQ20" t="n">
        <v>12</v>
      </c>
      <c r="AR20" t="n">
        <v>12</v>
      </c>
      <c r="AS20" t="n">
        <v>9</v>
      </c>
      <c r="AT20" t="n">
        <v>11</v>
      </c>
      <c r="AU20" t="n">
        <v>11</v>
      </c>
      <c r="AV20" t="n">
        <v>9</v>
      </c>
      <c r="AW20" t="n">
        <v>7</v>
      </c>
      <c r="AX20" t="n">
        <v>15</v>
      </c>
      <c r="AY20" t="n">
        <v>8</v>
      </c>
      <c r="AZ20" t="n">
        <v>11</v>
      </c>
      <c r="BA20" t="n">
        <v>11</v>
      </c>
      <c r="BB20" t="n">
        <v>8</v>
      </c>
      <c r="BC20" t="n">
        <v>9</v>
      </c>
      <c r="BD20" t="n">
        <v>5</v>
      </c>
      <c r="BE20" t="n">
        <v>7</v>
      </c>
      <c r="BF20" t="n">
        <v>4</v>
      </c>
      <c r="BG20" t="n">
        <v>8</v>
      </c>
      <c r="BH20" t="n">
        <v>10</v>
      </c>
      <c r="BI20" t="n">
        <v>4</v>
      </c>
      <c r="BJ20" t="n">
        <v>14</v>
      </c>
      <c r="BK20" t="n">
        <v>7</v>
      </c>
      <c r="BL20" t="n">
        <v>4</v>
      </c>
      <c r="BM20" t="n">
        <v>8</v>
      </c>
      <c r="BN20" t="n">
        <v>9</v>
      </c>
      <c r="BO20" t="n">
        <v>11</v>
      </c>
      <c r="BP20" t="n">
        <v>11</v>
      </c>
      <c r="BQ20" t="n">
        <v>10</v>
      </c>
    </row>
    <row r="21">
      <c r="B21" t="inlineStr">
        <is>
          <t>Bradley Lethbridge</t>
        </is>
      </c>
      <c r="C21" t="n">
        <v>25</v>
      </c>
      <c r="D21" t="n">
        <v>43</v>
      </c>
      <c r="E21" t="n">
        <v>59</v>
      </c>
      <c r="F21" t="inlineStr">
        <is>
          <t>England</t>
        </is>
      </c>
      <c r="G21" t="inlineStr">
        <is>
          <t>Brixham</t>
        </is>
      </c>
      <c r="H21" t="inlineStr">
        <is>
          <t>£3,003</t>
        </is>
      </c>
      <c r="I21" t="inlineStr">
        <is>
          <t xml:space="preserve">ST </t>
        </is>
      </c>
      <c r="J21" t="n">
        <v>42.48</v>
      </c>
      <c r="K21" t="n">
        <v>45.93</v>
      </c>
      <c r="L21" t="n">
        <v>20</v>
      </c>
      <c r="M21" t="n">
        <v>7</v>
      </c>
      <c r="N21" t="n">
        <v>4</v>
      </c>
      <c r="O21" t="n">
        <v>7</v>
      </c>
      <c r="P21" t="n">
        <v>2</v>
      </c>
      <c r="Q21" t="n">
        <v>1</v>
      </c>
      <c r="R21" t="n">
        <v>1</v>
      </c>
      <c r="S21" t="n">
        <v>1</v>
      </c>
      <c r="T21" t="n">
        <v>1</v>
      </c>
      <c r="U21" t="n">
        <v>13</v>
      </c>
      <c r="V21" t="n">
        <v>9</v>
      </c>
      <c r="W21" t="inlineStr">
        <is>
          <t>£5</t>
        </is>
      </c>
      <c r="X21" t="n">
        <v>11</v>
      </c>
      <c r="Y21" t="n">
        <v>5</v>
      </c>
      <c r="Z21" t="n">
        <v>11</v>
      </c>
      <c r="AA21" t="n">
        <v>12</v>
      </c>
      <c r="AB21" t="n">
        <v>20</v>
      </c>
      <c r="AC21" t="n">
        <v>9</v>
      </c>
      <c r="AD21" t="n">
        <v>8</v>
      </c>
      <c r="AE21" t="n">
        <v>1</v>
      </c>
      <c r="AF21" t="n">
        <v>1</v>
      </c>
      <c r="AG21" t="n">
        <v>1</v>
      </c>
      <c r="AH21" t="n">
        <v>1</v>
      </c>
      <c r="AI21" t="n">
        <v>3</v>
      </c>
      <c r="AJ21" t="n">
        <v>1</v>
      </c>
      <c r="AK21" t="n">
        <v>3</v>
      </c>
      <c r="AL21" t="n">
        <v>3</v>
      </c>
      <c r="AM21" t="n">
        <v>1</v>
      </c>
      <c r="AN21" t="n">
        <v>3</v>
      </c>
      <c r="AO21" t="n">
        <v>2</v>
      </c>
      <c r="AP21" t="n">
        <v>10</v>
      </c>
      <c r="AQ21" t="n">
        <v>7</v>
      </c>
      <c r="AR21" t="n">
        <v>5</v>
      </c>
      <c r="AS21" t="n">
        <v>11</v>
      </c>
      <c r="AT21" t="n">
        <v>3</v>
      </c>
      <c r="AU21" t="n">
        <v>7</v>
      </c>
      <c r="AV21" t="n">
        <v>16</v>
      </c>
      <c r="AW21" t="n">
        <v>7</v>
      </c>
      <c r="AX21" t="n">
        <v>13</v>
      </c>
      <c r="AY21" t="n">
        <v>6</v>
      </c>
      <c r="AZ21" t="n">
        <v>4</v>
      </c>
      <c r="BA21" t="n">
        <v>4</v>
      </c>
      <c r="BB21" t="n">
        <v>6</v>
      </c>
      <c r="BC21" t="n">
        <v>7</v>
      </c>
      <c r="BD21" t="n">
        <v>4</v>
      </c>
      <c r="BE21" t="n">
        <v>5</v>
      </c>
      <c r="BF21" t="n">
        <v>7</v>
      </c>
      <c r="BG21" t="n">
        <v>7</v>
      </c>
      <c r="BH21" t="n">
        <v>9</v>
      </c>
      <c r="BI21" t="n">
        <v>3</v>
      </c>
      <c r="BJ21" t="n">
        <v>9</v>
      </c>
      <c r="BK21" t="n">
        <v>8</v>
      </c>
      <c r="BL21" t="n">
        <v>1</v>
      </c>
      <c r="BM21" t="n">
        <v>2</v>
      </c>
      <c r="BN21" t="n">
        <v>6</v>
      </c>
      <c r="BO21" t="n">
        <v>4</v>
      </c>
      <c r="BP21" t="n">
        <v>1</v>
      </c>
      <c r="BQ21" t="n">
        <v>8</v>
      </c>
    </row>
    <row r="22">
      <c r="B22" t="inlineStr">
        <is>
          <t>Michael Shaw</t>
        </is>
      </c>
      <c r="C22" t="n">
        <v>17</v>
      </c>
      <c r="D22" t="n">
        <v>48</v>
      </c>
      <c r="E22" t="n">
        <v>49</v>
      </c>
      <c r="F22" t="inlineStr">
        <is>
          <t>England</t>
        </is>
      </c>
      <c r="G22" t="inlineStr">
        <is>
          <t>Brixham</t>
        </is>
      </c>
      <c r="H22" t="inlineStr">
        <is>
          <t>£3,992</t>
        </is>
      </c>
      <c r="I22" t="inlineStr">
        <is>
          <t xml:space="preserve">GK </t>
        </is>
      </c>
      <c r="J22" t="n">
        <v>42</v>
      </c>
      <c r="K22" t="n">
        <v>42.84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20</v>
      </c>
      <c r="U22" t="n">
        <v>7</v>
      </c>
      <c r="V22" t="n">
        <v>13</v>
      </c>
      <c r="W22" t="inlineStr">
        <is>
          <t>£4</t>
        </is>
      </c>
      <c r="X22" t="n">
        <v>11</v>
      </c>
      <c r="Y22" t="n">
        <v>9</v>
      </c>
      <c r="Z22" t="n">
        <v>12</v>
      </c>
      <c r="AA22" t="n">
        <v>12</v>
      </c>
      <c r="AB22" t="n">
        <v>20</v>
      </c>
      <c r="AC22" t="n">
        <v>3</v>
      </c>
      <c r="AD22" t="n">
        <v>4</v>
      </c>
      <c r="AE22" t="n">
        <v>8</v>
      </c>
      <c r="AF22" t="n">
        <v>11</v>
      </c>
      <c r="AG22" t="n">
        <v>6</v>
      </c>
      <c r="AH22" t="n">
        <v>7</v>
      </c>
      <c r="AI22" t="n">
        <v>8</v>
      </c>
      <c r="AJ22" t="n">
        <v>6</v>
      </c>
      <c r="AK22" t="n">
        <v>5</v>
      </c>
      <c r="AL22" t="n">
        <v>10</v>
      </c>
      <c r="AM22" t="n">
        <v>9</v>
      </c>
      <c r="AN22" t="n">
        <v>13</v>
      </c>
      <c r="AO22" t="n">
        <v>5</v>
      </c>
      <c r="AP22" t="n">
        <v>13</v>
      </c>
      <c r="AQ22" t="n">
        <v>5</v>
      </c>
      <c r="AR22" t="n">
        <v>5</v>
      </c>
      <c r="AS22" t="n">
        <v>4</v>
      </c>
      <c r="AT22" t="n">
        <v>10</v>
      </c>
      <c r="AU22" t="n">
        <v>12</v>
      </c>
      <c r="AV22" t="n">
        <v>17</v>
      </c>
      <c r="AW22" t="n">
        <v>1</v>
      </c>
      <c r="AX22" t="n">
        <v>3</v>
      </c>
      <c r="AY22" t="n">
        <v>2</v>
      </c>
      <c r="AZ22" t="n">
        <v>8</v>
      </c>
      <c r="BA22" t="n">
        <v>12</v>
      </c>
      <c r="BB22" t="n">
        <v>5</v>
      </c>
      <c r="BC22" t="n">
        <v>6</v>
      </c>
      <c r="BD22" t="n">
        <v>2</v>
      </c>
      <c r="BE22" t="n">
        <v>3</v>
      </c>
      <c r="BF22" t="n">
        <v>1</v>
      </c>
      <c r="BG22" t="n">
        <v>3</v>
      </c>
      <c r="BH22" t="n">
        <v>3</v>
      </c>
      <c r="BI22" t="n">
        <v>3</v>
      </c>
      <c r="BJ22" t="n">
        <v>1</v>
      </c>
      <c r="BK22" t="n">
        <v>3</v>
      </c>
      <c r="BL22" t="n">
        <v>1</v>
      </c>
      <c r="BM22" t="n">
        <v>1</v>
      </c>
      <c r="BN22" t="n">
        <v>4</v>
      </c>
      <c r="BO22" t="n">
        <v>3</v>
      </c>
      <c r="BP22" t="n">
        <v>3</v>
      </c>
      <c r="BQ22" t="n">
        <v>4</v>
      </c>
    </row>
    <row r="23">
      <c r="B23" t="inlineStr">
        <is>
          <t>Will Hancox</t>
        </is>
      </c>
      <c r="C23" t="n">
        <v>28</v>
      </c>
      <c r="D23" t="n">
        <v>40</v>
      </c>
      <c r="E23" t="n">
        <v>50</v>
      </c>
      <c r="F23" t="inlineStr">
        <is>
          <t>England</t>
        </is>
      </c>
      <c r="G23" t="inlineStr">
        <is>
          <t>Brixham</t>
        </is>
      </c>
      <c r="H23" t="inlineStr">
        <is>
          <t>£0</t>
        </is>
      </c>
      <c r="I23" t="inlineStr">
        <is>
          <t>M/AM R</t>
        </is>
      </c>
      <c r="J23" t="n">
        <v>38.77</v>
      </c>
      <c r="K23" t="n">
        <v>38.77</v>
      </c>
      <c r="L23" t="n">
        <v>1</v>
      </c>
      <c r="M23" t="n">
        <v>1</v>
      </c>
      <c r="N23" t="n">
        <v>2</v>
      </c>
      <c r="O23" t="n">
        <v>17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12</v>
      </c>
      <c r="V23" t="n">
        <v>9</v>
      </c>
      <c r="W23" t="inlineStr">
        <is>
          <t>£5</t>
        </is>
      </c>
      <c r="X23" t="n">
        <v>8</v>
      </c>
      <c r="Y23" t="n">
        <v>9</v>
      </c>
      <c r="Z23" t="n">
        <v>9</v>
      </c>
      <c r="AA23" t="n">
        <v>10</v>
      </c>
      <c r="AB23" t="n">
        <v>20</v>
      </c>
      <c r="AC23" t="n">
        <v>12</v>
      </c>
      <c r="AD23" t="n">
        <v>4</v>
      </c>
      <c r="AE23" t="n">
        <v>3</v>
      </c>
      <c r="AF23" t="n">
        <v>1</v>
      </c>
      <c r="AG23" t="n">
        <v>3</v>
      </c>
      <c r="AH23" t="n">
        <v>3</v>
      </c>
      <c r="AI23" t="n">
        <v>3</v>
      </c>
      <c r="AJ23" t="n">
        <v>4</v>
      </c>
      <c r="AK23" t="n">
        <v>3</v>
      </c>
      <c r="AL23" t="n">
        <v>2</v>
      </c>
      <c r="AM23" t="n">
        <v>3</v>
      </c>
      <c r="AN23" t="n">
        <v>2</v>
      </c>
      <c r="AO23" t="n">
        <v>3</v>
      </c>
      <c r="AP23" t="n">
        <v>13</v>
      </c>
      <c r="AQ23" t="n">
        <v>8</v>
      </c>
      <c r="AR23" t="n">
        <v>2</v>
      </c>
      <c r="AS23" t="n">
        <v>6</v>
      </c>
      <c r="AT23" t="n">
        <v>3</v>
      </c>
      <c r="AU23" t="n">
        <v>7</v>
      </c>
      <c r="AV23" t="n">
        <v>12</v>
      </c>
      <c r="AW23" t="n">
        <v>6</v>
      </c>
      <c r="AX23" t="n">
        <v>13</v>
      </c>
      <c r="AY23" t="n">
        <v>5</v>
      </c>
      <c r="AZ23" t="n">
        <v>4</v>
      </c>
      <c r="BA23" t="n">
        <v>6</v>
      </c>
      <c r="BB23" t="n">
        <v>4</v>
      </c>
      <c r="BC23" t="n">
        <v>11</v>
      </c>
      <c r="BD23" t="n">
        <v>4</v>
      </c>
      <c r="BE23" t="n">
        <v>10</v>
      </c>
      <c r="BF23" t="n">
        <v>6</v>
      </c>
      <c r="BG23" t="n">
        <v>4</v>
      </c>
      <c r="BH23" t="n">
        <v>10</v>
      </c>
      <c r="BI23" t="n">
        <v>4</v>
      </c>
      <c r="BJ23" t="n">
        <v>4</v>
      </c>
      <c r="BK23" t="n">
        <v>2</v>
      </c>
      <c r="BL23" t="n">
        <v>3</v>
      </c>
      <c r="BM23" t="n">
        <v>4</v>
      </c>
      <c r="BN23" t="n">
        <v>7</v>
      </c>
      <c r="BO23" t="n">
        <v>1</v>
      </c>
      <c r="BP23" t="n">
        <v>1</v>
      </c>
      <c r="BQ23" t="n">
        <v>6</v>
      </c>
    </row>
    <row r="24">
      <c r="B24" t="inlineStr">
        <is>
          <t>Mateusz Widz</t>
        </is>
      </c>
      <c r="C24" t="n">
        <v>16</v>
      </c>
      <c r="D24" t="n">
        <v>63</v>
      </c>
      <c r="E24" t="n">
        <v>139</v>
      </c>
      <c r="F24" t="inlineStr">
        <is>
          <t>England,Poland</t>
        </is>
      </c>
      <c r="G24" t="inlineStr">
        <is>
          <t>Brixham</t>
        </is>
      </c>
      <c r="H24" t="inlineStr">
        <is>
          <t>£2,270</t>
        </is>
      </c>
      <c r="I24" t="inlineStr">
        <is>
          <t>AM R</t>
        </is>
      </c>
      <c r="J24" t="n">
        <v>49.14</v>
      </c>
      <c r="K24" t="n">
        <v>74.59</v>
      </c>
      <c r="L24" t="n">
        <v>15</v>
      </c>
      <c r="M24" t="n">
        <v>1</v>
      </c>
      <c r="N24" t="n">
        <v>1</v>
      </c>
      <c r="O24" t="n">
        <v>20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11</v>
      </c>
      <c r="V24" t="n">
        <v>12</v>
      </c>
      <c r="W24" t="inlineStr">
        <is>
          <t>£11</t>
        </is>
      </c>
      <c r="X24" t="n">
        <v>10</v>
      </c>
      <c r="Y24" t="n">
        <v>9</v>
      </c>
      <c r="Z24" t="n">
        <v>10</v>
      </c>
      <c r="AA24" t="n">
        <v>11</v>
      </c>
      <c r="AB24" t="n">
        <v>20</v>
      </c>
      <c r="AC24" t="n">
        <v>7</v>
      </c>
      <c r="AD24" t="n">
        <v>6</v>
      </c>
      <c r="AE24" t="n">
        <v>2</v>
      </c>
      <c r="AF24" t="n">
        <v>3</v>
      </c>
      <c r="AG24" t="n">
        <v>2</v>
      </c>
      <c r="AH24" t="n">
        <v>1</v>
      </c>
      <c r="AI24" t="n">
        <v>1</v>
      </c>
      <c r="AJ24" t="n">
        <v>1</v>
      </c>
      <c r="AK24" t="n">
        <v>2</v>
      </c>
      <c r="AL24" t="n">
        <v>2</v>
      </c>
      <c r="AM24" t="n">
        <v>3</v>
      </c>
      <c r="AN24" t="n">
        <v>1</v>
      </c>
      <c r="AO24" t="n">
        <v>2</v>
      </c>
      <c r="AP24" t="n">
        <v>12</v>
      </c>
      <c r="AQ24" t="n">
        <v>9</v>
      </c>
      <c r="AR24" t="n">
        <v>12</v>
      </c>
      <c r="AS24" t="n">
        <v>6</v>
      </c>
      <c r="AT24" t="n">
        <v>4</v>
      </c>
      <c r="AU24" t="n">
        <v>7</v>
      </c>
      <c r="AV24" t="n">
        <v>13</v>
      </c>
      <c r="AW24" t="n">
        <v>15</v>
      </c>
      <c r="AX24" t="n">
        <v>7</v>
      </c>
      <c r="AY24" t="n">
        <v>10</v>
      </c>
      <c r="AZ24" t="n">
        <v>6</v>
      </c>
      <c r="BA24" t="n">
        <v>13</v>
      </c>
      <c r="BB24" t="n">
        <v>5</v>
      </c>
      <c r="BC24" t="n">
        <v>9</v>
      </c>
      <c r="BD24" t="n">
        <v>6</v>
      </c>
      <c r="BE24" t="n">
        <v>11</v>
      </c>
      <c r="BF24" t="n">
        <v>8</v>
      </c>
      <c r="BG24" t="n">
        <v>14</v>
      </c>
      <c r="BH24" t="n">
        <v>10</v>
      </c>
      <c r="BI24" t="n">
        <v>4</v>
      </c>
      <c r="BJ24" t="n">
        <v>4</v>
      </c>
      <c r="BK24" t="n">
        <v>5</v>
      </c>
      <c r="BL24" t="n">
        <v>1</v>
      </c>
      <c r="BM24" t="n">
        <v>4</v>
      </c>
      <c r="BN24" t="n">
        <v>10</v>
      </c>
      <c r="BO24" t="n">
        <v>6</v>
      </c>
      <c r="BP24" t="n">
        <v>5</v>
      </c>
      <c r="BQ24" t="n">
        <v>14</v>
      </c>
    </row>
    <row r="25">
      <c r="B25" t="inlineStr">
        <is>
          <t>Jayden Cumberbatch</t>
        </is>
      </c>
      <c r="C25" t="n">
        <v>16</v>
      </c>
      <c r="D25" t="n">
        <v>57</v>
      </c>
      <c r="E25" t="n">
        <v>144</v>
      </c>
      <c r="F25" t="inlineStr">
        <is>
          <t>Jamaica,England</t>
        </is>
      </c>
      <c r="G25" t="inlineStr">
        <is>
          <t>Brixham</t>
        </is>
      </c>
      <c r="H25" t="inlineStr">
        <is>
          <t>£2,201</t>
        </is>
      </c>
      <c r="I25" t="inlineStr">
        <is>
          <t>D LC</t>
        </is>
      </c>
      <c r="J25" t="n">
        <v>49.16</v>
      </c>
      <c r="K25" t="n">
        <v>73.94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16</v>
      </c>
      <c r="R25" t="n">
        <v>20</v>
      </c>
      <c r="S25" t="n">
        <v>1</v>
      </c>
      <c r="T25" t="n">
        <v>1</v>
      </c>
      <c r="U25" t="n">
        <v>7</v>
      </c>
      <c r="V25" t="n">
        <v>5</v>
      </c>
      <c r="W25" t="inlineStr">
        <is>
          <t>£11</t>
        </is>
      </c>
      <c r="X25" t="n">
        <v>17</v>
      </c>
      <c r="Y25" t="n">
        <v>12</v>
      </c>
      <c r="Z25" t="n">
        <v>13</v>
      </c>
      <c r="AA25" t="n">
        <v>7</v>
      </c>
      <c r="AB25" t="n">
        <v>20</v>
      </c>
      <c r="AC25" t="n">
        <v>5</v>
      </c>
      <c r="AD25" t="n">
        <v>11</v>
      </c>
      <c r="AE25" t="n">
        <v>2</v>
      </c>
      <c r="AF25" t="n">
        <v>4</v>
      </c>
      <c r="AG25" t="n">
        <v>1</v>
      </c>
      <c r="AH25" t="n">
        <v>2</v>
      </c>
      <c r="AI25" t="n">
        <v>3</v>
      </c>
      <c r="AJ25" t="n">
        <v>2</v>
      </c>
      <c r="AK25" t="n">
        <v>3</v>
      </c>
      <c r="AL25" t="n">
        <v>2</v>
      </c>
      <c r="AM25" t="n">
        <v>2</v>
      </c>
      <c r="AN25" t="n">
        <v>1</v>
      </c>
      <c r="AO25" t="n">
        <v>1</v>
      </c>
      <c r="AP25" t="n">
        <v>19</v>
      </c>
      <c r="AQ25" t="n">
        <v>9</v>
      </c>
      <c r="AR25" t="n">
        <v>7</v>
      </c>
      <c r="AS25" t="n">
        <v>2</v>
      </c>
      <c r="AT25" t="n">
        <v>8</v>
      </c>
      <c r="AU25" t="n">
        <v>7</v>
      </c>
      <c r="AV25" t="n">
        <v>14</v>
      </c>
      <c r="AW25" t="n">
        <v>4</v>
      </c>
      <c r="AX25" t="n">
        <v>14</v>
      </c>
      <c r="AY25" t="n">
        <v>4</v>
      </c>
      <c r="AZ25" t="n">
        <v>6</v>
      </c>
      <c r="BA25" t="n">
        <v>5</v>
      </c>
      <c r="BB25" t="n">
        <v>5</v>
      </c>
      <c r="BC25" t="n">
        <v>6</v>
      </c>
      <c r="BD25" t="n">
        <v>3</v>
      </c>
      <c r="BE25" t="n">
        <v>5</v>
      </c>
      <c r="BF25" t="n">
        <v>3</v>
      </c>
      <c r="BG25" t="n">
        <v>1</v>
      </c>
      <c r="BH25" t="n">
        <v>7</v>
      </c>
      <c r="BI25" t="n">
        <v>6</v>
      </c>
      <c r="BJ25" t="n">
        <v>13</v>
      </c>
      <c r="BK25" t="n">
        <v>1</v>
      </c>
      <c r="BL25" t="n">
        <v>1</v>
      </c>
      <c r="BM25" t="n">
        <v>13</v>
      </c>
      <c r="BN25" t="n">
        <v>4</v>
      </c>
      <c r="BO25" t="n">
        <v>3</v>
      </c>
      <c r="BP25" t="n">
        <v>11</v>
      </c>
      <c r="BQ25" t="n">
        <v>12</v>
      </c>
    </row>
    <row r="26">
      <c r="B26" t="inlineStr">
        <is>
          <t>Jordan Wright</t>
        </is>
      </c>
      <c r="C26" t="n">
        <v>17</v>
      </c>
      <c r="D26" t="n">
        <v>45</v>
      </c>
      <c r="E26" t="n">
        <v>93</v>
      </c>
      <c r="F26" t="inlineStr">
        <is>
          <t>New Zealand,England</t>
        </is>
      </c>
      <c r="H26" t="inlineStr">
        <is>
          <t>(£1)</t>
        </is>
      </c>
      <c r="I26" t="inlineStr">
        <is>
          <t xml:space="preserve">ST </t>
        </is>
      </c>
      <c r="J26" t="n">
        <v>42.1</v>
      </c>
      <c r="K26" t="n">
        <v>63.82</v>
      </c>
      <c r="L26" t="n">
        <v>20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11</v>
      </c>
      <c r="V26" t="n">
        <v>8</v>
      </c>
      <c r="W26" t="inlineStr">
        <is>
          <t>£11</t>
        </is>
      </c>
      <c r="X26" t="n">
        <v>7</v>
      </c>
      <c r="Y26" t="n">
        <v>20</v>
      </c>
      <c r="Z26" t="n">
        <v>14</v>
      </c>
      <c r="AA26" t="n">
        <v>8</v>
      </c>
      <c r="AB26" t="n">
        <v>12</v>
      </c>
      <c r="AC26" t="n">
        <v>9</v>
      </c>
      <c r="AD26" t="n">
        <v>6</v>
      </c>
      <c r="AE26" t="n">
        <v>2</v>
      </c>
      <c r="AF26" t="n">
        <v>3</v>
      </c>
      <c r="AG26" t="n">
        <v>3</v>
      </c>
      <c r="AH26" t="n">
        <v>2</v>
      </c>
      <c r="AI26" t="n">
        <v>2</v>
      </c>
      <c r="AJ26" t="n">
        <v>3</v>
      </c>
      <c r="AK26" t="n">
        <v>1</v>
      </c>
      <c r="AL26" t="n">
        <v>1</v>
      </c>
      <c r="AM26" t="n">
        <v>3</v>
      </c>
      <c r="AN26" t="n">
        <v>1</v>
      </c>
      <c r="AO26" t="n">
        <v>2</v>
      </c>
      <c r="AP26" t="n">
        <v>9</v>
      </c>
      <c r="AQ26" t="n">
        <v>7</v>
      </c>
      <c r="AR26" t="n">
        <v>16</v>
      </c>
      <c r="AS26" t="n">
        <v>7</v>
      </c>
      <c r="AT26" t="n">
        <v>4</v>
      </c>
      <c r="AU26" t="n">
        <v>9</v>
      </c>
      <c r="AV26" t="n">
        <v>5</v>
      </c>
      <c r="AW26" t="n">
        <v>7</v>
      </c>
      <c r="AX26" t="n">
        <v>5</v>
      </c>
      <c r="AY26" t="n">
        <v>8</v>
      </c>
      <c r="AZ26" t="n">
        <v>2</v>
      </c>
      <c r="BA26" t="n">
        <v>3</v>
      </c>
      <c r="BB26" t="n">
        <v>5</v>
      </c>
      <c r="BC26" t="n">
        <v>7</v>
      </c>
      <c r="BD26" t="n">
        <v>3</v>
      </c>
      <c r="BE26" t="n">
        <v>7</v>
      </c>
      <c r="BF26" t="n">
        <v>11</v>
      </c>
      <c r="BG26" t="n">
        <v>10</v>
      </c>
      <c r="BH26" t="n">
        <v>10</v>
      </c>
      <c r="BI26" t="n">
        <v>1</v>
      </c>
      <c r="BJ26" t="n">
        <v>6</v>
      </c>
      <c r="BK26" t="n">
        <v>4</v>
      </c>
      <c r="BL26" t="n">
        <v>3</v>
      </c>
      <c r="BM26" t="n">
        <v>3</v>
      </c>
      <c r="BN26" t="n">
        <v>7</v>
      </c>
      <c r="BO26" t="n">
        <v>4</v>
      </c>
      <c r="BP26" t="n">
        <v>2</v>
      </c>
      <c r="BQ26" t="n">
        <v>9</v>
      </c>
    </row>
    <row r="27">
      <c r="B27" t="inlineStr">
        <is>
          <t>Maxwell Redman</t>
        </is>
      </c>
      <c r="C27" t="n">
        <v>16</v>
      </c>
      <c r="D27" t="n">
        <v>57</v>
      </c>
      <c r="E27" t="n">
        <v>78</v>
      </c>
      <c r="F27" t="inlineStr">
        <is>
          <t>Australia,England</t>
        </is>
      </c>
      <c r="G27" t="inlineStr">
        <is>
          <t>Brixham</t>
        </is>
      </c>
      <c r="H27" t="inlineStr">
        <is>
          <t>£2,104</t>
        </is>
      </c>
      <c r="I27" t="inlineStr">
        <is>
          <t>D LC</t>
        </is>
      </c>
      <c r="J27" t="n">
        <v>49.26</v>
      </c>
      <c r="K27" t="n">
        <v>62.05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15</v>
      </c>
      <c r="R27" t="n">
        <v>20</v>
      </c>
      <c r="S27" t="n">
        <v>1</v>
      </c>
      <c r="T27" t="n">
        <v>1</v>
      </c>
      <c r="U27" t="n">
        <v>8</v>
      </c>
      <c r="V27" t="n">
        <v>7</v>
      </c>
      <c r="W27" t="inlineStr">
        <is>
          <t>£13</t>
        </is>
      </c>
      <c r="X27" t="n">
        <v>13</v>
      </c>
      <c r="Y27" t="n">
        <v>20</v>
      </c>
      <c r="Z27" t="n">
        <v>12</v>
      </c>
      <c r="AA27" t="n">
        <v>11</v>
      </c>
      <c r="AB27" t="n">
        <v>7</v>
      </c>
      <c r="AC27" t="n">
        <v>6</v>
      </c>
      <c r="AD27" t="n">
        <v>6</v>
      </c>
      <c r="AE27" t="n">
        <v>1</v>
      </c>
      <c r="AF27" t="n">
        <v>3</v>
      </c>
      <c r="AG27" t="n">
        <v>1</v>
      </c>
      <c r="AH27" t="n">
        <v>1</v>
      </c>
      <c r="AI27" t="n">
        <v>3</v>
      </c>
      <c r="AJ27" t="n">
        <v>1</v>
      </c>
      <c r="AK27" t="n">
        <v>1</v>
      </c>
      <c r="AL27" t="n">
        <v>3</v>
      </c>
      <c r="AM27" t="n">
        <v>3</v>
      </c>
      <c r="AN27" t="n">
        <v>1</v>
      </c>
      <c r="AO27" t="n">
        <v>3</v>
      </c>
      <c r="AP27" t="n">
        <v>12</v>
      </c>
      <c r="AQ27" t="n">
        <v>6</v>
      </c>
      <c r="AR27" t="n">
        <v>17</v>
      </c>
      <c r="AS27" t="n">
        <v>7</v>
      </c>
      <c r="AT27" t="n">
        <v>9</v>
      </c>
      <c r="AU27" t="n">
        <v>9</v>
      </c>
      <c r="AV27" t="n">
        <v>14</v>
      </c>
      <c r="AW27" t="n">
        <v>2</v>
      </c>
      <c r="AX27" t="n">
        <v>12</v>
      </c>
      <c r="AY27" t="n">
        <v>3</v>
      </c>
      <c r="AZ27" t="n">
        <v>11</v>
      </c>
      <c r="BA27" t="n">
        <v>4</v>
      </c>
      <c r="BB27" t="n">
        <v>3</v>
      </c>
      <c r="BC27" t="n">
        <v>7</v>
      </c>
      <c r="BD27" t="n">
        <v>3</v>
      </c>
      <c r="BE27" t="n">
        <v>6</v>
      </c>
      <c r="BF27" t="n">
        <v>4</v>
      </c>
      <c r="BG27" t="n">
        <v>2</v>
      </c>
      <c r="BH27" t="n">
        <v>7</v>
      </c>
      <c r="BI27" t="n">
        <v>3</v>
      </c>
      <c r="BJ27" t="n">
        <v>11</v>
      </c>
      <c r="BK27" t="n">
        <v>4</v>
      </c>
      <c r="BL27" t="n">
        <v>4</v>
      </c>
      <c r="BM27" t="n">
        <v>12</v>
      </c>
      <c r="BN27" t="n">
        <v>5</v>
      </c>
      <c r="BO27" t="n">
        <v>2</v>
      </c>
      <c r="BP27" t="n">
        <v>10</v>
      </c>
      <c r="BQ27" t="n">
        <v>7</v>
      </c>
    </row>
    <row r="28">
      <c r="B28" t="inlineStr">
        <is>
          <t>Karnell Dunton</t>
        </is>
      </c>
      <c r="C28" t="n">
        <v>17</v>
      </c>
      <c r="D28" t="n">
        <v>35</v>
      </c>
      <c r="E28" t="n">
        <v>91</v>
      </c>
      <c r="F28" t="inlineStr">
        <is>
          <t>England</t>
        </is>
      </c>
      <c r="G28" t="inlineStr">
        <is>
          <t>Brixham</t>
        </is>
      </c>
      <c r="H28" t="inlineStr">
        <is>
          <t>£1,581</t>
        </is>
      </c>
      <c r="I28" t="inlineStr">
        <is>
          <t xml:space="preserve">ST </t>
        </is>
      </c>
      <c r="J28" t="n">
        <v>39.24</v>
      </c>
      <c r="K28" t="n">
        <v>61.58</v>
      </c>
      <c r="L28" t="n">
        <v>20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11</v>
      </c>
      <c r="V28" t="n">
        <v>7</v>
      </c>
      <c r="W28" t="inlineStr">
        <is>
          <t>£4</t>
        </is>
      </c>
      <c r="X28" t="n">
        <v>12</v>
      </c>
      <c r="Y28" t="n">
        <v>9</v>
      </c>
      <c r="Z28" t="n">
        <v>12</v>
      </c>
      <c r="AA28" t="n">
        <v>7</v>
      </c>
      <c r="AB28" t="n">
        <v>20</v>
      </c>
      <c r="AC28" t="n">
        <v>6</v>
      </c>
      <c r="AD28" t="n">
        <v>9</v>
      </c>
      <c r="AE28" t="n">
        <v>3</v>
      </c>
      <c r="AF28" t="n">
        <v>3</v>
      </c>
      <c r="AG28" t="n">
        <v>1</v>
      </c>
      <c r="AH28" t="n">
        <v>2</v>
      </c>
      <c r="AI28" t="n">
        <v>4</v>
      </c>
      <c r="AJ28" t="n">
        <v>3</v>
      </c>
      <c r="AK28" t="n">
        <v>1</v>
      </c>
      <c r="AL28" t="n">
        <v>1</v>
      </c>
      <c r="AM28" t="n">
        <v>3</v>
      </c>
      <c r="AN28" t="n">
        <v>3</v>
      </c>
      <c r="AO28" t="n">
        <v>1</v>
      </c>
      <c r="AP28" t="n">
        <v>10</v>
      </c>
      <c r="AQ28" t="n">
        <v>5</v>
      </c>
      <c r="AR28" t="n">
        <v>16</v>
      </c>
      <c r="AS28" t="n">
        <v>5</v>
      </c>
      <c r="AT28" t="n">
        <v>3</v>
      </c>
      <c r="AU28" t="n">
        <v>6</v>
      </c>
      <c r="AV28" t="n">
        <v>12</v>
      </c>
      <c r="AW28" t="n">
        <v>16</v>
      </c>
      <c r="AX28" t="n">
        <v>9</v>
      </c>
      <c r="AY28" t="n">
        <v>3</v>
      </c>
      <c r="AZ28" t="n">
        <v>4</v>
      </c>
      <c r="BA28" t="n">
        <v>10</v>
      </c>
      <c r="BB28" t="n">
        <v>3</v>
      </c>
      <c r="BC28" t="n">
        <v>5</v>
      </c>
      <c r="BD28" t="n">
        <v>5</v>
      </c>
      <c r="BE28" t="n">
        <v>2</v>
      </c>
      <c r="BF28" t="n">
        <v>9</v>
      </c>
      <c r="BG28" t="n">
        <v>7</v>
      </c>
      <c r="BH28" t="n">
        <v>10</v>
      </c>
      <c r="BI28" t="n">
        <v>8</v>
      </c>
      <c r="BJ28" t="n">
        <v>13</v>
      </c>
      <c r="BK28" t="n">
        <v>3</v>
      </c>
      <c r="BL28" t="n">
        <v>1</v>
      </c>
      <c r="BM28" t="n">
        <v>1</v>
      </c>
      <c r="BN28" t="n">
        <v>9</v>
      </c>
      <c r="BO28" t="n">
        <v>1</v>
      </c>
      <c r="BP28" t="n">
        <v>1</v>
      </c>
      <c r="BQ28" t="n">
        <v>15</v>
      </c>
    </row>
    <row r="29">
      <c r="B29" t="inlineStr">
        <is>
          <t>Joseph James</t>
        </is>
      </c>
      <c r="C29" t="n">
        <v>20</v>
      </c>
      <c r="D29" t="n">
        <v>60</v>
      </c>
      <c r="E29" t="n">
        <v>80</v>
      </c>
      <c r="F29" t="inlineStr">
        <is>
          <t>England</t>
        </is>
      </c>
      <c r="G29" t="inlineStr">
        <is>
          <t>Brixham</t>
        </is>
      </c>
      <c r="H29" t="inlineStr">
        <is>
          <t>£0</t>
        </is>
      </c>
      <c r="I29" t="inlineStr">
        <is>
          <t>D RC</t>
        </is>
      </c>
      <c r="J29" t="n">
        <v>47.13</v>
      </c>
      <c r="K29" t="n">
        <v>58.91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16</v>
      </c>
      <c r="S29" t="n">
        <v>20</v>
      </c>
      <c r="T29" t="n">
        <v>1</v>
      </c>
      <c r="U29" t="n">
        <v>8</v>
      </c>
      <c r="V29" t="n">
        <v>9</v>
      </c>
      <c r="W29" t="inlineStr">
        <is>
          <t>£8</t>
        </is>
      </c>
      <c r="X29" t="n">
        <v>13</v>
      </c>
      <c r="Y29" t="n">
        <v>10</v>
      </c>
      <c r="Z29" t="n">
        <v>11</v>
      </c>
      <c r="AA29" t="n">
        <v>11</v>
      </c>
      <c r="AB29" t="n">
        <v>20</v>
      </c>
      <c r="AC29" t="n">
        <v>6</v>
      </c>
      <c r="AD29" t="n">
        <v>7</v>
      </c>
      <c r="AE29" t="n">
        <v>1</v>
      </c>
      <c r="AF29" t="n">
        <v>1</v>
      </c>
      <c r="AG29" t="n">
        <v>3</v>
      </c>
      <c r="AH29" t="n">
        <v>3</v>
      </c>
      <c r="AI29" t="n">
        <v>3</v>
      </c>
      <c r="AJ29" t="n">
        <v>2</v>
      </c>
      <c r="AK29" t="n">
        <v>2</v>
      </c>
      <c r="AL29" t="n">
        <v>3</v>
      </c>
      <c r="AM29" t="n">
        <v>1</v>
      </c>
      <c r="AN29" t="n">
        <v>3</v>
      </c>
      <c r="AO29" t="n">
        <v>4</v>
      </c>
      <c r="AP29" t="n">
        <v>15</v>
      </c>
      <c r="AQ29" t="n">
        <v>7</v>
      </c>
      <c r="AR29" t="n">
        <v>11</v>
      </c>
      <c r="AS29" t="n">
        <v>12</v>
      </c>
      <c r="AT29" t="n">
        <v>7</v>
      </c>
      <c r="AU29" t="n">
        <v>12</v>
      </c>
      <c r="AV29" t="n">
        <v>5</v>
      </c>
      <c r="AW29" t="n">
        <v>6</v>
      </c>
      <c r="AX29" t="n">
        <v>4</v>
      </c>
      <c r="AY29" t="n">
        <v>5</v>
      </c>
      <c r="AZ29" t="n">
        <v>11</v>
      </c>
      <c r="BA29" t="n">
        <v>7</v>
      </c>
      <c r="BB29" t="n">
        <v>3</v>
      </c>
      <c r="BC29" t="n">
        <v>8</v>
      </c>
      <c r="BD29" t="n">
        <v>6</v>
      </c>
      <c r="BE29" t="n">
        <v>6</v>
      </c>
      <c r="BF29" t="n">
        <v>6</v>
      </c>
      <c r="BG29" t="n">
        <v>3</v>
      </c>
      <c r="BH29" t="n">
        <v>8</v>
      </c>
      <c r="BI29" t="n">
        <v>6</v>
      </c>
      <c r="BJ29" t="n">
        <v>9</v>
      </c>
      <c r="BK29" t="n">
        <v>4</v>
      </c>
      <c r="BL29" t="n">
        <v>10</v>
      </c>
      <c r="BM29" t="n">
        <v>9</v>
      </c>
      <c r="BN29" t="n">
        <v>6</v>
      </c>
      <c r="BO29" t="n">
        <v>1</v>
      </c>
      <c r="BP29" t="n">
        <v>11</v>
      </c>
      <c r="BQ29" t="n">
        <v>7</v>
      </c>
    </row>
    <row r="30">
      <c r="B30" t="inlineStr">
        <is>
          <t>Junior McQuilken</t>
        </is>
      </c>
      <c r="C30" t="n">
        <v>20</v>
      </c>
      <c r="D30" t="n">
        <v>40</v>
      </c>
      <c r="E30" t="n">
        <v>78</v>
      </c>
      <c r="F30" t="inlineStr">
        <is>
          <t>Scotland</t>
        </is>
      </c>
      <c r="G30" t="inlineStr">
        <is>
          <t>Brixham</t>
        </is>
      </c>
      <c r="H30" t="inlineStr">
        <is>
          <t>£0</t>
        </is>
      </c>
      <c r="I30" t="inlineStr">
        <is>
          <t>D/WB L</t>
        </is>
      </c>
      <c r="J30" t="n">
        <v>38.84</v>
      </c>
      <c r="K30" t="n">
        <v>57.46</v>
      </c>
      <c r="L30" t="n">
        <v>1</v>
      </c>
      <c r="M30" t="n">
        <v>7</v>
      </c>
      <c r="N30" t="n">
        <v>1</v>
      </c>
      <c r="O30" t="n">
        <v>1</v>
      </c>
      <c r="P30" t="n">
        <v>1</v>
      </c>
      <c r="Q30" t="n">
        <v>20</v>
      </c>
      <c r="R30" t="n">
        <v>1</v>
      </c>
      <c r="S30" t="n">
        <v>1</v>
      </c>
      <c r="T30" t="n">
        <v>1</v>
      </c>
      <c r="U30" t="n">
        <v>13</v>
      </c>
      <c r="V30" t="n">
        <v>13</v>
      </c>
      <c r="W30" t="inlineStr">
        <is>
          <t>£3</t>
        </is>
      </c>
      <c r="X30" t="n">
        <v>5</v>
      </c>
      <c r="Y30" t="n">
        <v>20</v>
      </c>
      <c r="Z30" t="n">
        <v>15</v>
      </c>
      <c r="AA30" t="n">
        <v>14</v>
      </c>
      <c r="AB30" t="n">
        <v>8</v>
      </c>
      <c r="AC30" t="n">
        <v>8</v>
      </c>
      <c r="AD30" t="n">
        <v>2</v>
      </c>
      <c r="AE30" t="n">
        <v>1</v>
      </c>
      <c r="AF30" t="n">
        <v>3</v>
      </c>
      <c r="AG30" t="n">
        <v>1</v>
      </c>
      <c r="AH30" t="n">
        <v>2</v>
      </c>
      <c r="AI30" t="n">
        <v>2</v>
      </c>
      <c r="AJ30" t="n">
        <v>3</v>
      </c>
      <c r="AK30" t="n">
        <v>4</v>
      </c>
      <c r="AL30" t="n">
        <v>3</v>
      </c>
      <c r="AM30" t="n">
        <v>2</v>
      </c>
      <c r="AN30" t="n">
        <v>2</v>
      </c>
      <c r="AO30" t="n">
        <v>3</v>
      </c>
      <c r="AP30" t="n">
        <v>10</v>
      </c>
      <c r="AQ30" t="n">
        <v>7</v>
      </c>
      <c r="AR30" t="n">
        <v>6</v>
      </c>
      <c r="AS30" t="n">
        <v>6</v>
      </c>
      <c r="AT30" t="n">
        <v>6</v>
      </c>
      <c r="AU30" t="n">
        <v>10</v>
      </c>
      <c r="AV30" t="n">
        <v>3</v>
      </c>
      <c r="AW30" t="n">
        <v>7</v>
      </c>
      <c r="AX30" t="n">
        <v>5</v>
      </c>
      <c r="AY30" t="n">
        <v>3</v>
      </c>
      <c r="AZ30" t="n">
        <v>6</v>
      </c>
      <c r="BA30" t="n">
        <v>7</v>
      </c>
      <c r="BB30" t="n">
        <v>2</v>
      </c>
      <c r="BC30" t="n">
        <v>6</v>
      </c>
      <c r="BD30" t="n">
        <v>3</v>
      </c>
      <c r="BE30" t="n">
        <v>8</v>
      </c>
      <c r="BF30" t="n">
        <v>6</v>
      </c>
      <c r="BG30" t="n">
        <v>2</v>
      </c>
      <c r="BH30" t="n">
        <v>5</v>
      </c>
      <c r="BI30" t="n">
        <v>1</v>
      </c>
      <c r="BJ30" t="n">
        <v>4</v>
      </c>
      <c r="BK30" t="n">
        <v>4</v>
      </c>
      <c r="BL30" t="n">
        <v>5</v>
      </c>
      <c r="BM30" t="n">
        <v>5</v>
      </c>
      <c r="BN30" t="n">
        <v>8</v>
      </c>
      <c r="BO30" t="n">
        <v>1</v>
      </c>
      <c r="BP30" t="n">
        <v>9</v>
      </c>
      <c r="BQ30" t="n">
        <v>10</v>
      </c>
    </row>
    <row r="31">
      <c r="B31" t="inlineStr">
        <is>
          <t>Nnaemeka Anyanwu</t>
        </is>
      </c>
      <c r="C31" t="n">
        <v>20</v>
      </c>
      <c r="D31" t="n">
        <v>46</v>
      </c>
      <c r="E31" t="n">
        <v>71</v>
      </c>
      <c r="F31" t="inlineStr">
        <is>
          <t>England</t>
        </is>
      </c>
      <c r="G31" t="inlineStr">
        <is>
          <t>Brixham</t>
        </is>
      </c>
      <c r="H31" t="inlineStr">
        <is>
          <t>£0</t>
        </is>
      </c>
      <c r="I31" t="inlineStr">
        <is>
          <t>M/AM/ST L</t>
        </is>
      </c>
      <c r="J31" t="n">
        <v>42.24</v>
      </c>
      <c r="K31" t="n">
        <v>57.11</v>
      </c>
      <c r="L31" t="n">
        <v>18</v>
      </c>
      <c r="M31" t="n">
        <v>20</v>
      </c>
      <c r="N31" t="n">
        <v>12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13</v>
      </c>
      <c r="V31" t="n">
        <v>10</v>
      </c>
      <c r="W31" t="inlineStr">
        <is>
          <t>£6</t>
        </is>
      </c>
      <c r="X31" t="n">
        <v>5</v>
      </c>
      <c r="Y31" t="n">
        <v>20</v>
      </c>
      <c r="Z31" t="n">
        <v>15</v>
      </c>
      <c r="AA31" t="n">
        <v>12</v>
      </c>
      <c r="AB31" t="n">
        <v>8</v>
      </c>
      <c r="AC31" t="n">
        <v>8</v>
      </c>
      <c r="AD31" t="n">
        <v>3</v>
      </c>
      <c r="AE31" t="n">
        <v>3</v>
      </c>
      <c r="AF31" t="n">
        <v>1</v>
      </c>
      <c r="AG31" t="n">
        <v>4</v>
      </c>
      <c r="AH31" t="n">
        <v>2</v>
      </c>
      <c r="AI31" t="n">
        <v>4</v>
      </c>
      <c r="AJ31" t="n">
        <v>1</v>
      </c>
      <c r="AK31" t="n">
        <v>3</v>
      </c>
      <c r="AL31" t="n">
        <v>3</v>
      </c>
      <c r="AM31" t="n">
        <v>3</v>
      </c>
      <c r="AN31" t="n">
        <v>1</v>
      </c>
      <c r="AO31" t="n">
        <v>3</v>
      </c>
      <c r="AP31" t="n">
        <v>12</v>
      </c>
      <c r="AQ31" t="n">
        <v>6</v>
      </c>
      <c r="AR31" t="n">
        <v>5</v>
      </c>
      <c r="AS31" t="n">
        <v>6</v>
      </c>
      <c r="AT31" t="n">
        <v>5</v>
      </c>
      <c r="AU31" t="n">
        <v>9</v>
      </c>
      <c r="AV31" t="n">
        <v>4</v>
      </c>
      <c r="AW31" t="n">
        <v>8</v>
      </c>
      <c r="AX31" t="n">
        <v>10</v>
      </c>
      <c r="AY31" t="n">
        <v>9</v>
      </c>
      <c r="AZ31" t="n">
        <v>4</v>
      </c>
      <c r="BA31" t="n">
        <v>4</v>
      </c>
      <c r="BB31" t="n">
        <v>5</v>
      </c>
      <c r="BC31" t="n">
        <v>6</v>
      </c>
      <c r="BD31" t="n">
        <v>3</v>
      </c>
      <c r="BE31" t="n">
        <v>6</v>
      </c>
      <c r="BF31" t="n">
        <v>10</v>
      </c>
      <c r="BG31" t="n">
        <v>9</v>
      </c>
      <c r="BH31" t="n">
        <v>4</v>
      </c>
      <c r="BI31" t="n">
        <v>3</v>
      </c>
      <c r="BJ31" t="n">
        <v>6</v>
      </c>
      <c r="BK31" t="n">
        <v>6</v>
      </c>
      <c r="BL31" t="n">
        <v>3</v>
      </c>
      <c r="BM31" t="n">
        <v>2</v>
      </c>
      <c r="BN31" t="n">
        <v>7</v>
      </c>
      <c r="BO31" t="n">
        <v>4</v>
      </c>
      <c r="BP31" t="n">
        <v>1</v>
      </c>
      <c r="BQ31" t="n">
        <v>9</v>
      </c>
    </row>
    <row r="32">
      <c r="B32" t="inlineStr">
        <is>
          <t>Gabe Reivers</t>
        </is>
      </c>
      <c r="C32" t="n">
        <v>19</v>
      </c>
      <c r="D32" t="n">
        <v>52</v>
      </c>
      <c r="E32" t="n">
        <v>81</v>
      </c>
      <c r="F32" t="inlineStr">
        <is>
          <t>England</t>
        </is>
      </c>
      <c r="G32" t="inlineStr">
        <is>
          <t>Brixham</t>
        </is>
      </c>
      <c r="H32" t="inlineStr">
        <is>
          <t>£0</t>
        </is>
      </c>
      <c r="I32" t="inlineStr">
        <is>
          <t>M/AM C</t>
        </is>
      </c>
      <c r="J32" t="n">
        <v>41.79</v>
      </c>
      <c r="K32" t="n">
        <v>56.76</v>
      </c>
      <c r="L32" t="n">
        <v>1</v>
      </c>
      <c r="M32" t="n">
        <v>2</v>
      </c>
      <c r="N32" t="n">
        <v>17</v>
      </c>
      <c r="O32" t="n">
        <v>3</v>
      </c>
      <c r="P32" t="n">
        <v>7</v>
      </c>
      <c r="Q32" t="n">
        <v>1</v>
      </c>
      <c r="R32" t="n">
        <v>1</v>
      </c>
      <c r="S32" t="n">
        <v>1</v>
      </c>
      <c r="T32" t="n">
        <v>1</v>
      </c>
      <c r="U32" t="n">
        <v>7</v>
      </c>
      <c r="V32" t="n">
        <v>11</v>
      </c>
      <c r="W32" t="inlineStr">
        <is>
          <t>£5</t>
        </is>
      </c>
      <c r="X32" t="n">
        <v>11</v>
      </c>
      <c r="Y32" t="n">
        <v>11</v>
      </c>
      <c r="Z32" t="n">
        <v>7</v>
      </c>
      <c r="AA32" t="n">
        <v>12</v>
      </c>
      <c r="AB32" t="n">
        <v>20</v>
      </c>
      <c r="AC32" t="n">
        <v>7</v>
      </c>
      <c r="AD32" t="n">
        <v>3</v>
      </c>
      <c r="AE32" t="n">
        <v>2</v>
      </c>
      <c r="AF32" t="n">
        <v>1</v>
      </c>
      <c r="AG32" t="n">
        <v>2</v>
      </c>
      <c r="AH32" t="n">
        <v>1</v>
      </c>
      <c r="AI32" t="n">
        <v>1</v>
      </c>
      <c r="AJ32" t="n">
        <v>1</v>
      </c>
      <c r="AK32" t="n">
        <v>2</v>
      </c>
      <c r="AL32" t="n">
        <v>1</v>
      </c>
      <c r="AM32" t="n">
        <v>1</v>
      </c>
      <c r="AN32" t="n">
        <v>3</v>
      </c>
      <c r="AO32" t="n">
        <v>2</v>
      </c>
      <c r="AP32" t="n">
        <v>10</v>
      </c>
      <c r="AQ32" t="n">
        <v>7</v>
      </c>
      <c r="AR32" t="n">
        <v>6</v>
      </c>
      <c r="AS32" t="n">
        <v>7</v>
      </c>
      <c r="AT32" t="n">
        <v>5</v>
      </c>
      <c r="AU32" t="n">
        <v>12</v>
      </c>
      <c r="AV32" t="n">
        <v>5</v>
      </c>
      <c r="AW32" t="n">
        <v>12</v>
      </c>
      <c r="AX32" t="n">
        <v>2</v>
      </c>
      <c r="AY32" t="n">
        <v>8</v>
      </c>
      <c r="AZ32" t="n">
        <v>4</v>
      </c>
      <c r="BA32" t="n">
        <v>5</v>
      </c>
      <c r="BB32" t="n">
        <v>11</v>
      </c>
      <c r="BC32" t="n">
        <v>10</v>
      </c>
      <c r="BD32" t="n">
        <v>4</v>
      </c>
      <c r="BE32" t="n">
        <v>3</v>
      </c>
      <c r="BF32" t="n">
        <v>7</v>
      </c>
      <c r="BG32" t="n">
        <v>8</v>
      </c>
      <c r="BH32" t="n">
        <v>13</v>
      </c>
      <c r="BI32" t="n">
        <v>3</v>
      </c>
      <c r="BJ32" t="n">
        <v>4</v>
      </c>
      <c r="BK32" t="n">
        <v>5</v>
      </c>
      <c r="BL32" t="n">
        <v>3</v>
      </c>
      <c r="BM32" t="n">
        <v>7</v>
      </c>
      <c r="BN32" t="n">
        <v>6</v>
      </c>
      <c r="BO32" t="n">
        <v>2</v>
      </c>
      <c r="BP32" t="n">
        <v>6</v>
      </c>
      <c r="BQ32" t="n">
        <v>12</v>
      </c>
    </row>
    <row r="33">
      <c r="B33" t="inlineStr">
        <is>
          <t>Joshua Adepoju</t>
        </is>
      </c>
      <c r="C33" t="n">
        <v>20</v>
      </c>
      <c r="D33" t="n">
        <v>53</v>
      </c>
      <c r="E33" t="n">
        <v>73</v>
      </c>
      <c r="F33" t="inlineStr">
        <is>
          <t>England</t>
        </is>
      </c>
      <c r="G33" t="inlineStr">
        <is>
          <t>Brixham</t>
        </is>
      </c>
      <c r="H33" t="inlineStr">
        <is>
          <t>£0</t>
        </is>
      </c>
      <c r="I33" t="inlineStr">
        <is>
          <t>AM/ST R</t>
        </is>
      </c>
      <c r="J33" t="n">
        <v>44.1</v>
      </c>
      <c r="K33" t="n">
        <v>56.19</v>
      </c>
      <c r="L33" t="n">
        <v>20</v>
      </c>
      <c r="M33" t="n">
        <v>1</v>
      </c>
      <c r="N33" t="n">
        <v>13</v>
      </c>
      <c r="O33" t="n">
        <v>18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11</v>
      </c>
      <c r="V33" t="n">
        <v>9</v>
      </c>
      <c r="W33" t="inlineStr">
        <is>
          <t>£9</t>
        </is>
      </c>
      <c r="X33" t="n">
        <v>6</v>
      </c>
      <c r="Y33" t="n">
        <v>12</v>
      </c>
      <c r="Z33" t="n">
        <v>12</v>
      </c>
      <c r="AA33" t="n">
        <v>11</v>
      </c>
      <c r="AB33" t="n">
        <v>20</v>
      </c>
      <c r="AC33" t="n">
        <v>11</v>
      </c>
      <c r="AD33" t="n">
        <v>8</v>
      </c>
      <c r="AE33" t="n">
        <v>1</v>
      </c>
      <c r="AF33" t="n">
        <v>3</v>
      </c>
      <c r="AG33" t="n">
        <v>1</v>
      </c>
      <c r="AH33" t="n">
        <v>1</v>
      </c>
      <c r="AI33" t="n">
        <v>2</v>
      </c>
      <c r="AJ33" t="n">
        <v>3</v>
      </c>
      <c r="AK33" t="n">
        <v>1</v>
      </c>
      <c r="AL33" t="n">
        <v>2</v>
      </c>
      <c r="AM33" t="n">
        <v>2</v>
      </c>
      <c r="AN33" t="n">
        <v>1</v>
      </c>
      <c r="AO33" t="n">
        <v>3</v>
      </c>
      <c r="AP33" t="n">
        <v>6</v>
      </c>
      <c r="AQ33" t="n">
        <v>8</v>
      </c>
      <c r="AR33" t="n">
        <v>6</v>
      </c>
      <c r="AS33" t="n">
        <v>7</v>
      </c>
      <c r="AT33" t="n">
        <v>7</v>
      </c>
      <c r="AU33" t="n">
        <v>6</v>
      </c>
      <c r="AV33" t="n">
        <v>16</v>
      </c>
      <c r="AW33" t="n">
        <v>7</v>
      </c>
      <c r="AX33" t="n">
        <v>5</v>
      </c>
      <c r="AY33" t="n">
        <v>11</v>
      </c>
      <c r="AZ33" t="n">
        <v>8</v>
      </c>
      <c r="BA33" t="n">
        <v>7</v>
      </c>
      <c r="BB33" t="n">
        <v>6</v>
      </c>
      <c r="BC33" t="n">
        <v>9</v>
      </c>
      <c r="BD33" t="n">
        <v>5</v>
      </c>
      <c r="BE33" t="n">
        <v>7</v>
      </c>
      <c r="BF33" t="n">
        <v>11</v>
      </c>
      <c r="BG33" t="n">
        <v>8</v>
      </c>
      <c r="BH33" t="n">
        <v>7</v>
      </c>
      <c r="BI33" t="n">
        <v>6</v>
      </c>
      <c r="BJ33" t="n">
        <v>6</v>
      </c>
      <c r="BK33" t="n">
        <v>4</v>
      </c>
      <c r="BL33" t="n">
        <v>6</v>
      </c>
      <c r="BM33" t="n">
        <v>7</v>
      </c>
      <c r="BN33" t="n">
        <v>8</v>
      </c>
      <c r="BO33" t="n">
        <v>5</v>
      </c>
      <c r="BP33" t="n">
        <v>4</v>
      </c>
      <c r="BQ33" t="n">
        <v>7</v>
      </c>
    </row>
    <row r="34">
      <c r="B34" t="inlineStr">
        <is>
          <t>Connor Underhill</t>
        </is>
      </c>
      <c r="C34" t="n">
        <v>20</v>
      </c>
      <c r="D34" t="n">
        <v>55</v>
      </c>
      <c r="E34" t="n">
        <v>63</v>
      </c>
      <c r="F34" t="inlineStr">
        <is>
          <t>England</t>
        </is>
      </c>
      <c r="G34" t="inlineStr">
        <is>
          <t>Brixham</t>
        </is>
      </c>
      <c r="H34" t="inlineStr">
        <is>
          <t>£6,551</t>
        </is>
      </c>
      <c r="I34" t="inlineStr">
        <is>
          <t>M C</t>
        </is>
      </c>
      <c r="J34" t="n">
        <v>46.2</v>
      </c>
      <c r="K34" t="n">
        <v>52.07</v>
      </c>
      <c r="L34" t="n">
        <v>1</v>
      </c>
      <c r="M34" t="n">
        <v>1</v>
      </c>
      <c r="N34" t="n">
        <v>15</v>
      </c>
      <c r="O34" t="n">
        <v>1</v>
      </c>
      <c r="P34" t="n">
        <v>3</v>
      </c>
      <c r="Q34" t="n">
        <v>1</v>
      </c>
      <c r="R34" t="n">
        <v>1</v>
      </c>
      <c r="S34" t="n">
        <v>3</v>
      </c>
      <c r="T34" t="n">
        <v>1</v>
      </c>
      <c r="U34" t="n">
        <v>9</v>
      </c>
      <c r="V34" t="n">
        <v>8</v>
      </c>
      <c r="W34" t="inlineStr">
        <is>
          <t>£7</t>
        </is>
      </c>
      <c r="X34" t="n">
        <v>6</v>
      </c>
      <c r="Y34" t="n">
        <v>12</v>
      </c>
      <c r="Z34" t="n">
        <v>12</v>
      </c>
      <c r="AA34" t="n">
        <v>10</v>
      </c>
      <c r="AB34" t="n">
        <v>20</v>
      </c>
      <c r="AC34" t="n">
        <v>9</v>
      </c>
      <c r="AD34" t="n">
        <v>6</v>
      </c>
      <c r="AE34" t="n">
        <v>3</v>
      </c>
      <c r="AF34" t="n">
        <v>2</v>
      </c>
      <c r="AG34" t="n">
        <v>1</v>
      </c>
      <c r="AH34" t="n">
        <v>3</v>
      </c>
      <c r="AI34" t="n">
        <v>2</v>
      </c>
      <c r="AJ34" t="n">
        <v>2</v>
      </c>
      <c r="AK34" t="n">
        <v>2</v>
      </c>
      <c r="AL34" t="n">
        <v>2</v>
      </c>
      <c r="AM34" t="n">
        <v>3</v>
      </c>
      <c r="AN34" t="n">
        <v>3</v>
      </c>
      <c r="AO34" t="n">
        <v>1</v>
      </c>
      <c r="AP34" t="n">
        <v>6</v>
      </c>
      <c r="AQ34" t="n">
        <v>6</v>
      </c>
      <c r="AR34" t="n">
        <v>3</v>
      </c>
      <c r="AS34" t="n">
        <v>6</v>
      </c>
      <c r="AT34" t="n">
        <v>2</v>
      </c>
      <c r="AU34" t="n">
        <v>12</v>
      </c>
      <c r="AV34" t="n">
        <v>14</v>
      </c>
      <c r="AW34" t="n">
        <v>11</v>
      </c>
      <c r="AX34" t="n">
        <v>12</v>
      </c>
      <c r="AY34" t="n">
        <v>12</v>
      </c>
      <c r="AZ34" t="n">
        <v>5</v>
      </c>
      <c r="BA34" t="n">
        <v>13</v>
      </c>
      <c r="BB34" t="n">
        <v>8</v>
      </c>
      <c r="BC34" t="n">
        <v>8</v>
      </c>
      <c r="BD34" t="n">
        <v>5</v>
      </c>
      <c r="BE34" t="n">
        <v>7</v>
      </c>
      <c r="BF34" t="n">
        <v>6</v>
      </c>
      <c r="BG34" t="n">
        <v>8</v>
      </c>
      <c r="BH34" t="n">
        <v>14</v>
      </c>
      <c r="BI34" t="n">
        <v>5</v>
      </c>
      <c r="BJ34" t="n">
        <v>5</v>
      </c>
      <c r="BK34" t="n">
        <v>6</v>
      </c>
      <c r="BL34" t="n">
        <v>3</v>
      </c>
      <c r="BM34" t="n">
        <v>7</v>
      </c>
      <c r="BN34" t="n">
        <v>12</v>
      </c>
      <c r="BO34" t="n">
        <v>3</v>
      </c>
      <c r="BP34" t="n">
        <v>3</v>
      </c>
      <c r="BQ34" t="n">
        <v>12</v>
      </c>
    </row>
    <row r="35">
      <c r="B35" t="inlineStr">
        <is>
          <t>Scott Aldridge</t>
        </is>
      </c>
      <c r="C35" t="n">
        <v>16</v>
      </c>
      <c r="D35" t="n">
        <v>54</v>
      </c>
      <c r="E35" t="n">
        <v>59</v>
      </c>
      <c r="F35" t="inlineStr">
        <is>
          <t>England</t>
        </is>
      </c>
      <c r="G35" t="inlineStr">
        <is>
          <t>Brixham</t>
        </is>
      </c>
      <c r="H35" t="inlineStr">
        <is>
          <t>£1,914</t>
        </is>
      </c>
      <c r="I35" t="inlineStr">
        <is>
          <t>M/AM RL</t>
        </is>
      </c>
      <c r="J35" t="n">
        <v>40.61</v>
      </c>
      <c r="K35" t="n">
        <v>44.06</v>
      </c>
      <c r="L35" t="n">
        <v>1</v>
      </c>
      <c r="M35" t="n">
        <v>12</v>
      </c>
      <c r="N35" t="n">
        <v>1</v>
      </c>
      <c r="O35" t="n">
        <v>16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15</v>
      </c>
      <c r="V35" t="n">
        <v>12</v>
      </c>
      <c r="W35" t="inlineStr">
        <is>
          <t>£6</t>
        </is>
      </c>
      <c r="X35" t="n">
        <v>5</v>
      </c>
      <c r="Y35" t="n">
        <v>11</v>
      </c>
      <c r="Z35" t="n">
        <v>16</v>
      </c>
      <c r="AA35" t="n">
        <v>13</v>
      </c>
      <c r="AB35" t="n">
        <v>20</v>
      </c>
      <c r="AC35" t="n">
        <v>9</v>
      </c>
      <c r="AD35" t="n">
        <v>3</v>
      </c>
      <c r="AE35" t="n">
        <v>3</v>
      </c>
      <c r="AF35" t="n">
        <v>3</v>
      </c>
      <c r="AG35" t="n">
        <v>1</v>
      </c>
      <c r="AH35" t="n">
        <v>3</v>
      </c>
      <c r="AI35" t="n">
        <v>2</v>
      </c>
      <c r="AJ35" t="n">
        <v>3</v>
      </c>
      <c r="AK35" t="n">
        <v>1</v>
      </c>
      <c r="AL35" t="n">
        <v>3</v>
      </c>
      <c r="AM35" t="n">
        <v>1</v>
      </c>
      <c r="AN35" t="n">
        <v>3</v>
      </c>
      <c r="AO35" t="n">
        <v>1</v>
      </c>
      <c r="AP35" t="n">
        <v>8</v>
      </c>
      <c r="AQ35" t="n">
        <v>4</v>
      </c>
      <c r="AR35" t="n">
        <v>4</v>
      </c>
      <c r="AS35" t="n">
        <v>5</v>
      </c>
      <c r="AT35" t="n">
        <v>4</v>
      </c>
      <c r="AU35" t="n">
        <v>4</v>
      </c>
      <c r="AV35" t="n">
        <v>4</v>
      </c>
      <c r="AW35" t="n">
        <v>6</v>
      </c>
      <c r="AX35" t="n">
        <v>9</v>
      </c>
      <c r="AY35" t="n">
        <v>6</v>
      </c>
      <c r="AZ35" t="n">
        <v>3</v>
      </c>
      <c r="BA35" t="n">
        <v>6</v>
      </c>
      <c r="BB35" t="n">
        <v>6</v>
      </c>
      <c r="BC35" t="n">
        <v>5</v>
      </c>
      <c r="BD35" t="n">
        <v>4</v>
      </c>
      <c r="BE35" t="n">
        <v>8</v>
      </c>
      <c r="BF35" t="n">
        <v>8</v>
      </c>
      <c r="BG35" t="n">
        <v>5</v>
      </c>
      <c r="BH35" t="n">
        <v>7</v>
      </c>
      <c r="BI35" t="n">
        <v>5</v>
      </c>
      <c r="BJ35" t="n">
        <v>5</v>
      </c>
      <c r="BK35" t="n">
        <v>6</v>
      </c>
      <c r="BL35" t="n">
        <v>3</v>
      </c>
      <c r="BM35" t="n">
        <v>3</v>
      </c>
      <c r="BN35" t="n">
        <v>6</v>
      </c>
      <c r="BO35" t="n">
        <v>1</v>
      </c>
      <c r="BP35" t="n">
        <v>4</v>
      </c>
      <c r="BQ35" t="n">
        <v>10</v>
      </c>
    </row>
    <row r="36">
      <c r="B36" t="inlineStr">
        <is>
          <t>Ashley Nicholls</t>
        </is>
      </c>
      <c r="C36" t="n">
        <v>16</v>
      </c>
      <c r="D36" t="n">
        <v>13</v>
      </c>
      <c r="E36" t="n">
        <v>61</v>
      </c>
      <c r="F36" t="inlineStr">
        <is>
          <t>England</t>
        </is>
      </c>
      <c r="G36" t="inlineStr">
        <is>
          <t>Brixham</t>
        </is>
      </c>
      <c r="H36" t="inlineStr">
        <is>
          <t>£1,232</t>
        </is>
      </c>
      <c r="I36" t="inlineStr">
        <is>
          <t xml:space="preserve">ST </t>
        </is>
      </c>
      <c r="J36" t="n">
        <v>36.1</v>
      </c>
      <c r="K36" t="n">
        <v>62.96</v>
      </c>
      <c r="L36" t="n">
        <v>20</v>
      </c>
      <c r="M36" t="n">
        <v>1</v>
      </c>
      <c r="N36" t="n">
        <v>1</v>
      </c>
      <c r="O36" t="n">
        <v>1</v>
      </c>
      <c r="P36" t="n">
        <v>2</v>
      </c>
      <c r="Q36" t="n">
        <v>1</v>
      </c>
      <c r="R36" t="n">
        <v>1</v>
      </c>
      <c r="S36" t="n">
        <v>1</v>
      </c>
      <c r="T36" t="n">
        <v>1</v>
      </c>
      <c r="U36" t="n">
        <v>10</v>
      </c>
      <c r="V36" t="n">
        <v>10</v>
      </c>
      <c r="W36" t="inlineStr">
        <is>
          <t>£2</t>
        </is>
      </c>
      <c r="X36" t="n">
        <v>9</v>
      </c>
      <c r="Y36" t="n">
        <v>9</v>
      </c>
      <c r="Z36" t="n">
        <v>12</v>
      </c>
      <c r="AA36" t="n">
        <v>11</v>
      </c>
      <c r="AB36" t="n">
        <v>20</v>
      </c>
      <c r="AC36" t="n">
        <v>4</v>
      </c>
      <c r="AD36" t="n">
        <v>1</v>
      </c>
      <c r="AE36" t="n">
        <v>1</v>
      </c>
      <c r="AF36" t="n">
        <v>3</v>
      </c>
      <c r="AG36" t="n">
        <v>3</v>
      </c>
      <c r="AH36" t="n">
        <v>1</v>
      </c>
      <c r="AI36" t="n">
        <v>4</v>
      </c>
      <c r="AJ36" t="n">
        <v>1</v>
      </c>
      <c r="AK36" t="n">
        <v>1</v>
      </c>
      <c r="AL36" t="n">
        <v>1</v>
      </c>
      <c r="AM36" t="n">
        <v>1</v>
      </c>
      <c r="AN36" t="n">
        <v>4</v>
      </c>
      <c r="AO36" t="n">
        <v>1</v>
      </c>
      <c r="AP36" t="n">
        <v>8</v>
      </c>
      <c r="AQ36" t="n">
        <v>5</v>
      </c>
      <c r="AR36" t="n">
        <v>7</v>
      </c>
      <c r="AS36" t="n">
        <v>7</v>
      </c>
      <c r="AT36" t="n">
        <v>2</v>
      </c>
      <c r="AU36" t="n">
        <v>4</v>
      </c>
      <c r="AV36" t="n">
        <v>13</v>
      </c>
      <c r="AW36" t="n">
        <v>11</v>
      </c>
      <c r="AX36" t="n">
        <v>10</v>
      </c>
      <c r="AY36" t="n">
        <v>6</v>
      </c>
      <c r="AZ36" t="n">
        <v>2</v>
      </c>
      <c r="BA36" t="n">
        <v>4</v>
      </c>
      <c r="BB36" t="n">
        <v>2</v>
      </c>
      <c r="BC36" t="n">
        <v>3</v>
      </c>
      <c r="BD36" t="n">
        <v>1</v>
      </c>
      <c r="BE36" t="n">
        <v>2</v>
      </c>
      <c r="BF36" t="n">
        <v>8</v>
      </c>
      <c r="BG36" t="n">
        <v>13</v>
      </c>
      <c r="BH36" t="n">
        <v>5</v>
      </c>
      <c r="BI36" t="n">
        <v>3</v>
      </c>
      <c r="BJ36" t="n">
        <v>4</v>
      </c>
      <c r="BK36" t="n">
        <v>2</v>
      </c>
      <c r="BL36" t="n">
        <v>2</v>
      </c>
      <c r="BM36" t="n">
        <v>1</v>
      </c>
      <c r="BN36" t="n">
        <v>1</v>
      </c>
      <c r="BO36" t="n">
        <v>6</v>
      </c>
      <c r="BP36" t="n">
        <v>1</v>
      </c>
      <c r="BQ36" t="n">
        <v>10</v>
      </c>
    </row>
    <row r="37">
      <c r="B37" t="inlineStr">
        <is>
          <t>Erdal Peker</t>
        </is>
      </c>
      <c r="C37" t="n">
        <v>16</v>
      </c>
      <c r="D37" t="n">
        <v>43</v>
      </c>
      <c r="E37" t="n">
        <v>98</v>
      </c>
      <c r="F37" t="inlineStr">
        <is>
          <t>England,Turkey</t>
        </is>
      </c>
      <c r="G37" t="inlineStr">
        <is>
          <t>Brixham</t>
        </is>
      </c>
      <c r="H37" t="inlineStr">
        <is>
          <t>£2,038</t>
        </is>
      </c>
      <c r="I37" t="inlineStr">
        <is>
          <t>AM R</t>
        </is>
      </c>
      <c r="J37" t="n">
        <v>38.43</v>
      </c>
      <c r="K37" t="n">
        <v>58.91</v>
      </c>
      <c r="L37" t="n">
        <v>1</v>
      </c>
      <c r="M37" t="n">
        <v>1</v>
      </c>
      <c r="N37" t="n">
        <v>1</v>
      </c>
      <c r="O37" t="n">
        <v>20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14</v>
      </c>
      <c r="V37" t="n">
        <v>12</v>
      </c>
      <c r="W37" t="inlineStr">
        <is>
          <t>£11</t>
        </is>
      </c>
      <c r="X37" t="n">
        <v>4</v>
      </c>
      <c r="Y37" t="n">
        <v>10</v>
      </c>
      <c r="Z37" t="n">
        <v>13</v>
      </c>
      <c r="AA37" t="n">
        <v>13</v>
      </c>
      <c r="AB37" t="n">
        <v>20</v>
      </c>
      <c r="AC37" t="n">
        <v>6</v>
      </c>
      <c r="AD37" t="n">
        <v>1</v>
      </c>
      <c r="AE37" t="n">
        <v>3</v>
      </c>
      <c r="AF37" t="n">
        <v>3</v>
      </c>
      <c r="AG37" t="n">
        <v>2</v>
      </c>
      <c r="AH37" t="n">
        <v>2</v>
      </c>
      <c r="AI37" t="n">
        <v>3</v>
      </c>
      <c r="AJ37" t="n">
        <v>3</v>
      </c>
      <c r="AK37" t="n">
        <v>1</v>
      </c>
      <c r="AL37" t="n">
        <v>1</v>
      </c>
      <c r="AM37" t="n">
        <v>1</v>
      </c>
      <c r="AN37" t="n">
        <v>2</v>
      </c>
      <c r="AO37" t="n">
        <v>1</v>
      </c>
      <c r="AP37" t="n">
        <v>9</v>
      </c>
      <c r="AQ37" t="n">
        <v>4</v>
      </c>
      <c r="AR37" t="n">
        <v>8</v>
      </c>
      <c r="AS37" t="n">
        <v>4</v>
      </c>
      <c r="AT37" t="n">
        <v>3</v>
      </c>
      <c r="AU37" t="n">
        <v>3</v>
      </c>
      <c r="AV37" t="n">
        <v>8</v>
      </c>
      <c r="AW37" t="n">
        <v>11</v>
      </c>
      <c r="AX37" t="n">
        <v>6</v>
      </c>
      <c r="AY37" t="n">
        <v>5</v>
      </c>
      <c r="AZ37" t="n">
        <v>1</v>
      </c>
      <c r="BA37" t="n">
        <v>2</v>
      </c>
      <c r="BB37" t="n">
        <v>6</v>
      </c>
      <c r="BC37" t="n">
        <v>6</v>
      </c>
      <c r="BD37" t="n">
        <v>3</v>
      </c>
      <c r="BE37" t="n">
        <v>6</v>
      </c>
      <c r="BF37" t="n">
        <v>5</v>
      </c>
      <c r="BG37" t="n">
        <v>7</v>
      </c>
      <c r="BH37" t="n">
        <v>13</v>
      </c>
      <c r="BI37" t="n">
        <v>1</v>
      </c>
      <c r="BJ37" t="n">
        <v>1</v>
      </c>
      <c r="BK37" t="n">
        <v>2</v>
      </c>
      <c r="BL37" t="n">
        <v>3</v>
      </c>
      <c r="BM37" t="n">
        <v>1</v>
      </c>
      <c r="BN37" t="n">
        <v>7</v>
      </c>
      <c r="BO37" t="n">
        <v>1</v>
      </c>
      <c r="BP37" t="n">
        <v>1</v>
      </c>
      <c r="BQ37" t="n">
        <v>10</v>
      </c>
    </row>
    <row r="38">
      <c r="B38" t="inlineStr">
        <is>
          <t>Paul Jarvis</t>
        </is>
      </c>
      <c r="C38" t="n">
        <v>16</v>
      </c>
      <c r="D38" t="n">
        <v>58</v>
      </c>
      <c r="E38" t="n">
        <v>86</v>
      </c>
      <c r="F38" t="inlineStr">
        <is>
          <t>Wales,England</t>
        </is>
      </c>
      <c r="G38" t="inlineStr">
        <is>
          <t>Brixham</t>
        </is>
      </c>
      <c r="H38" t="inlineStr">
        <is>
          <t>£2,085</t>
        </is>
      </c>
      <c r="I38" t="inlineStr">
        <is>
          <t>M/AM RL</t>
        </is>
      </c>
      <c r="J38" t="n">
        <v>42.69</v>
      </c>
      <c r="K38" t="n">
        <v>56.59</v>
      </c>
      <c r="L38" t="n">
        <v>1</v>
      </c>
      <c r="M38" t="n">
        <v>16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11</v>
      </c>
      <c r="V38" t="n">
        <v>14</v>
      </c>
      <c r="W38" t="inlineStr">
        <is>
          <t>£9</t>
        </is>
      </c>
      <c r="X38" t="n">
        <v>4</v>
      </c>
      <c r="Y38" t="n">
        <v>20</v>
      </c>
      <c r="Z38" t="n">
        <v>7</v>
      </c>
      <c r="AA38" t="n">
        <v>13</v>
      </c>
      <c r="AB38" t="n">
        <v>8</v>
      </c>
      <c r="AC38" t="n">
        <v>11</v>
      </c>
      <c r="AD38" t="n">
        <v>5</v>
      </c>
      <c r="AE38" t="n">
        <v>2</v>
      </c>
      <c r="AF38" t="n">
        <v>3</v>
      </c>
      <c r="AG38" t="n">
        <v>1</v>
      </c>
      <c r="AH38" t="n">
        <v>2</v>
      </c>
      <c r="AI38" t="n">
        <v>3</v>
      </c>
      <c r="AJ38" t="n">
        <v>3</v>
      </c>
      <c r="AK38" t="n">
        <v>1</v>
      </c>
      <c r="AL38" t="n">
        <v>3</v>
      </c>
      <c r="AM38" t="n">
        <v>2</v>
      </c>
      <c r="AN38" t="n">
        <v>1</v>
      </c>
      <c r="AO38" t="n">
        <v>2</v>
      </c>
      <c r="AP38" t="n">
        <v>12</v>
      </c>
      <c r="AQ38" t="n">
        <v>6</v>
      </c>
      <c r="AR38" t="n">
        <v>8</v>
      </c>
      <c r="AS38" t="n">
        <v>6</v>
      </c>
      <c r="AT38" t="n">
        <v>4</v>
      </c>
      <c r="AU38" t="n">
        <v>5</v>
      </c>
      <c r="AV38" t="n">
        <v>4</v>
      </c>
      <c r="AW38" t="n">
        <v>8</v>
      </c>
      <c r="AX38" t="n">
        <v>6</v>
      </c>
      <c r="AY38" t="n">
        <v>7</v>
      </c>
      <c r="AZ38" t="n">
        <v>2</v>
      </c>
      <c r="BA38" t="n">
        <v>10</v>
      </c>
      <c r="BB38" t="n">
        <v>5</v>
      </c>
      <c r="BC38" t="n">
        <v>15</v>
      </c>
      <c r="BD38" t="n">
        <v>6</v>
      </c>
      <c r="BE38" t="n">
        <v>8</v>
      </c>
      <c r="BF38" t="n">
        <v>10</v>
      </c>
      <c r="BG38" t="n">
        <v>6</v>
      </c>
      <c r="BH38" t="n">
        <v>6</v>
      </c>
      <c r="BI38" t="n">
        <v>11</v>
      </c>
      <c r="BJ38" t="n">
        <v>1</v>
      </c>
      <c r="BK38" t="n">
        <v>4</v>
      </c>
      <c r="BL38" t="n">
        <v>4</v>
      </c>
      <c r="BM38" t="n">
        <v>2</v>
      </c>
      <c r="BN38" t="n">
        <v>5</v>
      </c>
      <c r="BO38" t="n">
        <v>1</v>
      </c>
      <c r="BP38" t="n">
        <v>4</v>
      </c>
      <c r="BQ38" t="n">
        <v>8</v>
      </c>
    </row>
    <row r="39">
      <c r="B39" t="inlineStr">
        <is>
          <t>Jordan Tait</t>
        </is>
      </c>
      <c r="C39" t="n">
        <v>16</v>
      </c>
      <c r="D39" t="n">
        <v>37</v>
      </c>
      <c r="E39" t="n">
        <v>85</v>
      </c>
      <c r="F39" t="inlineStr">
        <is>
          <t>England</t>
        </is>
      </c>
      <c r="G39" t="inlineStr">
        <is>
          <t>Brixham</t>
        </is>
      </c>
      <c r="H39" t="inlineStr">
        <is>
          <t>£1,403</t>
        </is>
      </c>
      <c r="I39" t="inlineStr">
        <is>
          <t>D L</t>
        </is>
      </c>
      <c r="J39" t="n">
        <v>36.26</v>
      </c>
      <c r="K39" t="n">
        <v>56.26</v>
      </c>
      <c r="L39" t="n">
        <v>1</v>
      </c>
      <c r="M39" t="n">
        <v>2</v>
      </c>
      <c r="N39" t="n">
        <v>1</v>
      </c>
      <c r="O39" t="n">
        <v>1</v>
      </c>
      <c r="P39" t="n">
        <v>1</v>
      </c>
      <c r="Q39" t="n">
        <v>20</v>
      </c>
      <c r="R39" t="n">
        <v>1</v>
      </c>
      <c r="S39" t="n">
        <v>6</v>
      </c>
      <c r="T39" t="n">
        <v>1</v>
      </c>
      <c r="U39" t="n">
        <v>11</v>
      </c>
      <c r="V39" t="n">
        <v>13</v>
      </c>
      <c r="W39" t="inlineStr">
        <is>
          <t>£4</t>
        </is>
      </c>
      <c r="X39" t="n">
        <v>6</v>
      </c>
      <c r="Y39" t="n">
        <v>20</v>
      </c>
      <c r="Z39" t="n">
        <v>8</v>
      </c>
      <c r="AA39" t="n">
        <v>12</v>
      </c>
      <c r="AB39" t="n">
        <v>9</v>
      </c>
      <c r="AC39" t="n">
        <v>9</v>
      </c>
      <c r="AD39" t="n">
        <v>4</v>
      </c>
      <c r="AE39" t="n">
        <v>3</v>
      </c>
      <c r="AF39" t="n">
        <v>3</v>
      </c>
      <c r="AG39" t="n">
        <v>3</v>
      </c>
      <c r="AH39" t="n">
        <v>2</v>
      </c>
      <c r="AI39" t="n">
        <v>2</v>
      </c>
      <c r="AJ39" t="n">
        <v>2</v>
      </c>
      <c r="AK39" t="n">
        <v>3</v>
      </c>
      <c r="AL39" t="n">
        <v>1</v>
      </c>
      <c r="AM39" t="n">
        <v>1</v>
      </c>
      <c r="AN39" t="n">
        <v>3</v>
      </c>
      <c r="AO39" t="n">
        <v>3</v>
      </c>
      <c r="AP39" t="n">
        <v>7</v>
      </c>
      <c r="AQ39" t="n">
        <v>3</v>
      </c>
      <c r="AR39" t="n">
        <v>15</v>
      </c>
      <c r="AS39" t="n">
        <v>4</v>
      </c>
      <c r="AT39" t="n">
        <v>4</v>
      </c>
      <c r="AU39" t="n">
        <v>9</v>
      </c>
      <c r="AV39" t="n">
        <v>9</v>
      </c>
      <c r="AW39" t="n">
        <v>9</v>
      </c>
      <c r="AX39" t="n">
        <v>10</v>
      </c>
      <c r="AY39" t="n">
        <v>5</v>
      </c>
      <c r="AZ39" t="n">
        <v>6</v>
      </c>
      <c r="BA39" t="n">
        <v>9</v>
      </c>
      <c r="BB39" t="n">
        <v>3</v>
      </c>
      <c r="BC39" t="n">
        <v>13</v>
      </c>
      <c r="BD39" t="n">
        <v>2</v>
      </c>
      <c r="BE39" t="n">
        <v>6</v>
      </c>
      <c r="BF39" t="n">
        <v>4</v>
      </c>
      <c r="BG39" t="n">
        <v>3</v>
      </c>
      <c r="BH39" t="n">
        <v>4</v>
      </c>
      <c r="BI39" t="n">
        <v>2</v>
      </c>
      <c r="BJ39" t="n">
        <v>3</v>
      </c>
      <c r="BK39" t="n">
        <v>1</v>
      </c>
      <c r="BL39" t="n">
        <v>1</v>
      </c>
      <c r="BM39" t="n">
        <v>7</v>
      </c>
      <c r="BN39" t="n">
        <v>6</v>
      </c>
      <c r="BO39" t="n">
        <v>2</v>
      </c>
      <c r="BP39" t="n">
        <v>5</v>
      </c>
      <c r="BQ39" t="n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78"/>
  <sheetViews>
    <sheetView workbookViewId="0">
      <selection activeCell="BZ2" sqref="BZ2"/>
    </sheetView>
  </sheetViews>
  <sheetFormatPr baseColWidth="8" defaultRowHeight="15"/>
  <cols>
    <col width="15.85546875" bestFit="1" customWidth="1" style="46" min="3" max="3"/>
    <col width="12.85546875" bestFit="1" customWidth="1" style="46" min="4" max="4"/>
    <col width="40.5703125" bestFit="1" customWidth="1" style="46" min="5" max="5"/>
    <col width="14.85546875" bestFit="1" customWidth="1" style="46" min="15" max="15"/>
    <col width="8.85546875" customWidth="1" style="39" min="31" max="31"/>
  </cols>
  <sheetData>
    <row r="1">
      <c r="A1" t="inlineStr">
        <is>
          <t>Number</t>
        </is>
      </c>
      <c r="B1" t="inlineStr">
        <is>
          <t>Inf</t>
        </is>
      </c>
      <c r="C1" t="inlineStr">
        <is>
          <t>Name</t>
        </is>
      </c>
      <c r="D1" t="inlineStr">
        <is>
          <t>Positions</t>
        </is>
      </c>
      <c r="E1" t="inlineStr">
        <is>
          <t>Nationalities</t>
        </is>
      </c>
      <c r="F1" t="inlineStr">
        <is>
          <t>CA</t>
        </is>
      </c>
      <c r="G1" t="inlineStr">
        <is>
          <t>PA</t>
        </is>
      </c>
      <c r="H1" t="inlineStr">
        <is>
          <t>Age</t>
        </is>
      </c>
      <c r="I1" t="inlineStr">
        <is>
          <t>Current Rep.</t>
        </is>
      </c>
      <c r="J1" t="inlineStr">
        <is>
          <t>Asking Price</t>
        </is>
      </c>
      <c r="K1" t="inlineStr">
        <is>
          <t>Condition (%)</t>
        </is>
      </c>
      <c r="L1" t="inlineStr">
        <is>
          <t>Banned</t>
        </is>
      </c>
      <c r="M1" t="inlineStr">
        <is>
          <t>Is Injured</t>
        </is>
      </c>
      <c r="N1" t="inlineStr">
        <is>
          <t>Fatigue</t>
        </is>
      </c>
      <c r="O1" t="inlineStr">
        <is>
          <t>Match Sharpness</t>
        </is>
      </c>
      <c r="P1" t="inlineStr">
        <is>
          <t>Consistency</t>
        </is>
      </c>
      <c r="Q1" t="inlineStr">
        <is>
          <t>Dirtiness</t>
        </is>
      </c>
      <c r="R1" t="inlineStr">
        <is>
          <t>Important Matches</t>
        </is>
      </c>
      <c r="S1" t="inlineStr">
        <is>
          <t>Injury Proneness</t>
        </is>
      </c>
      <c r="T1" t="inlineStr">
        <is>
          <t>Versatility</t>
        </is>
      </c>
      <c r="U1" t="inlineStr">
        <is>
          <t>Adaptability</t>
        </is>
      </c>
      <c r="V1" t="inlineStr">
        <is>
          <t>Ambition</t>
        </is>
      </c>
      <c r="W1" t="inlineStr">
        <is>
          <t>Controversy</t>
        </is>
      </c>
      <c r="X1" t="inlineStr">
        <is>
          <t>Loyalty</t>
        </is>
      </c>
      <c r="Y1" t="inlineStr">
        <is>
          <t>Pressure</t>
        </is>
      </c>
      <c r="Z1" t="inlineStr">
        <is>
          <t>Professional</t>
        </is>
      </c>
      <c r="AA1" t="inlineStr">
        <is>
          <t>Sportsmanship</t>
        </is>
      </c>
      <c r="AB1" t="inlineStr">
        <is>
          <t>Temperament</t>
        </is>
      </c>
      <c r="AC1" t="inlineStr">
        <is>
          <t>Acceleration</t>
        </is>
      </c>
      <c r="AD1" t="inlineStr">
        <is>
          <t>Agility</t>
        </is>
      </c>
      <c r="AE1" s="39" t="inlineStr">
        <is>
          <t>Balance</t>
        </is>
      </c>
      <c r="AF1" t="inlineStr">
        <is>
          <t>Jumping</t>
        </is>
      </c>
      <c r="AG1" t="inlineStr">
        <is>
          <t>Left Foot</t>
        </is>
      </c>
      <c r="AH1" t="inlineStr">
        <is>
          <t>Natural Fitness</t>
        </is>
      </c>
      <c r="AI1" t="inlineStr">
        <is>
          <t>Pace</t>
        </is>
      </c>
      <c r="AJ1" t="inlineStr">
        <is>
          <t>Right Foot</t>
        </is>
      </c>
      <c r="AK1" t="inlineStr">
        <is>
          <t>Stamina</t>
        </is>
      </c>
      <c r="AL1" t="inlineStr">
        <is>
          <t>Strength</t>
        </is>
      </c>
      <c r="AM1" t="inlineStr">
        <is>
          <t>Aerial Ability</t>
        </is>
      </c>
      <c r="AN1" t="inlineStr">
        <is>
          <t>Command Of Area</t>
        </is>
      </c>
      <c r="AO1" t="inlineStr">
        <is>
          <t>Communication</t>
        </is>
      </c>
      <c r="AP1" t="inlineStr">
        <is>
          <t>Eccentricity</t>
        </is>
      </c>
      <c r="AQ1" t="inlineStr">
        <is>
          <t>Handling</t>
        </is>
      </c>
      <c r="AR1" t="inlineStr">
        <is>
          <t>Kicking</t>
        </is>
      </c>
      <c r="AS1" t="inlineStr">
        <is>
          <t>One On Ones</t>
        </is>
      </c>
      <c r="AT1" t="inlineStr">
        <is>
          <t>Reflexes</t>
        </is>
      </c>
      <c r="AU1" t="inlineStr">
        <is>
          <t>Rushing Out</t>
        </is>
      </c>
      <c r="AV1" t="inlineStr">
        <is>
          <t>Tendency To Punch</t>
        </is>
      </c>
      <c r="AW1" t="inlineStr">
        <is>
          <t>Throwing</t>
        </is>
      </c>
      <c r="AX1" t="inlineStr">
        <is>
          <t>Aggression</t>
        </is>
      </c>
      <c r="AY1" t="inlineStr">
        <is>
          <t>Anticipation</t>
        </is>
      </c>
      <c r="AZ1" t="inlineStr">
        <is>
          <t>Bravery</t>
        </is>
      </c>
      <c r="BA1" t="inlineStr">
        <is>
          <t>Composure</t>
        </is>
      </c>
      <c r="BB1" t="inlineStr">
        <is>
          <t>Concentration</t>
        </is>
      </c>
      <c r="BC1" t="inlineStr">
        <is>
          <t>Decisions</t>
        </is>
      </c>
      <c r="BD1" t="inlineStr">
        <is>
          <t>Determination</t>
        </is>
      </c>
      <c r="BE1" t="inlineStr">
        <is>
          <t>Flair</t>
        </is>
      </c>
      <c r="BF1" t="inlineStr">
        <is>
          <t>Leadership</t>
        </is>
      </c>
      <c r="BG1" t="inlineStr">
        <is>
          <t>Off The Ball</t>
        </is>
      </c>
      <c r="BH1" t="inlineStr">
        <is>
          <t>Positioning</t>
        </is>
      </c>
      <c r="BI1" t="inlineStr">
        <is>
          <t>Teamwork</t>
        </is>
      </c>
      <c r="BJ1" t="inlineStr">
        <is>
          <t>Vision</t>
        </is>
      </c>
      <c r="BK1" t="inlineStr">
        <is>
          <t>Workrate</t>
        </is>
      </c>
      <c r="BL1" t="inlineStr">
        <is>
          <t>Corners</t>
        </is>
      </c>
      <c r="BM1" t="inlineStr">
        <is>
          <t>Crossing</t>
        </is>
      </c>
      <c r="BN1" t="inlineStr">
        <is>
          <t>Dribbling</t>
        </is>
      </c>
      <c r="BO1" t="inlineStr">
        <is>
          <t>Finishing</t>
        </is>
      </c>
      <c r="BP1" t="inlineStr">
        <is>
          <t>First Touch</t>
        </is>
      </c>
      <c r="BQ1" t="inlineStr">
        <is>
          <t>Freekicks</t>
        </is>
      </c>
      <c r="BR1" t="inlineStr">
        <is>
          <t>Heading</t>
        </is>
      </c>
      <c r="BS1" t="inlineStr">
        <is>
          <t>Long Shots</t>
        </is>
      </c>
      <c r="BT1" t="inlineStr">
        <is>
          <t>Longthrows</t>
        </is>
      </c>
      <c r="BU1" t="inlineStr">
        <is>
          <t>Marking</t>
        </is>
      </c>
      <c r="BV1" t="inlineStr">
        <is>
          <t>Passing</t>
        </is>
      </c>
      <c r="BW1" t="inlineStr">
        <is>
          <t>Penalty Taking</t>
        </is>
      </c>
      <c r="BX1" t="inlineStr">
        <is>
          <t>Tackling</t>
        </is>
      </c>
      <c r="BY1" t="inlineStr">
        <is>
          <t>Technique</t>
        </is>
      </c>
      <c r="BZ1" t="inlineStr">
        <is>
          <t>GoalKeeper</t>
        </is>
      </c>
      <c r="CA1" t="inlineStr">
        <is>
          <t>Defender Right</t>
        </is>
      </c>
      <c r="CB1" t="inlineStr">
        <is>
          <t>Defender Center</t>
        </is>
      </c>
      <c r="CC1" t="inlineStr">
        <is>
          <t>Defender Left</t>
        </is>
      </c>
      <c r="CD1" t="inlineStr">
        <is>
          <t>Defensive Midfielder</t>
        </is>
      </c>
      <c r="CE1" t="inlineStr">
        <is>
          <t>Attacking Mid. Right</t>
        </is>
      </c>
      <c r="CF1" t="inlineStr">
        <is>
          <t>Attacking Mid. Center</t>
        </is>
      </c>
      <c r="CG1" t="inlineStr">
        <is>
          <t>Attacking Mid. Left</t>
        </is>
      </c>
      <c r="CH1" t="inlineStr">
        <is>
          <t>Striker</t>
        </is>
      </c>
      <c r="CI1" t="inlineStr">
        <is>
          <t>Club</t>
        </is>
      </c>
    </row>
    <row r="2">
      <c r="A2" t="n">
        <v>29</v>
      </c>
      <c r="B2" t="inlineStr"/>
      <c r="C2" t="inlineStr">
        <is>
          <t>Allan Hall</t>
        </is>
      </c>
      <c r="D2" t="inlineStr">
        <is>
          <t>DM/M/AM C</t>
        </is>
      </c>
      <c r="E2" t="inlineStr">
        <is>
          <t>England,Australia</t>
        </is>
      </c>
      <c r="F2" t="n">
        <v>82</v>
      </c>
      <c r="G2" t="n">
        <v>146</v>
      </c>
      <c r="H2" t="n">
        <v>17</v>
      </c>
      <c r="I2" t="n">
        <v>1175</v>
      </c>
      <c r="J2" t="inlineStr">
        <is>
          <t>$3,320</t>
        </is>
      </c>
      <c r="K2" t="n">
        <v>9560</v>
      </c>
      <c r="L2" t="inlineStr">
        <is>
          <t>False</t>
        </is>
      </c>
      <c r="M2" t="inlineStr">
        <is>
          <t>False</t>
        </is>
      </c>
      <c r="N2" t="n">
        <v>31</v>
      </c>
      <c r="O2" t="n">
        <v>9900</v>
      </c>
      <c r="P2" t="n">
        <v>13</v>
      </c>
      <c r="Q2" t="n">
        <v>8</v>
      </c>
      <c r="R2" t="n">
        <v>15</v>
      </c>
      <c r="S2" t="n">
        <v>8</v>
      </c>
      <c r="T2" t="n">
        <v>9</v>
      </c>
      <c r="U2" t="n">
        <v>11</v>
      </c>
      <c r="V2" t="n">
        <v>10</v>
      </c>
      <c r="W2" t="n">
        <v>7</v>
      </c>
      <c r="X2" t="n">
        <v>14</v>
      </c>
      <c r="Y2" t="n">
        <v>17</v>
      </c>
      <c r="Z2" t="n">
        <v>13</v>
      </c>
      <c r="AA2" t="n">
        <v>13</v>
      </c>
      <c r="AB2" t="n">
        <v>14</v>
      </c>
      <c r="AC2" t="n">
        <v>13</v>
      </c>
      <c r="AD2" t="n">
        <v>16</v>
      </c>
      <c r="AE2" t="inlineStr">
        <is>
          <t>$11</t>
        </is>
      </c>
      <c r="AF2" t="n">
        <v>3</v>
      </c>
      <c r="AG2" t="n">
        <v>12</v>
      </c>
      <c r="AH2" t="n">
        <v>13</v>
      </c>
      <c r="AI2" t="n">
        <v>13</v>
      </c>
      <c r="AJ2" t="n">
        <v>20</v>
      </c>
      <c r="AK2" t="n">
        <v>14</v>
      </c>
      <c r="AL2" t="n">
        <v>5</v>
      </c>
      <c r="AM2" t="n">
        <v>3</v>
      </c>
      <c r="AN2" t="n">
        <v>1</v>
      </c>
      <c r="AO2" t="n">
        <v>2</v>
      </c>
      <c r="AP2" t="n">
        <v>2</v>
      </c>
      <c r="AQ2" t="n">
        <v>2</v>
      </c>
      <c r="AR2" t="n">
        <v>2</v>
      </c>
      <c r="AS2" t="n">
        <v>1</v>
      </c>
      <c r="AT2" t="n">
        <v>3</v>
      </c>
      <c r="AU2" t="n">
        <v>3</v>
      </c>
      <c r="AV2" t="n">
        <v>4</v>
      </c>
      <c r="AW2" t="n">
        <v>2</v>
      </c>
      <c r="AX2" t="n">
        <v>10</v>
      </c>
      <c r="AY2" t="n">
        <v>8</v>
      </c>
      <c r="AZ2" t="n">
        <v>13</v>
      </c>
      <c r="BA2" t="n">
        <v>7</v>
      </c>
      <c r="BB2" t="n">
        <v>3</v>
      </c>
      <c r="BC2" t="n">
        <v>10</v>
      </c>
      <c r="BD2" t="n">
        <v>13</v>
      </c>
      <c r="BE2" t="n">
        <v>11</v>
      </c>
      <c r="BF2" t="n">
        <v>1</v>
      </c>
      <c r="BG2" t="n">
        <v>6</v>
      </c>
      <c r="BH2" t="n">
        <v>3</v>
      </c>
      <c r="BI2" t="n">
        <v>7</v>
      </c>
      <c r="BJ2" t="n">
        <v>12</v>
      </c>
      <c r="BK2" t="n">
        <v>13</v>
      </c>
      <c r="BL2" t="n">
        <v>3</v>
      </c>
      <c r="BM2" t="n">
        <v>8</v>
      </c>
      <c r="BN2" t="n">
        <v>6</v>
      </c>
      <c r="BO2" t="n">
        <v>8</v>
      </c>
      <c r="BP2" t="n">
        <v>9</v>
      </c>
      <c r="BQ2" t="n">
        <v>3</v>
      </c>
      <c r="BR2" t="n">
        <v>3</v>
      </c>
      <c r="BS2" t="n">
        <v>6</v>
      </c>
      <c r="BT2" t="n">
        <v>2</v>
      </c>
      <c r="BU2" t="n">
        <v>3</v>
      </c>
      <c r="BV2" t="n">
        <v>10</v>
      </c>
      <c r="BW2" t="n">
        <v>6</v>
      </c>
      <c r="BX2" t="n">
        <v>3</v>
      </c>
      <c r="BY2" t="n">
        <v>9</v>
      </c>
      <c r="BZ2" t="n">
        <v>1</v>
      </c>
      <c r="CA2" t="n">
        <v>1</v>
      </c>
      <c r="CB2" t="n">
        <v>1</v>
      </c>
      <c r="CC2" t="n">
        <v>1</v>
      </c>
      <c r="CD2" t="n">
        <v>20</v>
      </c>
      <c r="CE2" t="n">
        <v>6</v>
      </c>
      <c r="CF2" t="n">
        <v>16</v>
      </c>
      <c r="CG2" t="n">
        <v>1</v>
      </c>
      <c r="CH2" t="n">
        <v>1</v>
      </c>
      <c r="CI2" t="inlineStr"/>
    </row>
    <row r="3">
      <c r="A3" t="n">
        <v>1</v>
      </c>
      <c r="B3" t="inlineStr"/>
      <c r="C3" t="inlineStr">
        <is>
          <t>Ashley Sarahs</t>
        </is>
      </c>
      <c r="D3" t="inlineStr">
        <is>
          <t xml:space="preserve">GK </t>
        </is>
      </c>
      <c r="E3" t="inlineStr">
        <is>
          <t>Northern Ireland,England</t>
        </is>
      </c>
      <c r="F3" t="n">
        <v>93</v>
      </c>
      <c r="G3" t="n">
        <v>146</v>
      </c>
      <c r="H3" t="n">
        <v>18</v>
      </c>
      <c r="I3" t="n">
        <v>2095</v>
      </c>
      <c r="J3" t="inlineStr">
        <is>
          <t>$7,788</t>
        </is>
      </c>
      <c r="K3" t="n">
        <v>9756</v>
      </c>
      <c r="L3" t="inlineStr">
        <is>
          <t>False</t>
        </is>
      </c>
      <c r="M3" t="inlineStr">
        <is>
          <t>False</t>
        </is>
      </c>
      <c r="N3" t="n">
        <v>-52</v>
      </c>
      <c r="O3" t="n">
        <v>10000</v>
      </c>
      <c r="P3" t="n">
        <v>15</v>
      </c>
      <c r="Q3" t="n">
        <v>9</v>
      </c>
      <c r="R3" t="n">
        <v>12</v>
      </c>
      <c r="S3" t="n">
        <v>14</v>
      </c>
      <c r="T3" t="n">
        <v>12</v>
      </c>
      <c r="U3" t="n">
        <v>12</v>
      </c>
      <c r="V3" t="n">
        <v>12</v>
      </c>
      <c r="W3" t="n">
        <v>7</v>
      </c>
      <c r="X3" t="n">
        <v>10</v>
      </c>
      <c r="Y3" t="n">
        <v>11</v>
      </c>
      <c r="Z3" t="n">
        <v>11</v>
      </c>
      <c r="AA3" t="n">
        <v>9</v>
      </c>
      <c r="AB3" t="n">
        <v>8</v>
      </c>
      <c r="AC3" t="n">
        <v>10</v>
      </c>
      <c r="AD3" t="n">
        <v>11</v>
      </c>
      <c r="AE3" t="inlineStr">
        <is>
          <t>$9</t>
        </is>
      </c>
      <c r="AF3" t="n">
        <v>16</v>
      </c>
      <c r="AG3" t="n">
        <v>16</v>
      </c>
      <c r="AH3" t="n">
        <v>7</v>
      </c>
      <c r="AI3" t="n">
        <v>9</v>
      </c>
      <c r="AJ3" t="n">
        <v>20</v>
      </c>
      <c r="AK3" t="n">
        <v>4</v>
      </c>
      <c r="AL3" t="n">
        <v>7</v>
      </c>
      <c r="AM3" t="n">
        <v>12</v>
      </c>
      <c r="AN3" t="n">
        <v>9</v>
      </c>
      <c r="AO3" t="n">
        <v>11</v>
      </c>
      <c r="AP3" t="n">
        <v>2</v>
      </c>
      <c r="AQ3" t="n">
        <v>16</v>
      </c>
      <c r="AR3" t="n">
        <v>6</v>
      </c>
      <c r="AS3" t="n">
        <v>12</v>
      </c>
      <c r="AT3" t="n">
        <v>15</v>
      </c>
      <c r="AU3" t="n">
        <v>15</v>
      </c>
      <c r="AV3" t="n">
        <v>5</v>
      </c>
      <c r="AW3" t="n">
        <v>8</v>
      </c>
      <c r="AX3" t="n">
        <v>10</v>
      </c>
      <c r="AY3" t="n">
        <v>14</v>
      </c>
      <c r="AZ3" t="n">
        <v>7</v>
      </c>
      <c r="BA3" t="n">
        <v>5</v>
      </c>
      <c r="BB3" t="n">
        <v>12</v>
      </c>
      <c r="BC3" t="n">
        <v>13</v>
      </c>
      <c r="BD3" t="n">
        <v>9</v>
      </c>
      <c r="BE3" t="n">
        <v>3</v>
      </c>
      <c r="BF3" t="n">
        <v>6</v>
      </c>
      <c r="BG3" t="n">
        <v>3</v>
      </c>
      <c r="BH3" t="n">
        <v>8</v>
      </c>
      <c r="BI3" t="n">
        <v>11</v>
      </c>
      <c r="BJ3" t="n">
        <v>2</v>
      </c>
      <c r="BK3" t="n">
        <v>8</v>
      </c>
      <c r="BL3" t="n">
        <v>4</v>
      </c>
      <c r="BM3" t="n">
        <v>1</v>
      </c>
      <c r="BN3" t="n">
        <v>3</v>
      </c>
      <c r="BO3" t="n">
        <v>1</v>
      </c>
      <c r="BP3" t="n">
        <v>6</v>
      </c>
      <c r="BQ3" t="n">
        <v>5</v>
      </c>
      <c r="BR3" t="n">
        <v>1</v>
      </c>
      <c r="BS3" t="n">
        <v>2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11</v>
      </c>
      <c r="BZ3" t="n">
        <v>20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inlineStr"/>
    </row>
    <row r="4">
      <c r="A4" t="n">
        <v>62</v>
      </c>
      <c r="B4" t="inlineStr"/>
      <c r="C4" t="inlineStr">
        <is>
          <t>Aston Daley</t>
        </is>
      </c>
      <c r="D4" t="inlineStr">
        <is>
          <t>M C</t>
        </is>
      </c>
      <c r="E4" t="inlineStr">
        <is>
          <t>England</t>
        </is>
      </c>
      <c r="F4" t="n">
        <v>76</v>
      </c>
      <c r="G4" t="n">
        <v>86</v>
      </c>
      <c r="H4" t="n">
        <v>21</v>
      </c>
      <c r="I4" t="n">
        <v>3249</v>
      </c>
      <c r="J4" t="inlineStr">
        <is>
          <t>$0</t>
        </is>
      </c>
      <c r="K4" t="n">
        <v>10000</v>
      </c>
      <c r="L4" t="inlineStr">
        <is>
          <t>False</t>
        </is>
      </c>
      <c r="M4" t="inlineStr">
        <is>
          <t>False</t>
        </is>
      </c>
      <c r="N4" t="n">
        <v>-283</v>
      </c>
      <c r="O4" t="n">
        <v>5750</v>
      </c>
      <c r="P4" t="n">
        <v>18</v>
      </c>
      <c r="Q4" t="n">
        <v>7</v>
      </c>
      <c r="R4" t="n">
        <v>8</v>
      </c>
      <c r="S4" t="n">
        <v>12</v>
      </c>
      <c r="T4" t="n">
        <v>12</v>
      </c>
      <c r="U4" t="n">
        <v>11</v>
      </c>
      <c r="V4" t="n">
        <v>10</v>
      </c>
      <c r="W4" t="n">
        <v>10</v>
      </c>
      <c r="X4" t="n">
        <v>10</v>
      </c>
      <c r="Y4" t="n">
        <v>9</v>
      </c>
      <c r="Z4" t="n">
        <v>11</v>
      </c>
      <c r="AA4" t="n">
        <v>10</v>
      </c>
      <c r="AB4" t="n">
        <v>10</v>
      </c>
      <c r="AC4" t="n">
        <v>15</v>
      </c>
      <c r="AD4" t="n">
        <v>11</v>
      </c>
      <c r="AE4" t="inlineStr">
        <is>
          <t>$11</t>
        </is>
      </c>
      <c r="AF4" t="n">
        <v>8</v>
      </c>
      <c r="AG4" t="n">
        <v>9</v>
      </c>
      <c r="AH4" t="n">
        <v>13</v>
      </c>
      <c r="AI4" t="n">
        <v>15</v>
      </c>
      <c r="AJ4" t="n">
        <v>20</v>
      </c>
      <c r="AK4" t="n">
        <v>12</v>
      </c>
      <c r="AL4" t="n">
        <v>8</v>
      </c>
      <c r="AM4" t="n">
        <v>3</v>
      </c>
      <c r="AN4" t="n">
        <v>2</v>
      </c>
      <c r="AO4" t="n">
        <v>2</v>
      </c>
      <c r="AP4" t="n">
        <v>1</v>
      </c>
      <c r="AQ4" t="n">
        <v>2</v>
      </c>
      <c r="AR4" t="n">
        <v>2</v>
      </c>
      <c r="AS4" t="n">
        <v>1</v>
      </c>
      <c r="AT4" t="n">
        <v>1</v>
      </c>
      <c r="AU4" t="n">
        <v>3</v>
      </c>
      <c r="AV4" t="n">
        <v>2</v>
      </c>
      <c r="AW4" t="n">
        <v>2</v>
      </c>
      <c r="AX4" t="n">
        <v>12</v>
      </c>
      <c r="AY4" t="n">
        <v>10</v>
      </c>
      <c r="AZ4" t="n">
        <v>5</v>
      </c>
      <c r="BA4" t="n">
        <v>11</v>
      </c>
      <c r="BB4" t="n">
        <v>7</v>
      </c>
      <c r="BC4" t="n">
        <v>5</v>
      </c>
      <c r="BD4" t="n">
        <v>15</v>
      </c>
      <c r="BE4" t="n">
        <v>7</v>
      </c>
      <c r="BF4" t="n">
        <v>6</v>
      </c>
      <c r="BG4" t="n">
        <v>8</v>
      </c>
      <c r="BH4" t="n">
        <v>8</v>
      </c>
      <c r="BI4" t="n">
        <v>8</v>
      </c>
      <c r="BJ4" t="n">
        <v>10</v>
      </c>
      <c r="BK4" t="n">
        <v>13</v>
      </c>
      <c r="BL4" t="n">
        <v>6</v>
      </c>
      <c r="BM4" t="n">
        <v>7</v>
      </c>
      <c r="BN4" t="n">
        <v>8</v>
      </c>
      <c r="BO4" t="n">
        <v>6</v>
      </c>
      <c r="BP4" t="n">
        <v>12</v>
      </c>
      <c r="BQ4" t="n">
        <v>5</v>
      </c>
      <c r="BR4" t="n">
        <v>1</v>
      </c>
      <c r="BS4" t="n">
        <v>9</v>
      </c>
      <c r="BT4" t="n">
        <v>1</v>
      </c>
      <c r="BU4" t="n">
        <v>9</v>
      </c>
      <c r="BV4" t="n">
        <v>9</v>
      </c>
      <c r="BW4" t="n">
        <v>3</v>
      </c>
      <c r="BX4" t="n">
        <v>9</v>
      </c>
      <c r="BY4" t="n">
        <v>13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3</v>
      </c>
      <c r="CF4" t="n">
        <v>1</v>
      </c>
      <c r="CG4" t="n">
        <v>1</v>
      </c>
      <c r="CH4" t="n">
        <v>1</v>
      </c>
      <c r="CI4" t="inlineStr"/>
    </row>
    <row r="5">
      <c r="A5" t="n">
        <v>7</v>
      </c>
      <c r="B5" t="inlineStr"/>
      <c r="C5" t="inlineStr">
        <is>
          <t>Aydin Webb</t>
        </is>
      </c>
      <c r="D5" t="inlineStr">
        <is>
          <t>DM/M/AM RLC</t>
        </is>
      </c>
      <c r="E5" t="inlineStr">
        <is>
          <t>England</t>
        </is>
      </c>
      <c r="F5" t="n">
        <v>94</v>
      </c>
      <c r="G5" t="n">
        <v>135</v>
      </c>
      <c r="H5" t="n">
        <v>18</v>
      </c>
      <c r="I5" t="n">
        <v>1589</v>
      </c>
      <c r="J5" t="inlineStr">
        <is>
          <t>$4,251</t>
        </is>
      </c>
      <c r="K5" t="n">
        <v>9215</v>
      </c>
      <c r="L5" t="inlineStr">
        <is>
          <t>False</t>
        </is>
      </c>
      <c r="M5" t="inlineStr">
        <is>
          <t>False</t>
        </is>
      </c>
      <c r="N5" t="n">
        <v>183</v>
      </c>
      <c r="O5" t="n">
        <v>10000</v>
      </c>
      <c r="P5" t="n">
        <v>11</v>
      </c>
      <c r="Q5" t="n">
        <v>14</v>
      </c>
      <c r="R5" t="n">
        <v>13</v>
      </c>
      <c r="S5" t="n">
        <v>11</v>
      </c>
      <c r="T5" t="n">
        <v>12</v>
      </c>
      <c r="U5" t="n">
        <v>11</v>
      </c>
      <c r="V5" t="n">
        <v>11</v>
      </c>
      <c r="W5" t="n">
        <v>6</v>
      </c>
      <c r="X5" t="n">
        <v>13</v>
      </c>
      <c r="Y5" t="n">
        <v>11</v>
      </c>
      <c r="Z5" t="n">
        <v>15</v>
      </c>
      <c r="AA5" t="n">
        <v>9</v>
      </c>
      <c r="AB5" t="n">
        <v>8</v>
      </c>
      <c r="AC5" t="n">
        <v>8</v>
      </c>
      <c r="AD5" t="n">
        <v>9</v>
      </c>
      <c r="AE5" t="inlineStr">
        <is>
          <t>$9</t>
        </is>
      </c>
      <c r="AF5" t="n">
        <v>9</v>
      </c>
      <c r="AG5" t="n">
        <v>10</v>
      </c>
      <c r="AH5" t="n">
        <v>14</v>
      </c>
      <c r="AI5" t="n">
        <v>9</v>
      </c>
      <c r="AJ5" t="n">
        <v>20</v>
      </c>
      <c r="AK5" t="n">
        <v>14</v>
      </c>
      <c r="AL5" t="n">
        <v>9</v>
      </c>
      <c r="AM5" t="n">
        <v>2</v>
      </c>
      <c r="AN5" t="n">
        <v>2</v>
      </c>
      <c r="AO5" t="n">
        <v>3</v>
      </c>
      <c r="AP5" t="n">
        <v>1</v>
      </c>
      <c r="AQ5" t="n">
        <v>1</v>
      </c>
      <c r="AR5" t="n">
        <v>3</v>
      </c>
      <c r="AS5" t="n">
        <v>1</v>
      </c>
      <c r="AT5" t="n">
        <v>2</v>
      </c>
      <c r="AU5" t="n">
        <v>1</v>
      </c>
      <c r="AV5" t="n">
        <v>1</v>
      </c>
      <c r="AW5" t="n">
        <v>3</v>
      </c>
      <c r="AX5" t="n">
        <v>11</v>
      </c>
      <c r="AY5" t="n">
        <v>7</v>
      </c>
      <c r="AZ5" t="n">
        <v>9</v>
      </c>
      <c r="BA5" t="n">
        <v>10</v>
      </c>
      <c r="BB5" t="n">
        <v>12</v>
      </c>
      <c r="BC5" t="n">
        <v>13</v>
      </c>
      <c r="BD5" t="n">
        <v>17</v>
      </c>
      <c r="BE5" t="n">
        <v>11</v>
      </c>
      <c r="BF5" t="n">
        <v>10</v>
      </c>
      <c r="BG5" t="n">
        <v>11</v>
      </c>
      <c r="BH5" t="n">
        <v>8</v>
      </c>
      <c r="BI5" t="n">
        <v>14</v>
      </c>
      <c r="BJ5" t="n">
        <v>13</v>
      </c>
      <c r="BK5" t="n">
        <v>13</v>
      </c>
      <c r="BL5" t="n">
        <v>4</v>
      </c>
      <c r="BM5" t="n">
        <v>7</v>
      </c>
      <c r="BN5" t="n">
        <v>7</v>
      </c>
      <c r="BO5" t="n">
        <v>9</v>
      </c>
      <c r="BP5" t="n">
        <v>15</v>
      </c>
      <c r="BQ5" t="n">
        <v>5</v>
      </c>
      <c r="BR5" t="n">
        <v>4</v>
      </c>
      <c r="BS5" t="n">
        <v>8</v>
      </c>
      <c r="BT5" t="n">
        <v>3</v>
      </c>
      <c r="BU5" t="n">
        <v>8</v>
      </c>
      <c r="BV5" t="n">
        <v>10</v>
      </c>
      <c r="BW5" t="n">
        <v>4</v>
      </c>
      <c r="BX5" t="n">
        <v>10</v>
      </c>
      <c r="BY5" t="n">
        <v>12</v>
      </c>
      <c r="BZ5" t="n">
        <v>1</v>
      </c>
      <c r="CA5" t="n">
        <v>1</v>
      </c>
      <c r="CB5" t="n">
        <v>1</v>
      </c>
      <c r="CC5" t="n">
        <v>1</v>
      </c>
      <c r="CD5" t="n">
        <v>20</v>
      </c>
      <c r="CE5" t="n">
        <v>20</v>
      </c>
      <c r="CF5" t="n">
        <v>1</v>
      </c>
      <c r="CG5" t="n">
        <v>16</v>
      </c>
      <c r="CH5" t="n">
        <v>1</v>
      </c>
      <c r="CI5" t="inlineStr"/>
    </row>
    <row r="6">
      <c r="A6" t="n">
        <v>25</v>
      </c>
      <c r="B6" t="inlineStr"/>
      <c r="C6" t="inlineStr">
        <is>
          <t>Daniel Willard</t>
        </is>
      </c>
      <c r="D6" t="inlineStr">
        <is>
          <t>AM L</t>
        </is>
      </c>
      <c r="E6" t="inlineStr">
        <is>
          <t>Northern Ireland,England</t>
        </is>
      </c>
      <c r="F6" t="n">
        <v>91</v>
      </c>
      <c r="G6" t="n">
        <v>149</v>
      </c>
      <c r="H6" t="n">
        <v>17</v>
      </c>
      <c r="I6" t="n">
        <v>1788</v>
      </c>
      <c r="J6" t="inlineStr">
        <is>
          <t>$5,854</t>
        </is>
      </c>
      <c r="K6" t="n">
        <v>9617</v>
      </c>
      <c r="L6" t="inlineStr">
        <is>
          <t>True</t>
        </is>
      </c>
      <c r="M6" t="inlineStr">
        <is>
          <t>False</t>
        </is>
      </c>
      <c r="N6" t="n">
        <v>67</v>
      </c>
      <c r="O6" t="n">
        <v>10000</v>
      </c>
      <c r="P6" t="n">
        <v>9</v>
      </c>
      <c r="Q6" t="n">
        <v>14</v>
      </c>
      <c r="R6" t="n">
        <v>15</v>
      </c>
      <c r="S6" t="n">
        <v>4</v>
      </c>
      <c r="T6" t="n">
        <v>14</v>
      </c>
      <c r="U6" t="n">
        <v>11</v>
      </c>
      <c r="V6" t="n">
        <v>16</v>
      </c>
      <c r="W6" t="n">
        <v>16</v>
      </c>
      <c r="X6" t="n">
        <v>12</v>
      </c>
      <c r="Y6" t="n">
        <v>16</v>
      </c>
      <c r="Z6" t="n">
        <v>13</v>
      </c>
      <c r="AA6" t="n">
        <v>4</v>
      </c>
      <c r="AB6" t="n">
        <v>6</v>
      </c>
      <c r="AC6" t="n">
        <v>15</v>
      </c>
      <c r="AD6" t="n">
        <v>16</v>
      </c>
      <c r="AE6" t="inlineStr">
        <is>
          <t>$12</t>
        </is>
      </c>
      <c r="AF6" t="n">
        <v>7</v>
      </c>
      <c r="AG6" t="n">
        <v>20</v>
      </c>
      <c r="AH6" t="n">
        <v>6</v>
      </c>
      <c r="AI6" t="n">
        <v>14</v>
      </c>
      <c r="AJ6" t="n">
        <v>11</v>
      </c>
      <c r="AK6" t="n">
        <v>14</v>
      </c>
      <c r="AL6" t="n">
        <v>6</v>
      </c>
      <c r="AM6" t="n">
        <v>3</v>
      </c>
      <c r="AN6" t="n">
        <v>1</v>
      </c>
      <c r="AO6" t="n">
        <v>1</v>
      </c>
      <c r="AP6" t="n">
        <v>2</v>
      </c>
      <c r="AQ6" t="n">
        <v>1</v>
      </c>
      <c r="AR6" t="n">
        <v>1</v>
      </c>
      <c r="AS6" t="n">
        <v>1</v>
      </c>
      <c r="AT6" t="n">
        <v>2</v>
      </c>
      <c r="AU6" t="n">
        <v>3</v>
      </c>
      <c r="AV6" t="n">
        <v>1</v>
      </c>
      <c r="AW6" t="n">
        <v>1</v>
      </c>
      <c r="AX6" t="n">
        <v>7</v>
      </c>
      <c r="AY6" t="n">
        <v>8</v>
      </c>
      <c r="AZ6" t="n">
        <v>10</v>
      </c>
      <c r="BA6" t="n">
        <v>9</v>
      </c>
      <c r="BB6" t="n">
        <v>5</v>
      </c>
      <c r="BC6" t="n">
        <v>7</v>
      </c>
      <c r="BD6" t="n">
        <v>18</v>
      </c>
      <c r="BE6" t="n">
        <v>12</v>
      </c>
      <c r="BF6" t="n">
        <v>7</v>
      </c>
      <c r="BG6" t="n">
        <v>10</v>
      </c>
      <c r="BH6" t="n">
        <v>4</v>
      </c>
      <c r="BI6" t="n">
        <v>6</v>
      </c>
      <c r="BJ6" t="n">
        <v>12</v>
      </c>
      <c r="BK6" t="n">
        <v>8</v>
      </c>
      <c r="BL6" t="n">
        <v>5</v>
      </c>
      <c r="BM6" t="n">
        <v>5</v>
      </c>
      <c r="BN6" t="n">
        <v>9</v>
      </c>
      <c r="BO6" t="n">
        <v>10</v>
      </c>
      <c r="BP6" t="n">
        <v>12</v>
      </c>
      <c r="BQ6" t="n">
        <v>8</v>
      </c>
      <c r="BR6" t="n">
        <v>6</v>
      </c>
      <c r="BS6" t="n">
        <v>5</v>
      </c>
      <c r="BT6" t="n">
        <v>3</v>
      </c>
      <c r="BU6" t="n">
        <v>5</v>
      </c>
      <c r="BV6" t="n">
        <v>10</v>
      </c>
      <c r="BW6" t="n">
        <v>7</v>
      </c>
      <c r="BX6" t="n">
        <v>3</v>
      </c>
      <c r="BY6" t="n">
        <v>11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10</v>
      </c>
      <c r="CG6" t="n">
        <v>20</v>
      </c>
      <c r="CH6" t="n">
        <v>4</v>
      </c>
      <c r="CI6" t="inlineStr"/>
    </row>
    <row r="7">
      <c r="A7" t="n">
        <v>45</v>
      </c>
      <c r="B7" t="inlineStr"/>
      <c r="C7" t="inlineStr">
        <is>
          <t>Donell Gordon</t>
        </is>
      </c>
      <c r="D7" t="inlineStr">
        <is>
          <t>M/AM RL</t>
        </is>
      </c>
      <c r="E7" t="inlineStr">
        <is>
          <t>England</t>
        </is>
      </c>
      <c r="F7" t="n">
        <v>44</v>
      </c>
      <c r="G7" t="n">
        <v>81</v>
      </c>
      <c r="H7" t="n">
        <v>22</v>
      </c>
      <c r="I7" t="n">
        <v>2587</v>
      </c>
      <c r="J7" t="inlineStr">
        <is>
          <t>$0</t>
        </is>
      </c>
      <c r="K7" t="n">
        <v>7816</v>
      </c>
      <c r="L7" t="inlineStr">
        <is>
          <t>False</t>
        </is>
      </c>
      <c r="M7" t="inlineStr">
        <is>
          <t>False</t>
        </is>
      </c>
      <c r="N7" t="n">
        <v>-270</v>
      </c>
      <c r="O7" t="n">
        <v>8400</v>
      </c>
      <c r="P7" t="n">
        <v>10</v>
      </c>
      <c r="Q7" t="n">
        <v>12</v>
      </c>
      <c r="R7" t="n">
        <v>8</v>
      </c>
      <c r="S7" t="n">
        <v>12</v>
      </c>
      <c r="T7" t="n">
        <v>8</v>
      </c>
      <c r="U7" t="n">
        <v>10</v>
      </c>
      <c r="V7" t="n">
        <v>10</v>
      </c>
      <c r="W7" t="n">
        <v>9</v>
      </c>
      <c r="X7" t="n">
        <v>10</v>
      </c>
      <c r="Y7" t="n">
        <v>10</v>
      </c>
      <c r="Z7" t="n">
        <v>11</v>
      </c>
      <c r="AA7" t="n">
        <v>10</v>
      </c>
      <c r="AB7" t="n">
        <v>10</v>
      </c>
      <c r="AC7" t="n">
        <v>12</v>
      </c>
      <c r="AD7" t="n">
        <v>12</v>
      </c>
      <c r="AE7" t="inlineStr">
        <is>
          <t>$2</t>
        </is>
      </c>
      <c r="AF7" t="n">
        <v>3</v>
      </c>
      <c r="AG7" t="n">
        <v>12</v>
      </c>
      <c r="AH7" t="n">
        <v>8</v>
      </c>
      <c r="AI7" t="n">
        <v>11</v>
      </c>
      <c r="AJ7" t="n">
        <v>20</v>
      </c>
      <c r="AK7" t="n">
        <v>11</v>
      </c>
      <c r="AL7" t="n">
        <v>1</v>
      </c>
      <c r="AM7" t="n">
        <v>1</v>
      </c>
      <c r="AN7" t="n">
        <v>2</v>
      </c>
      <c r="AO7" t="n">
        <v>3</v>
      </c>
      <c r="AP7" t="n">
        <v>2</v>
      </c>
      <c r="AQ7" t="n">
        <v>4</v>
      </c>
      <c r="AR7" t="n">
        <v>1</v>
      </c>
      <c r="AS7" t="n">
        <v>1</v>
      </c>
      <c r="AT7" t="n">
        <v>2</v>
      </c>
      <c r="AU7" t="n">
        <v>1</v>
      </c>
      <c r="AV7" t="n">
        <v>2</v>
      </c>
      <c r="AW7" t="n">
        <v>1</v>
      </c>
      <c r="AX7" t="n">
        <v>12</v>
      </c>
      <c r="AY7" t="n">
        <v>6</v>
      </c>
      <c r="AZ7" t="n">
        <v>3</v>
      </c>
      <c r="BA7" t="n">
        <v>2</v>
      </c>
      <c r="BB7" t="n">
        <v>3</v>
      </c>
      <c r="BC7" t="n">
        <v>7</v>
      </c>
      <c r="BD7" t="n">
        <v>3</v>
      </c>
      <c r="BE7" t="n">
        <v>8</v>
      </c>
      <c r="BF7" t="n">
        <v>9</v>
      </c>
      <c r="BG7" t="n">
        <v>7</v>
      </c>
      <c r="BH7" t="n">
        <v>3</v>
      </c>
      <c r="BI7" t="n">
        <v>5</v>
      </c>
      <c r="BJ7" t="n">
        <v>3</v>
      </c>
      <c r="BK7" t="n">
        <v>9</v>
      </c>
      <c r="BL7" t="n">
        <v>4</v>
      </c>
      <c r="BM7" t="n">
        <v>9</v>
      </c>
      <c r="BN7" t="n">
        <v>10</v>
      </c>
      <c r="BO7" t="n">
        <v>4</v>
      </c>
      <c r="BP7" t="n">
        <v>10</v>
      </c>
      <c r="BQ7" t="n">
        <v>3</v>
      </c>
      <c r="BR7" t="n">
        <v>2</v>
      </c>
      <c r="BS7" t="n">
        <v>3</v>
      </c>
      <c r="BT7" t="n">
        <v>3</v>
      </c>
      <c r="BU7" t="n">
        <v>2</v>
      </c>
      <c r="BV7" t="n">
        <v>9</v>
      </c>
      <c r="BW7" t="n">
        <v>1</v>
      </c>
      <c r="BX7" t="n">
        <v>3</v>
      </c>
      <c r="BY7" t="n">
        <v>5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20</v>
      </c>
      <c r="CF7" t="n">
        <v>2</v>
      </c>
      <c r="CG7" t="n">
        <v>16</v>
      </c>
      <c r="CH7" t="n">
        <v>1</v>
      </c>
      <c r="CI7" t="inlineStr"/>
    </row>
    <row r="8">
      <c r="A8" t="n">
        <v>28</v>
      </c>
      <c r="B8" t="inlineStr"/>
      <c r="C8" t="inlineStr">
        <is>
          <t>Fletcher Poole</t>
        </is>
      </c>
      <c r="D8" t="inlineStr">
        <is>
          <t>M/AM RLC</t>
        </is>
      </c>
      <c r="E8" t="inlineStr">
        <is>
          <t>England</t>
        </is>
      </c>
      <c r="F8" t="n">
        <v>54</v>
      </c>
      <c r="G8" t="n">
        <v>85</v>
      </c>
      <c r="H8" t="n">
        <v>20</v>
      </c>
      <c r="I8" t="n">
        <v>2663</v>
      </c>
      <c r="J8" t="inlineStr">
        <is>
          <t>$0</t>
        </is>
      </c>
      <c r="K8" t="n">
        <v>7919</v>
      </c>
      <c r="L8" t="inlineStr">
        <is>
          <t>False</t>
        </is>
      </c>
      <c r="M8" t="inlineStr">
        <is>
          <t>False</t>
        </is>
      </c>
      <c r="N8" t="n">
        <v>-156</v>
      </c>
      <c r="O8" t="n">
        <v>9200</v>
      </c>
      <c r="P8" t="n">
        <v>5</v>
      </c>
      <c r="Q8" t="n">
        <v>6</v>
      </c>
      <c r="R8" t="n">
        <v>5</v>
      </c>
      <c r="S8" t="n">
        <v>12</v>
      </c>
      <c r="T8" t="n">
        <v>11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13</v>
      </c>
      <c r="AD8" t="n">
        <v>10</v>
      </c>
      <c r="AE8" t="inlineStr">
        <is>
          <t>$13</t>
        </is>
      </c>
      <c r="AF8" t="n">
        <v>9</v>
      </c>
      <c r="AG8" t="n">
        <v>7</v>
      </c>
      <c r="AH8" t="n">
        <v>10</v>
      </c>
      <c r="AI8" t="n">
        <v>13</v>
      </c>
      <c r="AJ8" t="n">
        <v>20</v>
      </c>
      <c r="AK8" t="n">
        <v>9</v>
      </c>
      <c r="AL8" t="n">
        <v>4</v>
      </c>
      <c r="AM8" t="n">
        <v>1</v>
      </c>
      <c r="AN8" t="n">
        <v>3</v>
      </c>
      <c r="AO8" t="n">
        <v>4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1</v>
      </c>
      <c r="AV8" t="n">
        <v>2</v>
      </c>
      <c r="AW8" t="n">
        <v>3</v>
      </c>
      <c r="AX8" t="n">
        <v>9</v>
      </c>
      <c r="AY8" t="n">
        <v>5</v>
      </c>
      <c r="AZ8" t="n">
        <v>6</v>
      </c>
      <c r="BA8" t="n">
        <v>8</v>
      </c>
      <c r="BB8" t="n">
        <v>4</v>
      </c>
      <c r="BC8" t="n">
        <v>4</v>
      </c>
      <c r="BD8" t="n">
        <v>9</v>
      </c>
      <c r="BE8" t="n">
        <v>11</v>
      </c>
      <c r="BF8" t="n">
        <v>7</v>
      </c>
      <c r="BG8" t="n">
        <v>7</v>
      </c>
      <c r="BH8" t="n">
        <v>3</v>
      </c>
      <c r="BI8" t="n">
        <v>11</v>
      </c>
      <c r="BJ8" t="n">
        <v>11</v>
      </c>
      <c r="BK8" t="n">
        <v>11</v>
      </c>
      <c r="BL8" t="n">
        <v>3</v>
      </c>
      <c r="BM8" t="n">
        <v>8</v>
      </c>
      <c r="BN8" t="n">
        <v>4</v>
      </c>
      <c r="BO8" t="n">
        <v>6</v>
      </c>
      <c r="BP8" t="n">
        <v>10</v>
      </c>
      <c r="BQ8" t="n">
        <v>3</v>
      </c>
      <c r="BR8" t="n">
        <v>3</v>
      </c>
      <c r="BS8" t="n">
        <v>4</v>
      </c>
      <c r="BT8" t="n">
        <v>3</v>
      </c>
      <c r="BU8" t="n">
        <v>2</v>
      </c>
      <c r="BV8" t="n">
        <v>6</v>
      </c>
      <c r="BW8" t="n">
        <v>1</v>
      </c>
      <c r="BX8" t="n">
        <v>4</v>
      </c>
      <c r="BY8" t="n">
        <v>11</v>
      </c>
      <c r="BZ8" t="n">
        <v>1</v>
      </c>
      <c r="CA8" t="n">
        <v>2</v>
      </c>
      <c r="CB8" t="n">
        <v>1</v>
      </c>
      <c r="CC8" t="n">
        <v>1</v>
      </c>
      <c r="CD8" t="n">
        <v>1</v>
      </c>
      <c r="CE8" t="n">
        <v>18</v>
      </c>
      <c r="CF8" t="n">
        <v>15</v>
      </c>
      <c r="CG8" t="n">
        <v>20</v>
      </c>
      <c r="CH8" t="n">
        <v>1</v>
      </c>
      <c r="CI8" t="inlineStr"/>
    </row>
    <row r="9">
      <c r="A9" t="n">
        <v>24</v>
      </c>
      <c r="B9" t="inlineStr"/>
      <c r="C9" t="inlineStr">
        <is>
          <t>Gastón Ramírez</t>
        </is>
      </c>
      <c r="D9" t="inlineStr">
        <is>
          <t>AM/ST L</t>
        </is>
      </c>
      <c r="E9" t="inlineStr">
        <is>
          <t>Argentina,England</t>
        </is>
      </c>
      <c r="F9" t="n">
        <v>83</v>
      </c>
      <c r="G9" t="n">
        <v>140</v>
      </c>
      <c r="H9" t="n">
        <v>16</v>
      </c>
      <c r="I9" t="n">
        <v>1295</v>
      </c>
      <c r="J9" t="inlineStr">
        <is>
          <t>$3,577</t>
        </is>
      </c>
      <c r="K9" t="n">
        <v>8201</v>
      </c>
      <c r="L9" t="inlineStr">
        <is>
          <t>False</t>
        </is>
      </c>
      <c r="M9" t="inlineStr">
        <is>
          <t>False</t>
        </is>
      </c>
      <c r="N9" t="n">
        <v>98</v>
      </c>
      <c r="O9" t="n">
        <v>8400</v>
      </c>
      <c r="P9" t="n">
        <v>11</v>
      </c>
      <c r="Q9" t="n">
        <v>8</v>
      </c>
      <c r="R9" t="n">
        <v>11</v>
      </c>
      <c r="S9" t="n">
        <v>2</v>
      </c>
      <c r="T9" t="n">
        <v>10</v>
      </c>
      <c r="U9" t="n">
        <v>7</v>
      </c>
      <c r="V9" t="n">
        <v>11</v>
      </c>
      <c r="W9" t="n">
        <v>8</v>
      </c>
      <c r="X9" t="n">
        <v>13</v>
      </c>
      <c r="Y9" t="n">
        <v>12</v>
      </c>
      <c r="Z9" t="n">
        <v>15</v>
      </c>
      <c r="AA9" t="n">
        <v>12</v>
      </c>
      <c r="AB9" t="n">
        <v>18</v>
      </c>
      <c r="AC9" t="n">
        <v>14</v>
      </c>
      <c r="AD9" t="n">
        <v>11</v>
      </c>
      <c r="AE9" t="inlineStr">
        <is>
          <t>$13</t>
        </is>
      </c>
      <c r="AF9" t="n">
        <v>7</v>
      </c>
      <c r="AG9" t="n">
        <v>16</v>
      </c>
      <c r="AH9" t="n">
        <v>11</v>
      </c>
      <c r="AI9" t="n">
        <v>10</v>
      </c>
      <c r="AJ9" t="n">
        <v>20</v>
      </c>
      <c r="AK9" t="n">
        <v>8</v>
      </c>
      <c r="AL9" t="n">
        <v>7</v>
      </c>
      <c r="AM9" t="n">
        <v>1</v>
      </c>
      <c r="AN9" t="n">
        <v>1</v>
      </c>
      <c r="AO9" t="n">
        <v>4</v>
      </c>
      <c r="AP9" t="n">
        <v>1</v>
      </c>
      <c r="AQ9" t="n">
        <v>1</v>
      </c>
      <c r="AR9" t="n">
        <v>3</v>
      </c>
      <c r="AS9" t="n">
        <v>1</v>
      </c>
      <c r="AT9" t="n">
        <v>2</v>
      </c>
      <c r="AU9" t="n">
        <v>2</v>
      </c>
      <c r="AV9" t="n">
        <v>1</v>
      </c>
      <c r="AW9" t="n">
        <v>1</v>
      </c>
      <c r="AX9" t="n">
        <v>9</v>
      </c>
      <c r="AY9" t="n">
        <v>9</v>
      </c>
      <c r="AZ9" t="n">
        <v>5</v>
      </c>
      <c r="BA9" t="n">
        <v>7</v>
      </c>
      <c r="BB9" t="n">
        <v>5</v>
      </c>
      <c r="BC9" t="n">
        <v>6</v>
      </c>
      <c r="BD9" t="n">
        <v>14</v>
      </c>
      <c r="BE9" t="n">
        <v>15</v>
      </c>
      <c r="BF9" t="n">
        <v>12</v>
      </c>
      <c r="BG9" t="n">
        <v>11</v>
      </c>
      <c r="BH9" t="n">
        <v>6</v>
      </c>
      <c r="BI9" t="n">
        <v>8</v>
      </c>
      <c r="BJ9" t="n">
        <v>8</v>
      </c>
      <c r="BK9" t="n">
        <v>5</v>
      </c>
      <c r="BL9" t="n">
        <v>6</v>
      </c>
      <c r="BM9" t="n">
        <v>10</v>
      </c>
      <c r="BN9" t="n">
        <v>9</v>
      </c>
      <c r="BO9" t="n">
        <v>8</v>
      </c>
      <c r="BP9" t="n">
        <v>11</v>
      </c>
      <c r="BQ9" t="n">
        <v>5</v>
      </c>
      <c r="BR9" t="n">
        <v>14</v>
      </c>
      <c r="BS9" t="n">
        <v>9</v>
      </c>
      <c r="BT9" t="n">
        <v>3</v>
      </c>
      <c r="BU9" t="n">
        <v>2</v>
      </c>
      <c r="BV9" t="n">
        <v>10</v>
      </c>
      <c r="BW9" t="n">
        <v>8</v>
      </c>
      <c r="BX9" t="n">
        <v>4</v>
      </c>
      <c r="BY9" t="n">
        <v>14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16</v>
      </c>
      <c r="CH9" t="n">
        <v>20</v>
      </c>
      <c r="CI9" t="inlineStr"/>
    </row>
    <row r="10">
      <c r="A10" t="n">
        <v>12</v>
      </c>
      <c r="B10" t="inlineStr"/>
      <c r="C10" t="inlineStr">
        <is>
          <t>Gustavo Xavier</t>
        </is>
      </c>
      <c r="D10" t="inlineStr">
        <is>
          <t>D L</t>
        </is>
      </c>
      <c r="E10" t="inlineStr">
        <is>
          <t>Brazil</t>
        </is>
      </c>
      <c r="F10" t="n">
        <v>84</v>
      </c>
      <c r="G10" t="n">
        <v>107</v>
      </c>
      <c r="H10" t="n">
        <v>23</v>
      </c>
      <c r="I10" t="n">
        <v>4561</v>
      </c>
      <c r="J10" t="inlineStr">
        <is>
          <t>$115,348</t>
        </is>
      </c>
      <c r="K10" t="n">
        <v>9646</v>
      </c>
      <c r="L10" t="inlineStr">
        <is>
          <t>False</t>
        </is>
      </c>
      <c r="M10" t="inlineStr">
        <is>
          <t>False</t>
        </is>
      </c>
      <c r="N10" t="n">
        <v>-58</v>
      </c>
      <c r="O10" t="n">
        <v>9400</v>
      </c>
      <c r="P10" t="n">
        <v>11</v>
      </c>
      <c r="Q10" t="n">
        <v>11</v>
      </c>
      <c r="R10" t="n">
        <v>14</v>
      </c>
      <c r="S10" t="n">
        <v>9</v>
      </c>
      <c r="T10" t="n">
        <v>16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11</v>
      </c>
      <c r="AC10" t="n">
        <v>13</v>
      </c>
      <c r="AD10" t="n">
        <v>13</v>
      </c>
      <c r="AE10" t="inlineStr">
        <is>
          <t>$7</t>
        </is>
      </c>
      <c r="AF10" t="n">
        <v>6</v>
      </c>
      <c r="AG10" t="n">
        <v>20</v>
      </c>
      <c r="AH10" t="n">
        <v>14</v>
      </c>
      <c r="AI10" t="n">
        <v>12</v>
      </c>
      <c r="AJ10" t="n">
        <v>5</v>
      </c>
      <c r="AK10" t="n">
        <v>14</v>
      </c>
      <c r="AL10" t="n">
        <v>8</v>
      </c>
      <c r="AM10" t="n">
        <v>3</v>
      </c>
      <c r="AN10" t="n">
        <v>1</v>
      </c>
      <c r="AO10" t="n">
        <v>1</v>
      </c>
      <c r="AP10" t="n">
        <v>3</v>
      </c>
      <c r="AQ10" t="n">
        <v>1</v>
      </c>
      <c r="AR10" t="n">
        <v>3</v>
      </c>
      <c r="AS10" t="n">
        <v>2</v>
      </c>
      <c r="AT10" t="n">
        <v>1</v>
      </c>
      <c r="AU10" t="n">
        <v>2</v>
      </c>
      <c r="AV10" t="n">
        <v>4</v>
      </c>
      <c r="AW10" t="n">
        <v>1</v>
      </c>
      <c r="AX10" t="n">
        <v>14</v>
      </c>
      <c r="AY10" t="n">
        <v>13</v>
      </c>
      <c r="AZ10" t="n">
        <v>10</v>
      </c>
      <c r="BA10" t="n">
        <v>9</v>
      </c>
      <c r="BB10" t="n">
        <v>12</v>
      </c>
      <c r="BC10" t="n">
        <v>12</v>
      </c>
      <c r="BD10" t="n">
        <v>9</v>
      </c>
      <c r="BE10" t="n">
        <v>9</v>
      </c>
      <c r="BF10" t="n">
        <v>4</v>
      </c>
      <c r="BG10" t="n">
        <v>10</v>
      </c>
      <c r="BH10" t="n">
        <v>12</v>
      </c>
      <c r="BI10" t="n">
        <v>11</v>
      </c>
      <c r="BJ10" t="n">
        <v>10</v>
      </c>
      <c r="BK10" t="n">
        <v>11</v>
      </c>
      <c r="BL10" t="n">
        <v>4</v>
      </c>
      <c r="BM10" t="n">
        <v>9</v>
      </c>
      <c r="BN10" t="n">
        <v>10</v>
      </c>
      <c r="BO10" t="n">
        <v>6</v>
      </c>
      <c r="BP10" t="n">
        <v>10</v>
      </c>
      <c r="BQ10" t="n">
        <v>3</v>
      </c>
      <c r="BR10" t="n">
        <v>8</v>
      </c>
      <c r="BS10" t="n">
        <v>3</v>
      </c>
      <c r="BT10" t="n">
        <v>11</v>
      </c>
      <c r="BU10" t="n">
        <v>8</v>
      </c>
      <c r="BV10" t="n">
        <v>10</v>
      </c>
      <c r="BW10" t="n">
        <v>5</v>
      </c>
      <c r="BX10" t="n">
        <v>7</v>
      </c>
      <c r="BY10" t="n">
        <v>10</v>
      </c>
      <c r="BZ10" t="n">
        <v>1</v>
      </c>
      <c r="CA10" t="n">
        <v>11</v>
      </c>
      <c r="CB10" t="n">
        <v>1</v>
      </c>
      <c r="CC10" t="n">
        <v>20</v>
      </c>
      <c r="CD10" t="n">
        <v>3</v>
      </c>
      <c r="CE10" t="n">
        <v>1</v>
      </c>
      <c r="CF10" t="n">
        <v>1</v>
      </c>
      <c r="CG10" t="n">
        <v>1</v>
      </c>
      <c r="CH10" t="n">
        <v>1</v>
      </c>
      <c r="CI10" t="inlineStr"/>
    </row>
    <row r="11">
      <c r="A11" t="n">
        <v>8</v>
      </c>
      <c r="B11" t="inlineStr"/>
      <c r="C11" t="inlineStr">
        <is>
          <t>Hisashi Roddy</t>
        </is>
      </c>
      <c r="D11" t="inlineStr">
        <is>
          <t>D/WB RL</t>
        </is>
      </c>
      <c r="E11" t="inlineStr">
        <is>
          <t>England</t>
        </is>
      </c>
      <c r="F11" t="n">
        <v>101</v>
      </c>
      <c r="G11" t="n">
        <v>158</v>
      </c>
      <c r="H11" t="n">
        <v>17</v>
      </c>
      <c r="I11" t="n">
        <v>2573</v>
      </c>
      <c r="J11" t="inlineStr">
        <is>
          <t>$18,092</t>
        </is>
      </c>
      <c r="K11" t="n">
        <v>9287</v>
      </c>
      <c r="L11" t="inlineStr">
        <is>
          <t>False</t>
        </is>
      </c>
      <c r="M11" t="inlineStr">
        <is>
          <t>False</t>
        </is>
      </c>
      <c r="N11" t="n">
        <v>138</v>
      </c>
      <c r="O11" t="n">
        <v>10000</v>
      </c>
      <c r="P11" t="n">
        <v>9</v>
      </c>
      <c r="Q11" t="n">
        <v>10</v>
      </c>
      <c r="R11" t="n">
        <v>15</v>
      </c>
      <c r="S11" t="n">
        <v>9</v>
      </c>
      <c r="T11" t="n">
        <v>10</v>
      </c>
      <c r="U11" t="n">
        <v>11</v>
      </c>
      <c r="V11" t="n">
        <v>10</v>
      </c>
      <c r="W11" t="n">
        <v>16</v>
      </c>
      <c r="X11" t="n">
        <v>10</v>
      </c>
      <c r="Y11" t="n">
        <v>17</v>
      </c>
      <c r="Z11" t="n">
        <v>11</v>
      </c>
      <c r="AA11" t="n">
        <v>5</v>
      </c>
      <c r="AB11" t="n">
        <v>7</v>
      </c>
      <c r="AC11" t="n">
        <v>13</v>
      </c>
      <c r="AD11" t="n">
        <v>12</v>
      </c>
      <c r="AE11" t="inlineStr">
        <is>
          <t>$15</t>
        </is>
      </c>
      <c r="AF11" t="n">
        <v>12</v>
      </c>
      <c r="AG11" t="n">
        <v>15</v>
      </c>
      <c r="AH11" t="n">
        <v>18</v>
      </c>
      <c r="AI11" t="n">
        <v>11</v>
      </c>
      <c r="AJ11" t="n">
        <v>20</v>
      </c>
      <c r="AK11" t="n">
        <v>15</v>
      </c>
      <c r="AL11" t="n">
        <v>8</v>
      </c>
      <c r="AM11" t="n">
        <v>3</v>
      </c>
      <c r="AN11" t="n">
        <v>4</v>
      </c>
      <c r="AO11" t="n">
        <v>1</v>
      </c>
      <c r="AP11" t="n">
        <v>3</v>
      </c>
      <c r="AQ11" t="n">
        <v>1</v>
      </c>
      <c r="AR11" t="n">
        <v>1</v>
      </c>
      <c r="AS11" t="n">
        <v>1</v>
      </c>
      <c r="AT11" t="n">
        <v>2</v>
      </c>
      <c r="AU11" t="n">
        <v>1</v>
      </c>
      <c r="AV11" t="n">
        <v>3</v>
      </c>
      <c r="AW11" t="n">
        <v>1</v>
      </c>
      <c r="AX11" t="n">
        <v>14</v>
      </c>
      <c r="AY11" t="n">
        <v>12</v>
      </c>
      <c r="AZ11" t="n">
        <v>15</v>
      </c>
      <c r="BA11" t="n">
        <v>6</v>
      </c>
      <c r="BB11" t="n">
        <v>11</v>
      </c>
      <c r="BC11" t="n">
        <v>10</v>
      </c>
      <c r="BD11" t="n">
        <v>11</v>
      </c>
      <c r="BE11" t="n">
        <v>6</v>
      </c>
      <c r="BF11" t="n">
        <v>8</v>
      </c>
      <c r="BG11" t="n">
        <v>10</v>
      </c>
      <c r="BH11" t="n">
        <v>11</v>
      </c>
      <c r="BI11" t="n">
        <v>9</v>
      </c>
      <c r="BJ11" t="n">
        <v>11</v>
      </c>
      <c r="BK11" t="n">
        <v>14</v>
      </c>
      <c r="BL11" t="n">
        <v>2</v>
      </c>
      <c r="BM11" t="n">
        <v>7</v>
      </c>
      <c r="BN11" t="n">
        <v>6</v>
      </c>
      <c r="BO11" t="n">
        <v>2</v>
      </c>
      <c r="BP11" t="n">
        <v>9</v>
      </c>
      <c r="BQ11" t="n">
        <v>1</v>
      </c>
      <c r="BR11" t="n">
        <v>4</v>
      </c>
      <c r="BS11" t="n">
        <v>3</v>
      </c>
      <c r="BT11" t="n">
        <v>4</v>
      </c>
      <c r="BU11" t="n">
        <v>10</v>
      </c>
      <c r="BV11" t="n">
        <v>8</v>
      </c>
      <c r="BW11" t="n">
        <v>4</v>
      </c>
      <c r="BX11" t="n">
        <v>14</v>
      </c>
      <c r="BY11" t="n">
        <v>14</v>
      </c>
      <c r="BZ11" t="n">
        <v>1</v>
      </c>
      <c r="CA11" t="n">
        <v>20</v>
      </c>
      <c r="CB11" t="n">
        <v>1</v>
      </c>
      <c r="CC11" t="n">
        <v>16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inlineStr"/>
    </row>
    <row r="12">
      <c r="A12" t="n">
        <v>27</v>
      </c>
      <c r="B12" t="inlineStr"/>
      <c r="C12" t="inlineStr">
        <is>
          <t>Jamie McMurdo</t>
        </is>
      </c>
      <c r="D12" t="inlineStr">
        <is>
          <t>M C</t>
        </is>
      </c>
      <c r="E12" t="inlineStr">
        <is>
          <t>Scotland</t>
        </is>
      </c>
      <c r="F12" t="n">
        <v>69</v>
      </c>
      <c r="G12" t="n">
        <v>82</v>
      </c>
      <c r="H12" t="n">
        <v>20</v>
      </c>
      <c r="I12" t="n">
        <v>3250</v>
      </c>
      <c r="J12" t="inlineStr">
        <is>
          <t>$0</t>
        </is>
      </c>
      <c r="K12" t="n">
        <v>10000</v>
      </c>
      <c r="L12" t="inlineStr">
        <is>
          <t>False</t>
        </is>
      </c>
      <c r="M12" t="inlineStr">
        <is>
          <t>False</t>
        </is>
      </c>
      <c r="N12" t="n">
        <v>-224</v>
      </c>
      <c r="O12" t="n">
        <v>5500</v>
      </c>
      <c r="P12" t="n">
        <v>7</v>
      </c>
      <c r="Q12" t="n">
        <v>9</v>
      </c>
      <c r="R12" t="n">
        <v>7</v>
      </c>
      <c r="S12" t="n">
        <v>14</v>
      </c>
      <c r="T12" t="n">
        <v>13</v>
      </c>
      <c r="U12" t="n">
        <v>10</v>
      </c>
      <c r="V12" t="n">
        <v>10</v>
      </c>
      <c r="W12" t="n">
        <v>9</v>
      </c>
      <c r="X12" t="n">
        <v>11</v>
      </c>
      <c r="Y12" t="n">
        <v>9</v>
      </c>
      <c r="Z12" t="n">
        <v>11</v>
      </c>
      <c r="AA12" t="n">
        <v>10</v>
      </c>
      <c r="AB12" t="n">
        <v>11</v>
      </c>
      <c r="AC12" t="n">
        <v>14</v>
      </c>
      <c r="AD12" t="n">
        <v>11</v>
      </c>
      <c r="AE12" t="inlineStr">
        <is>
          <t>$14</t>
        </is>
      </c>
      <c r="AF12" t="n">
        <v>11</v>
      </c>
      <c r="AG12" t="n">
        <v>8</v>
      </c>
      <c r="AH12" t="n">
        <v>8</v>
      </c>
      <c r="AI12" t="n">
        <v>11</v>
      </c>
      <c r="AJ12" t="n">
        <v>20</v>
      </c>
      <c r="AK12" t="n">
        <v>11</v>
      </c>
      <c r="AL12" t="n">
        <v>5</v>
      </c>
      <c r="AM12" t="n">
        <v>3</v>
      </c>
      <c r="AN12" t="n">
        <v>1</v>
      </c>
      <c r="AO12" t="n">
        <v>2</v>
      </c>
      <c r="AP12" t="n">
        <v>1</v>
      </c>
      <c r="AQ12" t="n">
        <v>1</v>
      </c>
      <c r="AR12" t="n">
        <v>2</v>
      </c>
      <c r="AS12" t="n">
        <v>4</v>
      </c>
      <c r="AT12" t="n">
        <v>2</v>
      </c>
      <c r="AU12" t="n">
        <v>3</v>
      </c>
      <c r="AV12" t="n">
        <v>2</v>
      </c>
      <c r="AW12" t="n">
        <v>3</v>
      </c>
      <c r="AX12" t="n">
        <v>12</v>
      </c>
      <c r="AY12" t="n">
        <v>10</v>
      </c>
      <c r="AZ12" t="n">
        <v>6</v>
      </c>
      <c r="BA12" t="n">
        <v>8</v>
      </c>
      <c r="BB12" t="n">
        <v>6</v>
      </c>
      <c r="BC12" t="n">
        <v>7</v>
      </c>
      <c r="BD12" t="n">
        <v>7</v>
      </c>
      <c r="BE12" t="n">
        <v>9</v>
      </c>
      <c r="BF12" t="n">
        <v>12</v>
      </c>
      <c r="BG12" t="n">
        <v>6</v>
      </c>
      <c r="BH12" t="n">
        <v>4</v>
      </c>
      <c r="BI12" t="n">
        <v>13</v>
      </c>
      <c r="BJ12" t="n">
        <v>9</v>
      </c>
      <c r="BK12" t="n">
        <v>13</v>
      </c>
      <c r="BL12" t="n">
        <v>5</v>
      </c>
      <c r="BM12" t="n">
        <v>11</v>
      </c>
      <c r="BN12" t="n">
        <v>8</v>
      </c>
      <c r="BO12" t="n">
        <v>5</v>
      </c>
      <c r="BP12" t="n">
        <v>11</v>
      </c>
      <c r="BQ12" t="n">
        <v>5</v>
      </c>
      <c r="BR12" t="n">
        <v>6</v>
      </c>
      <c r="BS12" t="n">
        <v>7</v>
      </c>
      <c r="BT12" t="n">
        <v>5</v>
      </c>
      <c r="BU12" t="n">
        <v>10</v>
      </c>
      <c r="BV12" t="n">
        <v>14</v>
      </c>
      <c r="BW12" t="n">
        <v>1</v>
      </c>
      <c r="BX12" t="n">
        <v>8</v>
      </c>
      <c r="BY12" t="n">
        <v>10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12</v>
      </c>
      <c r="CF12" t="n">
        <v>2</v>
      </c>
      <c r="CG12" t="n">
        <v>1</v>
      </c>
      <c r="CH12" t="n">
        <v>1</v>
      </c>
      <c r="CI12" t="inlineStr"/>
    </row>
    <row r="13">
      <c r="A13" t="n">
        <v>26</v>
      </c>
      <c r="B13" t="inlineStr"/>
      <c r="C13" t="inlineStr">
        <is>
          <t>Jayden Cumberbatch</t>
        </is>
      </c>
      <c r="D13" t="inlineStr">
        <is>
          <t>D LC</t>
        </is>
      </c>
      <c r="E13" t="inlineStr">
        <is>
          <t>Jamaica,England</t>
        </is>
      </c>
      <c r="F13" t="n">
        <v>80</v>
      </c>
      <c r="G13" t="n">
        <v>144</v>
      </c>
      <c r="H13" t="n">
        <v>17</v>
      </c>
      <c r="I13" t="n">
        <v>1616</v>
      </c>
      <c r="J13" t="inlineStr">
        <is>
          <t>$4,119</t>
        </is>
      </c>
      <c r="K13" t="n">
        <v>9232</v>
      </c>
      <c r="L13" t="inlineStr">
        <is>
          <t>False</t>
        </is>
      </c>
      <c r="M13" t="inlineStr">
        <is>
          <t>False</t>
        </is>
      </c>
      <c r="N13" t="n">
        <v>76</v>
      </c>
      <c r="O13" t="n">
        <v>9900</v>
      </c>
      <c r="P13" t="n">
        <v>8</v>
      </c>
      <c r="Q13" t="n">
        <v>8</v>
      </c>
      <c r="R13" t="n">
        <v>15</v>
      </c>
      <c r="S13" t="n">
        <v>6</v>
      </c>
      <c r="T13" t="n">
        <v>12</v>
      </c>
      <c r="U13" t="n">
        <v>15</v>
      </c>
      <c r="V13" t="n">
        <v>5</v>
      </c>
      <c r="W13" t="n">
        <v>3</v>
      </c>
      <c r="X13" t="n">
        <v>14</v>
      </c>
      <c r="Y13" t="n">
        <v>16</v>
      </c>
      <c r="Z13" t="n">
        <v>7</v>
      </c>
      <c r="AA13" t="n">
        <v>14</v>
      </c>
      <c r="AB13" t="n">
        <v>17</v>
      </c>
      <c r="AC13" t="n">
        <v>9</v>
      </c>
      <c r="AD13" t="n">
        <v>6</v>
      </c>
      <c r="AE13" t="inlineStr">
        <is>
          <t>$10</t>
        </is>
      </c>
      <c r="AF13" t="n">
        <v>17</v>
      </c>
      <c r="AG13" t="n">
        <v>12</v>
      </c>
      <c r="AH13" t="n">
        <v>13</v>
      </c>
      <c r="AI13" t="n">
        <v>8</v>
      </c>
      <c r="AJ13" t="n">
        <v>20</v>
      </c>
      <c r="AK13" t="n">
        <v>6</v>
      </c>
      <c r="AL13" t="n">
        <v>14</v>
      </c>
      <c r="AM13" t="n">
        <v>2</v>
      </c>
      <c r="AN13" t="n">
        <v>4</v>
      </c>
      <c r="AO13" t="n">
        <v>1</v>
      </c>
      <c r="AP13" t="n">
        <v>2</v>
      </c>
      <c r="AQ13" t="n">
        <v>3</v>
      </c>
      <c r="AR13" t="n">
        <v>2</v>
      </c>
      <c r="AS13" t="n">
        <v>3</v>
      </c>
      <c r="AT13" t="n">
        <v>2</v>
      </c>
      <c r="AU13" t="n">
        <v>2</v>
      </c>
      <c r="AV13" t="n">
        <v>1</v>
      </c>
      <c r="AW13" t="n">
        <v>1</v>
      </c>
      <c r="AX13" t="n">
        <v>19</v>
      </c>
      <c r="AY13" t="n">
        <v>11</v>
      </c>
      <c r="AZ13" t="n">
        <v>8</v>
      </c>
      <c r="BA13" t="n">
        <v>3</v>
      </c>
      <c r="BB13" t="n">
        <v>11</v>
      </c>
      <c r="BC13" t="n">
        <v>10</v>
      </c>
      <c r="BD13" t="n">
        <v>14</v>
      </c>
      <c r="BE13" t="n">
        <v>4</v>
      </c>
      <c r="BF13" t="n">
        <v>14</v>
      </c>
      <c r="BG13" t="n">
        <v>4</v>
      </c>
      <c r="BH13" t="n">
        <v>9</v>
      </c>
      <c r="BI13" t="n">
        <v>6</v>
      </c>
      <c r="BJ13" t="n">
        <v>8</v>
      </c>
      <c r="BK13" t="n">
        <v>7</v>
      </c>
      <c r="BL13" t="n">
        <v>3</v>
      </c>
      <c r="BM13" t="n">
        <v>4</v>
      </c>
      <c r="BN13" t="n">
        <v>4</v>
      </c>
      <c r="BO13" t="n">
        <v>1</v>
      </c>
      <c r="BP13" t="n">
        <v>6</v>
      </c>
      <c r="BQ13" t="n">
        <v>4</v>
      </c>
      <c r="BR13" t="n">
        <v>13</v>
      </c>
      <c r="BS13" t="n">
        <v>1</v>
      </c>
      <c r="BT13" t="n">
        <v>1</v>
      </c>
      <c r="BU13" t="n">
        <v>14</v>
      </c>
      <c r="BV13" t="n">
        <v>5</v>
      </c>
      <c r="BW13" t="n">
        <v>3</v>
      </c>
      <c r="BX13" t="n">
        <v>12</v>
      </c>
      <c r="BY13" t="n">
        <v>12</v>
      </c>
      <c r="BZ13" t="n">
        <v>1</v>
      </c>
      <c r="CA13" t="n">
        <v>1</v>
      </c>
      <c r="CB13" t="n">
        <v>20</v>
      </c>
      <c r="CC13" t="n">
        <v>16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inlineStr"/>
    </row>
    <row r="14">
      <c r="A14" t="n">
        <v>38</v>
      </c>
      <c r="B14" t="inlineStr"/>
      <c r="C14" t="inlineStr">
        <is>
          <t>Johnson Opawole</t>
        </is>
      </c>
      <c r="D14" t="inlineStr">
        <is>
          <t>D C</t>
        </is>
      </c>
      <c r="E14" t="inlineStr">
        <is>
          <t>England</t>
        </is>
      </c>
      <c r="F14" t="n">
        <v>54</v>
      </c>
      <c r="G14" t="n">
        <v>90</v>
      </c>
      <c r="H14" t="n">
        <v>21</v>
      </c>
      <c r="I14" t="n">
        <v>2425</v>
      </c>
      <c r="J14" t="inlineStr">
        <is>
          <t>$0</t>
        </is>
      </c>
      <c r="K14" t="n">
        <v>7865</v>
      </c>
      <c r="L14" t="inlineStr">
        <is>
          <t>False</t>
        </is>
      </c>
      <c r="M14" t="inlineStr">
        <is>
          <t>False</t>
        </is>
      </c>
      <c r="N14" t="n">
        <v>-195</v>
      </c>
      <c r="O14" t="n">
        <v>9400</v>
      </c>
      <c r="P14" t="n">
        <v>7</v>
      </c>
      <c r="Q14" t="n">
        <v>12</v>
      </c>
      <c r="R14" t="n">
        <v>10</v>
      </c>
      <c r="S14" t="n">
        <v>5</v>
      </c>
      <c r="T14" t="n">
        <v>14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  <c r="Z14" t="n">
        <v>12</v>
      </c>
      <c r="AA14" t="n">
        <v>10</v>
      </c>
      <c r="AB14" t="n">
        <v>11</v>
      </c>
      <c r="AC14" t="n">
        <v>9</v>
      </c>
      <c r="AD14" t="n">
        <v>7</v>
      </c>
      <c r="AE14" t="inlineStr">
        <is>
          <t>$4</t>
        </is>
      </c>
      <c r="AF14" t="n">
        <v>17</v>
      </c>
      <c r="AG14" t="n">
        <v>12</v>
      </c>
      <c r="AH14" t="n">
        <v>12</v>
      </c>
      <c r="AI14" t="n">
        <v>9</v>
      </c>
      <c r="AJ14" t="n">
        <v>20</v>
      </c>
      <c r="AK14" t="n">
        <v>2</v>
      </c>
      <c r="AL14" t="n">
        <v>11</v>
      </c>
      <c r="AM14" t="n">
        <v>4</v>
      </c>
      <c r="AN14" t="n">
        <v>4</v>
      </c>
      <c r="AO14" t="n">
        <v>3</v>
      </c>
      <c r="AP14" t="n">
        <v>1</v>
      </c>
      <c r="AQ14" t="n">
        <v>3</v>
      </c>
      <c r="AR14" t="n">
        <v>4</v>
      </c>
      <c r="AS14" t="n">
        <v>4</v>
      </c>
      <c r="AT14" t="n">
        <v>2</v>
      </c>
      <c r="AU14" t="n">
        <v>1</v>
      </c>
      <c r="AV14" t="n">
        <v>1</v>
      </c>
      <c r="AW14" t="n">
        <v>3</v>
      </c>
      <c r="AX14" t="n">
        <v>12</v>
      </c>
      <c r="AY14" t="n">
        <v>7</v>
      </c>
      <c r="AZ14" t="n">
        <v>6</v>
      </c>
      <c r="BA14" t="n">
        <v>3</v>
      </c>
      <c r="BB14" t="n">
        <v>8</v>
      </c>
      <c r="BC14" t="n">
        <v>12</v>
      </c>
      <c r="BD14" t="n">
        <v>6</v>
      </c>
      <c r="BE14" t="n">
        <v>5</v>
      </c>
      <c r="BF14" t="n">
        <v>10</v>
      </c>
      <c r="BG14" t="n">
        <v>2</v>
      </c>
      <c r="BH14" t="n">
        <v>9</v>
      </c>
      <c r="BI14" t="n">
        <v>2</v>
      </c>
      <c r="BJ14" t="n">
        <v>1</v>
      </c>
      <c r="BK14" t="n">
        <v>3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11</v>
      </c>
      <c r="BS14" t="n">
        <v>1</v>
      </c>
      <c r="BT14" t="n">
        <v>1</v>
      </c>
      <c r="BU14" t="n">
        <v>12</v>
      </c>
      <c r="BV14" t="n">
        <v>3</v>
      </c>
      <c r="BW14" t="n">
        <v>1</v>
      </c>
      <c r="BX14" t="n">
        <v>10</v>
      </c>
      <c r="BY14" t="n">
        <v>1</v>
      </c>
      <c r="BZ14" t="n">
        <v>1</v>
      </c>
      <c r="CA14" t="n">
        <v>1</v>
      </c>
      <c r="CB14" t="n">
        <v>20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inlineStr"/>
    </row>
    <row r="15">
      <c r="A15" t="n">
        <v>31</v>
      </c>
      <c r="B15" t="inlineStr"/>
      <c r="C15" t="inlineStr">
        <is>
          <t>Joseph James</t>
        </is>
      </c>
      <c r="D15" t="inlineStr">
        <is>
          <t>D RC</t>
        </is>
      </c>
      <c r="E15" t="inlineStr">
        <is>
          <t>England</t>
        </is>
      </c>
      <c r="F15" t="n">
        <v>61</v>
      </c>
      <c r="G15" t="n">
        <v>80</v>
      </c>
      <c r="H15" t="n">
        <v>21</v>
      </c>
      <c r="I15" t="n">
        <v>3114</v>
      </c>
      <c r="J15" t="inlineStr">
        <is>
          <t>$0</t>
        </is>
      </c>
      <c r="K15" t="n">
        <v>9365</v>
      </c>
      <c r="L15" t="inlineStr">
        <is>
          <t>False</t>
        </is>
      </c>
      <c r="M15" t="inlineStr">
        <is>
          <t>False</t>
        </is>
      </c>
      <c r="N15" t="n">
        <v>-188</v>
      </c>
      <c r="O15" t="n">
        <v>9200</v>
      </c>
      <c r="P15" t="n">
        <v>7</v>
      </c>
      <c r="Q15" t="n">
        <v>5</v>
      </c>
      <c r="R15" t="n">
        <v>12</v>
      </c>
      <c r="S15" t="n">
        <v>10</v>
      </c>
      <c r="T15" t="n">
        <v>14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11</v>
      </c>
      <c r="AA15" t="n">
        <v>10</v>
      </c>
      <c r="AB15" t="n">
        <v>10</v>
      </c>
      <c r="AC15" t="n">
        <v>8</v>
      </c>
      <c r="AD15" t="n">
        <v>8</v>
      </c>
      <c r="AE15" t="inlineStr">
        <is>
          <t>$8</t>
        </is>
      </c>
      <c r="AF15" t="n">
        <v>13</v>
      </c>
      <c r="AG15" t="n">
        <v>10</v>
      </c>
      <c r="AH15" t="n">
        <v>11</v>
      </c>
      <c r="AI15" t="n">
        <v>12</v>
      </c>
      <c r="AJ15" t="n">
        <v>20</v>
      </c>
      <c r="AK15" t="n">
        <v>6</v>
      </c>
      <c r="AL15" t="n">
        <v>7</v>
      </c>
      <c r="AM15" t="n">
        <v>1</v>
      </c>
      <c r="AN15" t="n">
        <v>1</v>
      </c>
      <c r="AO15" t="n">
        <v>3</v>
      </c>
      <c r="AP15" t="n">
        <v>3</v>
      </c>
      <c r="AQ15" t="n">
        <v>3</v>
      </c>
      <c r="AR15" t="n">
        <v>2</v>
      </c>
      <c r="AS15" t="n">
        <v>2</v>
      </c>
      <c r="AT15" t="n">
        <v>3</v>
      </c>
      <c r="AU15" t="n">
        <v>1</v>
      </c>
      <c r="AV15" t="n">
        <v>3</v>
      </c>
      <c r="AW15" t="n">
        <v>4</v>
      </c>
      <c r="AX15" t="n">
        <v>15</v>
      </c>
      <c r="AY15" t="n">
        <v>7</v>
      </c>
      <c r="AZ15" t="n">
        <v>12</v>
      </c>
      <c r="BA15" t="n">
        <v>12</v>
      </c>
      <c r="BB15" t="n">
        <v>9</v>
      </c>
      <c r="BC15" t="n">
        <v>12</v>
      </c>
      <c r="BD15" t="n">
        <v>5</v>
      </c>
      <c r="BE15" t="n">
        <v>5</v>
      </c>
      <c r="BF15" t="n">
        <v>4</v>
      </c>
      <c r="BG15" t="n">
        <v>5</v>
      </c>
      <c r="BH15" t="n">
        <v>11</v>
      </c>
      <c r="BI15" t="n">
        <v>7</v>
      </c>
      <c r="BJ15" t="n">
        <v>3</v>
      </c>
      <c r="BK15" t="n">
        <v>8</v>
      </c>
      <c r="BL15" t="n">
        <v>4</v>
      </c>
      <c r="BM15" t="n">
        <v>4</v>
      </c>
      <c r="BN15" t="n">
        <v>5</v>
      </c>
      <c r="BO15" t="n">
        <v>2</v>
      </c>
      <c r="BP15" t="n">
        <v>7</v>
      </c>
      <c r="BQ15" t="n">
        <v>4</v>
      </c>
      <c r="BR15" t="n">
        <v>9</v>
      </c>
      <c r="BS15" t="n">
        <v>3</v>
      </c>
      <c r="BT15" t="n">
        <v>7</v>
      </c>
      <c r="BU15" t="n">
        <v>9</v>
      </c>
      <c r="BV15" t="n">
        <v>5</v>
      </c>
      <c r="BW15" t="n">
        <v>1</v>
      </c>
      <c r="BX15" t="n">
        <v>11</v>
      </c>
      <c r="BY15" t="n">
        <v>6</v>
      </c>
      <c r="BZ15" t="n">
        <v>1</v>
      </c>
      <c r="CA15" t="n">
        <v>20</v>
      </c>
      <c r="CB15" t="n">
        <v>16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inlineStr"/>
    </row>
    <row r="16">
      <c r="A16" t="n">
        <v>34</v>
      </c>
      <c r="B16" t="inlineStr"/>
      <c r="C16" t="inlineStr">
        <is>
          <t>Joshua Adepoju</t>
        </is>
      </c>
      <c r="D16" t="inlineStr">
        <is>
          <t>AM/ST R</t>
        </is>
      </c>
      <c r="E16" t="inlineStr">
        <is>
          <t>England</t>
        </is>
      </c>
      <c r="F16" t="n">
        <v>54</v>
      </c>
      <c r="G16" t="n">
        <v>73</v>
      </c>
      <c r="H16" t="n">
        <v>21</v>
      </c>
      <c r="I16" t="n">
        <v>3112</v>
      </c>
      <c r="J16" t="inlineStr">
        <is>
          <t>$0</t>
        </is>
      </c>
      <c r="K16" t="n">
        <v>7557</v>
      </c>
      <c r="L16" t="inlineStr">
        <is>
          <t>False</t>
        </is>
      </c>
      <c r="M16" t="inlineStr">
        <is>
          <t>False</t>
        </is>
      </c>
      <c r="N16" t="n">
        <v>-201</v>
      </c>
      <c r="O16" t="n">
        <v>9300</v>
      </c>
      <c r="P16" t="n">
        <v>3</v>
      </c>
      <c r="Q16" t="n">
        <v>12</v>
      </c>
      <c r="R16" t="n">
        <v>13</v>
      </c>
      <c r="S16" t="n">
        <v>5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11</v>
      </c>
      <c r="AA16" t="n">
        <v>10</v>
      </c>
      <c r="AB16" t="n">
        <v>10</v>
      </c>
      <c r="AC16" t="n">
        <v>11</v>
      </c>
      <c r="AD16" t="n">
        <v>9</v>
      </c>
      <c r="AE16" t="inlineStr">
        <is>
          <t>$9</t>
        </is>
      </c>
      <c r="AF16" t="n">
        <v>6</v>
      </c>
      <c r="AG16" t="n">
        <v>12</v>
      </c>
      <c r="AH16" t="n">
        <v>12</v>
      </c>
      <c r="AI16" t="n">
        <v>11</v>
      </c>
      <c r="AJ16" t="n">
        <v>20</v>
      </c>
      <c r="AK16" t="n">
        <v>11</v>
      </c>
      <c r="AL16" t="n">
        <v>8</v>
      </c>
      <c r="AM16" t="n">
        <v>1</v>
      </c>
      <c r="AN16" t="n">
        <v>3</v>
      </c>
      <c r="AO16" t="n">
        <v>1</v>
      </c>
      <c r="AP16" t="n">
        <v>1</v>
      </c>
      <c r="AQ16" t="n">
        <v>2</v>
      </c>
      <c r="AR16" t="n">
        <v>3</v>
      </c>
      <c r="AS16" t="n">
        <v>1</v>
      </c>
      <c r="AT16" t="n">
        <v>2</v>
      </c>
      <c r="AU16" t="n">
        <v>2</v>
      </c>
      <c r="AV16" t="n">
        <v>1</v>
      </c>
      <c r="AW16" t="n">
        <v>3</v>
      </c>
      <c r="AX16" t="n">
        <v>6</v>
      </c>
      <c r="AY16" t="n">
        <v>9</v>
      </c>
      <c r="AZ16" t="n">
        <v>7</v>
      </c>
      <c r="BA16" t="n">
        <v>9</v>
      </c>
      <c r="BB16" t="n">
        <v>6</v>
      </c>
      <c r="BC16" t="n">
        <v>6</v>
      </c>
      <c r="BD16" t="n">
        <v>16</v>
      </c>
      <c r="BE16" t="n">
        <v>7</v>
      </c>
      <c r="BF16" t="n">
        <v>5</v>
      </c>
      <c r="BG16" t="n">
        <v>11</v>
      </c>
      <c r="BH16" t="n">
        <v>7</v>
      </c>
      <c r="BI16" t="n">
        <v>7</v>
      </c>
      <c r="BJ16" t="n">
        <v>6</v>
      </c>
      <c r="BK16" t="n">
        <v>8</v>
      </c>
      <c r="BL16" t="n">
        <v>4</v>
      </c>
      <c r="BM16" t="n">
        <v>7</v>
      </c>
      <c r="BN16" t="n">
        <v>11</v>
      </c>
      <c r="BO16" t="n">
        <v>8</v>
      </c>
      <c r="BP16" t="n">
        <v>7</v>
      </c>
      <c r="BQ16" t="n">
        <v>4</v>
      </c>
      <c r="BR16" t="n">
        <v>7</v>
      </c>
      <c r="BS16" t="n">
        <v>5</v>
      </c>
      <c r="BT16" t="n">
        <v>5</v>
      </c>
      <c r="BU16" t="n">
        <v>6</v>
      </c>
      <c r="BV16" t="n">
        <v>8</v>
      </c>
      <c r="BW16" t="n">
        <v>4</v>
      </c>
      <c r="BX16" t="n">
        <v>4</v>
      </c>
      <c r="BY16" t="n">
        <v>7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18</v>
      </c>
      <c r="CF16" t="n">
        <v>13</v>
      </c>
      <c r="CG16" t="n">
        <v>1</v>
      </c>
      <c r="CH16" t="n">
        <v>20</v>
      </c>
      <c r="CI16" t="inlineStr"/>
    </row>
    <row r="17">
      <c r="A17" t="n">
        <v>43</v>
      </c>
      <c r="B17" t="inlineStr"/>
      <c r="C17" t="inlineStr">
        <is>
          <t>Kieran Edworthy</t>
        </is>
      </c>
      <c r="D17" t="inlineStr">
        <is>
          <t xml:space="preserve">ST </t>
        </is>
      </c>
      <c r="E17" t="inlineStr">
        <is>
          <t>England</t>
        </is>
      </c>
      <c r="F17" t="n">
        <v>45</v>
      </c>
      <c r="G17" t="n">
        <v>85</v>
      </c>
      <c r="H17" t="n">
        <v>22</v>
      </c>
      <c r="I17" t="n">
        <v>2260</v>
      </c>
      <c r="J17" t="inlineStr">
        <is>
          <t>$0</t>
        </is>
      </c>
      <c r="K17" t="n">
        <v>10000</v>
      </c>
      <c r="L17" t="inlineStr">
        <is>
          <t>False</t>
        </is>
      </c>
      <c r="M17" t="inlineStr">
        <is>
          <t>False</t>
        </is>
      </c>
      <c r="N17" t="n">
        <v>-411</v>
      </c>
      <c r="O17" t="n">
        <v>5700</v>
      </c>
      <c r="P17" t="n">
        <v>8</v>
      </c>
      <c r="Q17" t="n">
        <v>8</v>
      </c>
      <c r="R17" t="n">
        <v>7</v>
      </c>
      <c r="S17" t="n">
        <v>9</v>
      </c>
      <c r="T17" t="n">
        <v>9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10</v>
      </c>
      <c r="AB17" t="n">
        <v>10</v>
      </c>
      <c r="AC17" t="n">
        <v>11</v>
      </c>
      <c r="AD17" t="n">
        <v>9</v>
      </c>
      <c r="AE17" t="inlineStr">
        <is>
          <t>$5</t>
        </is>
      </c>
      <c r="AF17" t="n">
        <v>6</v>
      </c>
      <c r="AG17" t="n">
        <v>8</v>
      </c>
      <c r="AH17" t="n">
        <v>13</v>
      </c>
      <c r="AI17" t="n">
        <v>10</v>
      </c>
      <c r="AJ17" t="n">
        <v>20</v>
      </c>
      <c r="AK17" t="n">
        <v>1</v>
      </c>
      <c r="AL17" t="n">
        <v>8</v>
      </c>
      <c r="AM17" t="n">
        <v>1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1</v>
      </c>
      <c r="AT17" t="n">
        <v>3</v>
      </c>
      <c r="AU17" t="n">
        <v>3</v>
      </c>
      <c r="AV17" t="n">
        <v>4</v>
      </c>
      <c r="AW17" t="n">
        <v>3</v>
      </c>
      <c r="AX17" t="n">
        <v>9</v>
      </c>
      <c r="AY17" t="n">
        <v>11</v>
      </c>
      <c r="AZ17" t="n">
        <v>6</v>
      </c>
      <c r="BA17" t="n">
        <v>7</v>
      </c>
      <c r="BB17" t="n">
        <v>4</v>
      </c>
      <c r="BC17" t="n">
        <v>7</v>
      </c>
      <c r="BD17" t="n">
        <v>7</v>
      </c>
      <c r="BE17" t="n">
        <v>11</v>
      </c>
      <c r="BF17" t="n">
        <v>11</v>
      </c>
      <c r="BG17" t="n">
        <v>13</v>
      </c>
      <c r="BH17" t="n">
        <v>2</v>
      </c>
      <c r="BI17" t="n">
        <v>4</v>
      </c>
      <c r="BJ17" t="n">
        <v>3</v>
      </c>
      <c r="BK17" t="n">
        <v>5</v>
      </c>
      <c r="BL17" t="n">
        <v>5</v>
      </c>
      <c r="BM17" t="n">
        <v>4</v>
      </c>
      <c r="BN17" t="n">
        <v>7</v>
      </c>
      <c r="BO17" t="n">
        <v>12</v>
      </c>
      <c r="BP17" t="n">
        <v>9</v>
      </c>
      <c r="BQ17" t="n">
        <v>3</v>
      </c>
      <c r="BR17" t="n">
        <v>13</v>
      </c>
      <c r="BS17" t="n">
        <v>4</v>
      </c>
      <c r="BT17" t="n">
        <v>1</v>
      </c>
      <c r="BU17" t="n">
        <v>3</v>
      </c>
      <c r="BV17" t="n">
        <v>11</v>
      </c>
      <c r="BW17" t="n">
        <v>3</v>
      </c>
      <c r="BX17" t="n">
        <v>1</v>
      </c>
      <c r="BY17" t="n">
        <v>10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5</v>
      </c>
      <c r="CF17" t="n">
        <v>1</v>
      </c>
      <c r="CG17" t="n">
        <v>1</v>
      </c>
      <c r="CH17" t="n">
        <v>20</v>
      </c>
      <c r="CI17" t="inlineStr"/>
    </row>
    <row r="18">
      <c r="A18" t="n">
        <v>22</v>
      </c>
      <c r="B18" t="inlineStr"/>
      <c r="C18" t="inlineStr">
        <is>
          <t>Korbyn Ednie</t>
        </is>
      </c>
      <c r="D18" t="inlineStr">
        <is>
          <t>AM/ST R</t>
        </is>
      </c>
      <c r="E18" t="inlineStr">
        <is>
          <t>Scotland,England</t>
        </is>
      </c>
      <c r="F18" t="n">
        <v>87</v>
      </c>
      <c r="G18" t="n">
        <v>158</v>
      </c>
      <c r="H18" t="n">
        <v>16</v>
      </c>
      <c r="I18" t="n">
        <v>1727</v>
      </c>
      <c r="J18" t="inlineStr">
        <is>
          <t>$4,910</t>
        </is>
      </c>
      <c r="K18" t="n">
        <v>9499</v>
      </c>
      <c r="L18" t="inlineStr">
        <is>
          <t>False</t>
        </is>
      </c>
      <c r="M18" t="inlineStr">
        <is>
          <t>False</t>
        </is>
      </c>
      <c r="N18" t="n">
        <v>84</v>
      </c>
      <c r="O18" t="n">
        <v>9700</v>
      </c>
      <c r="P18" t="n">
        <v>8</v>
      </c>
      <c r="Q18" t="n">
        <v>14</v>
      </c>
      <c r="R18" t="n">
        <v>15</v>
      </c>
      <c r="S18" t="n">
        <v>8</v>
      </c>
      <c r="T18" t="n">
        <v>9</v>
      </c>
      <c r="U18" t="n">
        <v>15</v>
      </c>
      <c r="V18" t="n">
        <v>16</v>
      </c>
      <c r="W18" t="n">
        <v>1</v>
      </c>
      <c r="X18" t="n">
        <v>18</v>
      </c>
      <c r="Y18" t="n">
        <v>19</v>
      </c>
      <c r="Z18" t="n">
        <v>18</v>
      </c>
      <c r="AA18" t="n">
        <v>19</v>
      </c>
      <c r="AB18" t="n">
        <v>19</v>
      </c>
      <c r="AC18" t="n">
        <v>14</v>
      </c>
      <c r="AD18" t="n">
        <v>14</v>
      </c>
      <c r="AE18" t="inlineStr">
        <is>
          <t>$8</t>
        </is>
      </c>
      <c r="AF18" t="n">
        <v>12</v>
      </c>
      <c r="AG18" t="n">
        <v>12</v>
      </c>
      <c r="AH18" t="n">
        <v>14</v>
      </c>
      <c r="AI18" t="n">
        <v>14</v>
      </c>
      <c r="AJ18" t="n">
        <v>20</v>
      </c>
      <c r="AK18" t="n">
        <v>12</v>
      </c>
      <c r="AL18" t="n">
        <v>6</v>
      </c>
      <c r="AM18" t="n">
        <v>4</v>
      </c>
      <c r="AN18" t="n">
        <v>2</v>
      </c>
      <c r="AO18" t="n">
        <v>1</v>
      </c>
      <c r="AP18" t="n">
        <v>2</v>
      </c>
      <c r="AQ18" t="n">
        <v>3</v>
      </c>
      <c r="AR18" t="n">
        <v>2</v>
      </c>
      <c r="AS18" t="n">
        <v>2</v>
      </c>
      <c r="AT18" t="n">
        <v>1</v>
      </c>
      <c r="AU18" t="n">
        <v>2</v>
      </c>
      <c r="AV18" t="n">
        <v>2</v>
      </c>
      <c r="AW18" t="n">
        <v>3</v>
      </c>
      <c r="AX18" t="n">
        <v>7</v>
      </c>
      <c r="AY18" t="n">
        <v>8</v>
      </c>
      <c r="AZ18" t="n">
        <v>9</v>
      </c>
      <c r="BA18" t="n">
        <v>7</v>
      </c>
      <c r="BB18" t="n">
        <v>4</v>
      </c>
      <c r="BC18" t="n">
        <v>11</v>
      </c>
      <c r="BD18" t="n">
        <v>14</v>
      </c>
      <c r="BE18" t="n">
        <v>14</v>
      </c>
      <c r="BF18" t="n">
        <v>4</v>
      </c>
      <c r="BG18" t="n">
        <v>13</v>
      </c>
      <c r="BH18" t="n">
        <v>6</v>
      </c>
      <c r="BI18" t="n">
        <v>14</v>
      </c>
      <c r="BJ18" t="n">
        <v>6</v>
      </c>
      <c r="BK18" t="n">
        <v>16</v>
      </c>
      <c r="BL18" t="n">
        <v>6</v>
      </c>
      <c r="BM18" t="n">
        <v>8</v>
      </c>
      <c r="BN18" t="n">
        <v>12</v>
      </c>
      <c r="BO18" t="n">
        <v>8</v>
      </c>
      <c r="BP18" t="n">
        <v>11</v>
      </c>
      <c r="BQ18" t="n">
        <v>10</v>
      </c>
      <c r="BR18" t="n">
        <v>11</v>
      </c>
      <c r="BS18" t="n">
        <v>5</v>
      </c>
      <c r="BT18" t="n">
        <v>3</v>
      </c>
      <c r="BU18" t="n">
        <v>2</v>
      </c>
      <c r="BV18" t="n">
        <v>7</v>
      </c>
      <c r="BW18" t="n">
        <v>3</v>
      </c>
      <c r="BX18" t="n">
        <v>1</v>
      </c>
      <c r="BY18" t="n">
        <v>13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16</v>
      </c>
      <c r="CF18" t="n">
        <v>1</v>
      </c>
      <c r="CG18" t="n">
        <v>12</v>
      </c>
      <c r="CH18" t="n">
        <v>20</v>
      </c>
      <c r="CI18" t="inlineStr"/>
    </row>
    <row r="19">
      <c r="A19" t="n">
        <v>14</v>
      </c>
      <c r="B19" t="inlineStr"/>
      <c r="C19" t="inlineStr">
        <is>
          <t>Mateusz Widz</t>
        </is>
      </c>
      <c r="D19" t="inlineStr">
        <is>
          <t>AM/ST R</t>
        </is>
      </c>
      <c r="E19" t="inlineStr">
        <is>
          <t>England,Poland</t>
        </is>
      </c>
      <c r="F19" t="n">
        <v>91</v>
      </c>
      <c r="G19" t="n">
        <v>139</v>
      </c>
      <c r="H19" t="n">
        <v>17</v>
      </c>
      <c r="I19" t="n">
        <v>1630</v>
      </c>
      <c r="J19" t="inlineStr">
        <is>
          <t>$5,318</t>
        </is>
      </c>
      <c r="K19" t="n">
        <v>9521</v>
      </c>
      <c r="L19" t="inlineStr">
        <is>
          <t>False</t>
        </is>
      </c>
      <c r="M19" t="inlineStr">
        <is>
          <t>False</t>
        </is>
      </c>
      <c r="N19" t="n">
        <v>73</v>
      </c>
      <c r="O19" t="n">
        <v>10000</v>
      </c>
      <c r="P19" t="n">
        <v>13</v>
      </c>
      <c r="Q19" t="n">
        <v>11</v>
      </c>
      <c r="R19" t="n">
        <v>12</v>
      </c>
      <c r="S19" t="n">
        <v>11</v>
      </c>
      <c r="T19" t="n">
        <v>10</v>
      </c>
      <c r="U19" t="n">
        <v>10</v>
      </c>
      <c r="V19" t="n">
        <v>13</v>
      </c>
      <c r="W19" t="n">
        <v>4</v>
      </c>
      <c r="X19" t="n">
        <v>17</v>
      </c>
      <c r="Y19" t="n">
        <v>13</v>
      </c>
      <c r="Z19" t="n">
        <v>15</v>
      </c>
      <c r="AA19" t="n">
        <v>18</v>
      </c>
      <c r="AB19" t="n">
        <v>18</v>
      </c>
      <c r="AC19" t="n">
        <v>12</v>
      </c>
      <c r="AD19" t="n">
        <v>13</v>
      </c>
      <c r="AE19" t="inlineStr">
        <is>
          <t>$13</t>
        </is>
      </c>
      <c r="AF19" t="n">
        <v>12</v>
      </c>
      <c r="AG19" t="n">
        <v>9</v>
      </c>
      <c r="AH19" t="n">
        <v>11</v>
      </c>
      <c r="AI19" t="n">
        <v>12</v>
      </c>
      <c r="AJ19" t="n">
        <v>20</v>
      </c>
      <c r="AK19" t="n">
        <v>9</v>
      </c>
      <c r="AL19" t="n">
        <v>8</v>
      </c>
      <c r="AM19" t="n">
        <v>2</v>
      </c>
      <c r="AN19" t="n">
        <v>3</v>
      </c>
      <c r="AO19" t="n">
        <v>2</v>
      </c>
      <c r="AP19" t="n">
        <v>1</v>
      </c>
      <c r="AQ19" t="n">
        <v>1</v>
      </c>
      <c r="AR19" t="n">
        <v>1</v>
      </c>
      <c r="AS19" t="n">
        <v>2</v>
      </c>
      <c r="AT19" t="n">
        <v>2</v>
      </c>
      <c r="AU19" t="n">
        <v>3</v>
      </c>
      <c r="AV19" t="n">
        <v>1</v>
      </c>
      <c r="AW19" t="n">
        <v>2</v>
      </c>
      <c r="AX19" t="n">
        <v>12</v>
      </c>
      <c r="AY19" t="n">
        <v>11</v>
      </c>
      <c r="AZ19" t="n">
        <v>12</v>
      </c>
      <c r="BA19" t="n">
        <v>10</v>
      </c>
      <c r="BB19" t="n">
        <v>5</v>
      </c>
      <c r="BC19" t="n">
        <v>11</v>
      </c>
      <c r="BD19" t="n">
        <v>13</v>
      </c>
      <c r="BE19" t="n">
        <v>15</v>
      </c>
      <c r="BF19" t="n">
        <v>9</v>
      </c>
      <c r="BG19" t="n">
        <v>12</v>
      </c>
      <c r="BH19" t="n">
        <v>6</v>
      </c>
      <c r="BI19" t="n">
        <v>14</v>
      </c>
      <c r="BJ19" t="n">
        <v>6</v>
      </c>
      <c r="BK19" t="n">
        <v>11</v>
      </c>
      <c r="BL19" t="n">
        <v>7</v>
      </c>
      <c r="BM19" t="n">
        <v>11</v>
      </c>
      <c r="BN19" t="n">
        <v>9</v>
      </c>
      <c r="BO19" t="n">
        <v>15</v>
      </c>
      <c r="BP19" t="n">
        <v>11</v>
      </c>
      <c r="BQ19" t="n">
        <v>6</v>
      </c>
      <c r="BR19" t="n">
        <v>5</v>
      </c>
      <c r="BS19" t="n">
        <v>5</v>
      </c>
      <c r="BT19" t="n">
        <v>1</v>
      </c>
      <c r="BU19" t="n">
        <v>7</v>
      </c>
      <c r="BV19" t="n">
        <v>11</v>
      </c>
      <c r="BW19" t="n">
        <v>7</v>
      </c>
      <c r="BX19" t="n">
        <v>5</v>
      </c>
      <c r="BY19" t="n">
        <v>14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20</v>
      </c>
      <c r="CF19" t="n">
        <v>5</v>
      </c>
      <c r="CG19" t="n">
        <v>1</v>
      </c>
      <c r="CH19" t="n">
        <v>16</v>
      </c>
      <c r="CI19" t="inlineStr"/>
    </row>
    <row r="20">
      <c r="A20" t="n">
        <v>49</v>
      </c>
      <c r="B20" t="inlineStr"/>
      <c r="C20" t="inlineStr">
        <is>
          <t>Mattia Mendolia</t>
        </is>
      </c>
      <c r="D20" t="inlineStr">
        <is>
          <t>M/AM C</t>
        </is>
      </c>
      <c r="E20" t="inlineStr">
        <is>
          <t>Italy</t>
        </is>
      </c>
      <c r="F20" t="n">
        <v>85</v>
      </c>
      <c r="G20" t="n">
        <v>101</v>
      </c>
      <c r="H20" t="n">
        <v>20</v>
      </c>
      <c r="I20" t="n">
        <v>4022</v>
      </c>
      <c r="J20" t="inlineStr">
        <is>
          <t>$126,078</t>
        </is>
      </c>
      <c r="K20" t="n">
        <v>9481</v>
      </c>
      <c r="L20" t="inlineStr">
        <is>
          <t>False</t>
        </is>
      </c>
      <c r="M20" t="inlineStr">
        <is>
          <t>False</t>
        </is>
      </c>
      <c r="N20" t="n">
        <v>-88</v>
      </c>
      <c r="O20" t="n">
        <v>9300</v>
      </c>
      <c r="P20" t="n">
        <v>10</v>
      </c>
      <c r="Q20" t="n">
        <v>11</v>
      </c>
      <c r="R20" t="n">
        <v>9</v>
      </c>
      <c r="S20" t="n">
        <v>15</v>
      </c>
      <c r="T20" t="n">
        <v>9</v>
      </c>
      <c r="U20" t="n">
        <v>10</v>
      </c>
      <c r="V20" t="n">
        <v>10</v>
      </c>
      <c r="W20" t="n">
        <v>10</v>
      </c>
      <c r="X20" t="n">
        <v>11</v>
      </c>
      <c r="Y20" t="n">
        <v>10</v>
      </c>
      <c r="Z20" t="n">
        <v>13</v>
      </c>
      <c r="AA20" t="n">
        <v>10</v>
      </c>
      <c r="AB20" t="n">
        <v>10</v>
      </c>
      <c r="AC20" t="n">
        <v>9</v>
      </c>
      <c r="AD20" t="n">
        <v>12</v>
      </c>
      <c r="AE20" t="inlineStr">
        <is>
          <t>$11</t>
        </is>
      </c>
      <c r="AF20" t="n">
        <v>7</v>
      </c>
      <c r="AG20" t="n">
        <v>20</v>
      </c>
      <c r="AH20" t="n">
        <v>17</v>
      </c>
      <c r="AI20" t="n">
        <v>12</v>
      </c>
      <c r="AJ20" t="n">
        <v>5</v>
      </c>
      <c r="AK20" t="n">
        <v>12</v>
      </c>
      <c r="AL20" t="n">
        <v>8</v>
      </c>
      <c r="AM20" t="n">
        <v>2</v>
      </c>
      <c r="AN20" t="n">
        <v>3</v>
      </c>
      <c r="AO20" t="n">
        <v>1</v>
      </c>
      <c r="AP20" t="n">
        <v>3</v>
      </c>
      <c r="AQ20" t="n">
        <v>2</v>
      </c>
      <c r="AR20" t="n">
        <v>3</v>
      </c>
      <c r="AS20" t="n">
        <v>1</v>
      </c>
      <c r="AT20" t="n">
        <v>3</v>
      </c>
      <c r="AU20" t="n">
        <v>1</v>
      </c>
      <c r="AV20" t="n">
        <v>2</v>
      </c>
      <c r="AW20" t="n">
        <v>1</v>
      </c>
      <c r="AX20" t="n">
        <v>14</v>
      </c>
      <c r="AY20" t="n">
        <v>10</v>
      </c>
      <c r="AZ20" t="n">
        <v>7</v>
      </c>
      <c r="BA20" t="n">
        <v>11</v>
      </c>
      <c r="BB20" t="n">
        <v>7</v>
      </c>
      <c r="BC20" t="n">
        <v>12</v>
      </c>
      <c r="BD20" t="n">
        <v>16</v>
      </c>
      <c r="BE20" t="n">
        <v>14</v>
      </c>
      <c r="BF20" t="n">
        <v>3</v>
      </c>
      <c r="BG20" t="n">
        <v>12</v>
      </c>
      <c r="BH20" t="n">
        <v>10</v>
      </c>
      <c r="BI20" t="n">
        <v>9</v>
      </c>
      <c r="BJ20" t="n">
        <v>10</v>
      </c>
      <c r="BK20" t="n">
        <v>15</v>
      </c>
      <c r="BL20" t="n">
        <v>8</v>
      </c>
      <c r="BM20" t="n">
        <v>9</v>
      </c>
      <c r="BN20" t="n">
        <v>10</v>
      </c>
      <c r="BO20" t="n">
        <v>10</v>
      </c>
      <c r="BP20" t="n">
        <v>12</v>
      </c>
      <c r="BQ20" t="n">
        <v>7</v>
      </c>
      <c r="BR20" t="n">
        <v>6</v>
      </c>
      <c r="BS20" t="n">
        <v>12</v>
      </c>
      <c r="BT20" t="n">
        <v>7</v>
      </c>
      <c r="BU20" t="n">
        <v>6</v>
      </c>
      <c r="BV20" t="n">
        <v>13</v>
      </c>
      <c r="BW20" t="n">
        <v>6</v>
      </c>
      <c r="BX20" t="n">
        <v>9</v>
      </c>
      <c r="BY20" t="n">
        <v>15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20</v>
      </c>
      <c r="CG20" t="n">
        <v>1</v>
      </c>
      <c r="CH20" t="n">
        <v>1</v>
      </c>
      <c r="CI20" t="inlineStr">
        <is>
          <t>Brixham</t>
        </is>
      </c>
    </row>
    <row r="21">
      <c r="A21" t="n">
        <v>2</v>
      </c>
      <c r="B21" t="inlineStr"/>
      <c r="C21" t="inlineStr">
        <is>
          <t>Nesbert Ncube</t>
        </is>
      </c>
      <c r="D21" t="inlineStr">
        <is>
          <t>D R</t>
        </is>
      </c>
      <c r="E21" t="inlineStr">
        <is>
          <t>Zimbabwe,England</t>
        </is>
      </c>
      <c r="F21" t="n">
        <v>71</v>
      </c>
      <c r="G21" t="n">
        <v>139</v>
      </c>
      <c r="H21" t="n">
        <v>16</v>
      </c>
      <c r="I21" t="n">
        <v>1204</v>
      </c>
      <c r="J21" t="inlineStr">
        <is>
          <t>$2,988</t>
        </is>
      </c>
      <c r="K21" t="n">
        <v>9615</v>
      </c>
      <c r="L21" t="inlineStr">
        <is>
          <t>False</t>
        </is>
      </c>
      <c r="M21" t="inlineStr">
        <is>
          <t>False</t>
        </is>
      </c>
      <c r="N21" t="n">
        <v>74</v>
      </c>
      <c r="O21" t="n">
        <v>9700</v>
      </c>
      <c r="P21" t="n">
        <v>6</v>
      </c>
      <c r="Q21" t="n">
        <v>9</v>
      </c>
      <c r="R21" t="n">
        <v>9</v>
      </c>
      <c r="S21" t="n">
        <v>7</v>
      </c>
      <c r="T21" t="n">
        <v>11</v>
      </c>
      <c r="U21" t="n">
        <v>13</v>
      </c>
      <c r="V21" t="n">
        <v>19</v>
      </c>
      <c r="W21" t="n">
        <v>9</v>
      </c>
      <c r="X21" t="n">
        <v>13</v>
      </c>
      <c r="Y21" t="n">
        <v>4</v>
      </c>
      <c r="Z21" t="n">
        <v>10</v>
      </c>
      <c r="AA21" t="n">
        <v>12</v>
      </c>
      <c r="AB21" t="n">
        <v>11</v>
      </c>
      <c r="AC21" t="n">
        <v>12</v>
      </c>
      <c r="AD21" t="n">
        <v>10</v>
      </c>
      <c r="AE21" t="inlineStr">
        <is>
          <t>$7</t>
        </is>
      </c>
      <c r="AF21" t="n">
        <v>6</v>
      </c>
      <c r="AG21" t="n">
        <v>8</v>
      </c>
      <c r="AH21" t="n">
        <v>7</v>
      </c>
      <c r="AI21" t="n">
        <v>10</v>
      </c>
      <c r="AJ21" t="n">
        <v>20</v>
      </c>
      <c r="AK21" t="n">
        <v>14</v>
      </c>
      <c r="AL21" t="n">
        <v>7</v>
      </c>
      <c r="AM21" t="n">
        <v>3</v>
      </c>
      <c r="AN21" t="n">
        <v>3</v>
      </c>
      <c r="AO21" t="n">
        <v>2</v>
      </c>
      <c r="AP21" t="n">
        <v>1</v>
      </c>
      <c r="AQ21" t="n">
        <v>2</v>
      </c>
      <c r="AR21" t="n">
        <v>1</v>
      </c>
      <c r="AS21" t="n">
        <v>3</v>
      </c>
      <c r="AT21" t="n">
        <v>1</v>
      </c>
      <c r="AU21" t="n">
        <v>1</v>
      </c>
      <c r="AV21" t="n">
        <v>2</v>
      </c>
      <c r="AW21" t="n">
        <v>3</v>
      </c>
      <c r="AX21" t="n">
        <v>10</v>
      </c>
      <c r="AY21" t="n">
        <v>9</v>
      </c>
      <c r="AZ21" t="n">
        <v>18</v>
      </c>
      <c r="BA21" t="n">
        <v>2</v>
      </c>
      <c r="BB21" t="n">
        <v>8</v>
      </c>
      <c r="BC21" t="n">
        <v>14</v>
      </c>
      <c r="BD21" t="n">
        <v>19</v>
      </c>
      <c r="BE21" t="n">
        <v>4</v>
      </c>
      <c r="BF21" t="n">
        <v>8</v>
      </c>
      <c r="BG21" t="n">
        <v>7</v>
      </c>
      <c r="BH21" t="n">
        <v>7</v>
      </c>
      <c r="BI21" t="n">
        <v>15</v>
      </c>
      <c r="BJ21" t="n">
        <v>5</v>
      </c>
      <c r="BK21" t="n">
        <v>13</v>
      </c>
      <c r="BL21" t="n">
        <v>4</v>
      </c>
      <c r="BM21" t="n">
        <v>11</v>
      </c>
      <c r="BN21" t="n">
        <v>6</v>
      </c>
      <c r="BO21" t="n">
        <v>3</v>
      </c>
      <c r="BP21" t="n">
        <v>6</v>
      </c>
      <c r="BQ21" t="n">
        <v>1</v>
      </c>
      <c r="BR21" t="n">
        <v>5</v>
      </c>
      <c r="BS21" t="n">
        <v>2</v>
      </c>
      <c r="BT21" t="n">
        <v>5</v>
      </c>
      <c r="BU21" t="n">
        <v>9</v>
      </c>
      <c r="BV21" t="n">
        <v>8</v>
      </c>
      <c r="BW21" t="n">
        <v>2</v>
      </c>
      <c r="BX21" t="n">
        <v>11</v>
      </c>
      <c r="BY21" t="n">
        <v>5</v>
      </c>
      <c r="BZ21" t="n">
        <v>1</v>
      </c>
      <c r="CA21" t="n">
        <v>20</v>
      </c>
      <c r="CB21" t="n">
        <v>1</v>
      </c>
      <c r="CC21" t="n">
        <v>9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inlineStr"/>
    </row>
    <row r="22">
      <c r="A22" t="n">
        <v>63</v>
      </c>
      <c r="B22" t="inlineStr"/>
      <c r="C22" t="inlineStr">
        <is>
          <t>Ollie Harrison</t>
        </is>
      </c>
      <c r="D22" t="inlineStr">
        <is>
          <t>DM/M C</t>
        </is>
      </c>
      <c r="E22" t="inlineStr">
        <is>
          <t>England</t>
        </is>
      </c>
      <c r="F22" t="n">
        <v>97</v>
      </c>
      <c r="G22" t="n">
        <v>124</v>
      </c>
      <c r="H22" t="n">
        <v>20</v>
      </c>
      <c r="I22" t="n">
        <v>4049</v>
      </c>
      <c r="J22" t="inlineStr">
        <is>
          <t>$813,173</t>
        </is>
      </c>
      <c r="K22" t="n">
        <v>9333</v>
      </c>
      <c r="L22" t="inlineStr">
        <is>
          <t>False</t>
        </is>
      </c>
      <c r="M22" t="inlineStr">
        <is>
          <t>False</t>
        </is>
      </c>
      <c r="N22" t="n">
        <v>-49</v>
      </c>
      <c r="O22" t="n">
        <v>9300</v>
      </c>
      <c r="P22" t="n">
        <v>19</v>
      </c>
      <c r="Q22" t="n">
        <v>5</v>
      </c>
      <c r="R22" t="n">
        <v>16</v>
      </c>
      <c r="S22" t="n">
        <v>7</v>
      </c>
      <c r="T22" t="n">
        <v>4</v>
      </c>
      <c r="U22" t="n">
        <v>11</v>
      </c>
      <c r="V22" t="n">
        <v>10</v>
      </c>
      <c r="W22" t="n">
        <v>9</v>
      </c>
      <c r="X22" t="n">
        <v>11</v>
      </c>
      <c r="Y22" t="n">
        <v>11</v>
      </c>
      <c r="Z22" t="n">
        <v>10</v>
      </c>
      <c r="AA22" t="n">
        <v>11</v>
      </c>
      <c r="AB22" t="n">
        <v>11</v>
      </c>
      <c r="AC22" t="n">
        <v>13</v>
      </c>
      <c r="AD22" t="n">
        <v>10</v>
      </c>
      <c r="AE22" t="inlineStr">
        <is>
          <t>$15</t>
        </is>
      </c>
      <c r="AF22" t="n">
        <v>13</v>
      </c>
      <c r="AG22" t="n">
        <v>10</v>
      </c>
      <c r="AH22" t="n">
        <v>8</v>
      </c>
      <c r="AI22" t="n">
        <v>12</v>
      </c>
      <c r="AJ22" t="n">
        <v>20</v>
      </c>
      <c r="AK22" t="n">
        <v>10</v>
      </c>
      <c r="AL22" t="n">
        <v>13</v>
      </c>
      <c r="AM22" t="n">
        <v>1</v>
      </c>
      <c r="AN22" t="n">
        <v>1</v>
      </c>
      <c r="AO22" t="n">
        <v>3</v>
      </c>
      <c r="AP22" t="n">
        <v>1</v>
      </c>
      <c r="AQ22" t="n">
        <v>2</v>
      </c>
      <c r="AR22" t="n">
        <v>3</v>
      </c>
      <c r="AS22" t="n">
        <v>1</v>
      </c>
      <c r="AT22" t="n">
        <v>2</v>
      </c>
      <c r="AU22" t="n">
        <v>1</v>
      </c>
      <c r="AV22" t="n">
        <v>2</v>
      </c>
      <c r="AW22" t="n">
        <v>3</v>
      </c>
      <c r="AX22" t="n">
        <v>10</v>
      </c>
      <c r="AY22" t="n">
        <v>13</v>
      </c>
      <c r="AZ22" t="n">
        <v>10</v>
      </c>
      <c r="BA22" t="n">
        <v>11</v>
      </c>
      <c r="BB22" t="n">
        <v>10</v>
      </c>
      <c r="BC22" t="n">
        <v>11</v>
      </c>
      <c r="BD22" t="n">
        <v>12</v>
      </c>
      <c r="BE22" t="n">
        <v>5</v>
      </c>
      <c r="BF22" t="n">
        <v>13</v>
      </c>
      <c r="BG22" t="n">
        <v>10</v>
      </c>
      <c r="BH22" t="n">
        <v>13</v>
      </c>
      <c r="BI22" t="n">
        <v>12</v>
      </c>
      <c r="BJ22" t="n">
        <v>12</v>
      </c>
      <c r="BK22" t="n">
        <v>13</v>
      </c>
      <c r="BL22" t="n">
        <v>6</v>
      </c>
      <c r="BM22" t="n">
        <v>5</v>
      </c>
      <c r="BN22" t="n">
        <v>8</v>
      </c>
      <c r="BO22" t="n">
        <v>6</v>
      </c>
      <c r="BP22" t="n">
        <v>11</v>
      </c>
      <c r="BQ22" t="n">
        <v>8</v>
      </c>
      <c r="BR22" t="n">
        <v>8</v>
      </c>
      <c r="BS22" t="n">
        <v>5</v>
      </c>
      <c r="BT22" t="n">
        <v>6</v>
      </c>
      <c r="BU22" t="n">
        <v>10</v>
      </c>
      <c r="BV22" t="n">
        <v>12</v>
      </c>
      <c r="BW22" t="n">
        <v>3</v>
      </c>
      <c r="BX22" t="n">
        <v>10</v>
      </c>
      <c r="BY22" t="n">
        <v>12</v>
      </c>
      <c r="BZ22" t="n">
        <v>1</v>
      </c>
      <c r="CA22" t="n">
        <v>1</v>
      </c>
      <c r="CB22" t="n">
        <v>1</v>
      </c>
      <c r="CC22" t="n">
        <v>1</v>
      </c>
      <c r="CD22" t="n">
        <v>18</v>
      </c>
      <c r="CE22" t="n">
        <v>1</v>
      </c>
      <c r="CF22" t="n">
        <v>12</v>
      </c>
      <c r="CG22" t="n">
        <v>1</v>
      </c>
      <c r="CH22" t="n">
        <v>1</v>
      </c>
      <c r="CI22" t="inlineStr">
        <is>
          <t>Brixham</t>
        </is>
      </c>
    </row>
    <row r="23">
      <c r="A23" t="n">
        <v>16</v>
      </c>
      <c r="B23" t="inlineStr"/>
      <c r="C23" t="inlineStr">
        <is>
          <t>Paul Stroud</t>
        </is>
      </c>
      <c r="D23" t="inlineStr">
        <is>
          <t>AM/ST RC</t>
        </is>
      </c>
      <c r="E23" t="inlineStr">
        <is>
          <t>England</t>
        </is>
      </c>
      <c r="F23" t="n">
        <v>103</v>
      </c>
      <c r="G23" t="n">
        <v>156</v>
      </c>
      <c r="H23" t="n">
        <v>18</v>
      </c>
      <c r="I23" t="n">
        <v>2806</v>
      </c>
      <c r="J23" t="inlineStr">
        <is>
          <t>$32,663</t>
        </is>
      </c>
      <c r="K23" t="n">
        <v>9660</v>
      </c>
      <c r="L23" t="inlineStr">
        <is>
          <t>False</t>
        </is>
      </c>
      <c r="M23" t="inlineStr">
        <is>
          <t>False</t>
        </is>
      </c>
      <c r="N23" t="n">
        <v>92</v>
      </c>
      <c r="O23" t="n">
        <v>10000</v>
      </c>
      <c r="P23" t="n">
        <v>9</v>
      </c>
      <c r="Q23" t="n">
        <v>8</v>
      </c>
      <c r="R23" t="n">
        <v>15</v>
      </c>
      <c r="S23" t="n">
        <v>4</v>
      </c>
      <c r="T23" t="n">
        <v>7</v>
      </c>
      <c r="U23" t="n">
        <v>11</v>
      </c>
      <c r="V23" t="n">
        <v>15</v>
      </c>
      <c r="W23" t="n">
        <v>5</v>
      </c>
      <c r="X23" t="n">
        <v>18</v>
      </c>
      <c r="Y23" t="n">
        <v>18</v>
      </c>
      <c r="Z23" t="n">
        <v>19</v>
      </c>
      <c r="AA23" t="n">
        <v>19</v>
      </c>
      <c r="AB23" t="n">
        <v>18</v>
      </c>
      <c r="AC23" t="n">
        <v>15</v>
      </c>
      <c r="AD23" t="n">
        <v>12</v>
      </c>
      <c r="AE23" t="inlineStr">
        <is>
          <t>$16</t>
        </is>
      </c>
      <c r="AF23" t="n">
        <v>8</v>
      </c>
      <c r="AG23" t="n">
        <v>11</v>
      </c>
      <c r="AH23" t="n">
        <v>17</v>
      </c>
      <c r="AI23" t="n">
        <v>13</v>
      </c>
      <c r="AJ23" t="n">
        <v>20</v>
      </c>
      <c r="AK23" t="n">
        <v>14</v>
      </c>
      <c r="AL23" t="n">
        <v>7</v>
      </c>
      <c r="AM23" t="n">
        <v>3</v>
      </c>
      <c r="AN23" t="n">
        <v>4</v>
      </c>
      <c r="AO23" t="n">
        <v>1</v>
      </c>
      <c r="AP23" t="n">
        <v>2</v>
      </c>
      <c r="AQ23" t="n">
        <v>2</v>
      </c>
      <c r="AR23" t="n">
        <v>3</v>
      </c>
      <c r="AS23" t="n">
        <v>3</v>
      </c>
      <c r="AT23" t="n">
        <v>1</v>
      </c>
      <c r="AU23" t="n">
        <v>3</v>
      </c>
      <c r="AV23" t="n">
        <v>2</v>
      </c>
      <c r="AW23" t="n">
        <v>2</v>
      </c>
      <c r="AX23" t="n">
        <v>6</v>
      </c>
      <c r="AY23" t="n">
        <v>11</v>
      </c>
      <c r="AZ23" t="n">
        <v>8</v>
      </c>
      <c r="BA23" t="n">
        <v>8</v>
      </c>
      <c r="BB23" t="n">
        <v>5</v>
      </c>
      <c r="BC23" t="n">
        <v>9</v>
      </c>
      <c r="BD23" t="n">
        <v>12</v>
      </c>
      <c r="BE23" t="n">
        <v>14</v>
      </c>
      <c r="BF23" t="n">
        <v>12</v>
      </c>
      <c r="BG23" t="n">
        <v>11</v>
      </c>
      <c r="BH23" t="n">
        <v>4</v>
      </c>
      <c r="BI23" t="n">
        <v>13</v>
      </c>
      <c r="BJ23" t="n">
        <v>12</v>
      </c>
      <c r="BK23" t="n">
        <v>8</v>
      </c>
      <c r="BL23" t="n">
        <v>5</v>
      </c>
      <c r="BM23" t="n">
        <v>6</v>
      </c>
      <c r="BN23" t="n">
        <v>14</v>
      </c>
      <c r="BO23" t="n">
        <v>6</v>
      </c>
      <c r="BP23" t="n">
        <v>13</v>
      </c>
      <c r="BQ23" t="n">
        <v>4</v>
      </c>
      <c r="BR23" t="n">
        <v>6</v>
      </c>
      <c r="BS23" t="n">
        <v>8</v>
      </c>
      <c r="BT23" t="n">
        <v>2</v>
      </c>
      <c r="BU23" t="n">
        <v>6</v>
      </c>
      <c r="BV23" t="n">
        <v>11</v>
      </c>
      <c r="BW23" t="n">
        <v>7</v>
      </c>
      <c r="BX23" t="n">
        <v>4</v>
      </c>
      <c r="BY23" t="n">
        <v>15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16</v>
      </c>
      <c r="CF23" t="n">
        <v>20</v>
      </c>
      <c r="CG23" t="n">
        <v>1</v>
      </c>
      <c r="CH23" t="n">
        <v>20</v>
      </c>
      <c r="CI23" t="inlineStr"/>
    </row>
    <row r="24">
      <c r="A24" t="n">
        <v>9</v>
      </c>
      <c r="B24" t="inlineStr"/>
      <c r="C24" t="inlineStr">
        <is>
          <t>Scot Little</t>
        </is>
      </c>
      <c r="D24" t="inlineStr">
        <is>
          <t>AM/ST L</t>
        </is>
      </c>
      <c r="E24" t="inlineStr">
        <is>
          <t>Scotland,England</t>
        </is>
      </c>
      <c r="F24" t="n">
        <v>90</v>
      </c>
      <c r="G24" t="n">
        <v>163</v>
      </c>
      <c r="H24" t="n">
        <v>18</v>
      </c>
      <c r="I24" t="n">
        <v>2247</v>
      </c>
      <c r="J24" t="inlineStr">
        <is>
          <t>$4,552</t>
        </is>
      </c>
      <c r="K24" t="n">
        <v>10000</v>
      </c>
      <c r="L24" t="inlineStr">
        <is>
          <t>False</t>
        </is>
      </c>
      <c r="M24" t="inlineStr">
        <is>
          <t>False</t>
        </is>
      </c>
      <c r="N24" t="n">
        <v>-124</v>
      </c>
      <c r="O24" t="n">
        <v>8616</v>
      </c>
      <c r="P24" t="n">
        <v>15</v>
      </c>
      <c r="Q24" t="n">
        <v>14</v>
      </c>
      <c r="R24" t="n">
        <v>9</v>
      </c>
      <c r="S24" t="n">
        <v>6</v>
      </c>
      <c r="T24" t="n">
        <v>10</v>
      </c>
      <c r="U24" t="n">
        <v>8</v>
      </c>
      <c r="V24" t="n">
        <v>3</v>
      </c>
      <c r="W24" t="n">
        <v>8</v>
      </c>
      <c r="X24" t="n">
        <v>11</v>
      </c>
      <c r="Y24" t="n">
        <v>9</v>
      </c>
      <c r="Z24" t="n">
        <v>10</v>
      </c>
      <c r="AA24" t="n">
        <v>11</v>
      </c>
      <c r="AB24" t="n">
        <v>13</v>
      </c>
      <c r="AC24" t="n">
        <v>11</v>
      </c>
      <c r="AD24" t="n">
        <v>12</v>
      </c>
      <c r="AE24" t="inlineStr">
        <is>
          <t>$14</t>
        </is>
      </c>
      <c r="AF24" t="n">
        <v>5</v>
      </c>
      <c r="AG24" t="n">
        <v>20</v>
      </c>
      <c r="AH24" t="n">
        <v>12</v>
      </c>
      <c r="AI24" t="n">
        <v>12</v>
      </c>
      <c r="AJ24" t="n">
        <v>13</v>
      </c>
      <c r="AK24" t="n">
        <v>11</v>
      </c>
      <c r="AL24" t="n">
        <v>4</v>
      </c>
      <c r="AM24" t="n">
        <v>1</v>
      </c>
      <c r="AN24" t="n">
        <v>1</v>
      </c>
      <c r="AO24" t="n">
        <v>3</v>
      </c>
      <c r="AP24" t="n">
        <v>3</v>
      </c>
      <c r="AQ24" t="n">
        <v>2</v>
      </c>
      <c r="AR24" t="n">
        <v>2</v>
      </c>
      <c r="AS24" t="n">
        <v>3</v>
      </c>
      <c r="AT24" t="n">
        <v>3</v>
      </c>
      <c r="AU24" t="n">
        <v>1</v>
      </c>
      <c r="AV24" t="n">
        <v>1</v>
      </c>
      <c r="AW24" t="n">
        <v>2</v>
      </c>
      <c r="AX24" t="n">
        <v>11</v>
      </c>
      <c r="AY24" t="n">
        <v>11</v>
      </c>
      <c r="AZ24" t="n">
        <v>5</v>
      </c>
      <c r="BA24" t="n">
        <v>12</v>
      </c>
      <c r="BB24" t="n">
        <v>5</v>
      </c>
      <c r="BC24" t="n">
        <v>11</v>
      </c>
      <c r="BD24" t="n">
        <v>3</v>
      </c>
      <c r="BE24" t="n">
        <v>13</v>
      </c>
      <c r="BF24" t="n">
        <v>6</v>
      </c>
      <c r="BG24" t="n">
        <v>13</v>
      </c>
      <c r="BH24" t="n">
        <v>3</v>
      </c>
      <c r="BI24" t="n">
        <v>15</v>
      </c>
      <c r="BJ24" t="n">
        <v>8</v>
      </c>
      <c r="BK24" t="n">
        <v>15</v>
      </c>
      <c r="BL24" t="n">
        <v>8</v>
      </c>
      <c r="BM24" t="n">
        <v>11</v>
      </c>
      <c r="BN24" t="n">
        <v>10</v>
      </c>
      <c r="BO24" t="n">
        <v>14</v>
      </c>
      <c r="BP24" t="n">
        <v>14</v>
      </c>
      <c r="BQ24" t="n">
        <v>4</v>
      </c>
      <c r="BR24" t="n">
        <v>8</v>
      </c>
      <c r="BS24" t="n">
        <v>5</v>
      </c>
      <c r="BT24" t="n">
        <v>2</v>
      </c>
      <c r="BU24" t="n">
        <v>4</v>
      </c>
      <c r="BV24" t="n">
        <v>9</v>
      </c>
      <c r="BW24" t="n">
        <v>6</v>
      </c>
      <c r="BX24" t="n">
        <v>1</v>
      </c>
      <c r="BY24" t="n">
        <v>14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9</v>
      </c>
      <c r="CF24" t="n">
        <v>1</v>
      </c>
      <c r="CG24" t="n">
        <v>16</v>
      </c>
      <c r="CH24" t="n">
        <v>20</v>
      </c>
      <c r="CI24" t="inlineStr"/>
    </row>
    <row r="25">
      <c r="A25" t="n">
        <v>33</v>
      </c>
      <c r="B25" t="inlineStr"/>
      <c r="C25" t="inlineStr">
        <is>
          <t>Taye Weir</t>
        </is>
      </c>
      <c r="D25" t="inlineStr">
        <is>
          <t>D/WB/M L</t>
        </is>
      </c>
      <c r="E25" t="inlineStr">
        <is>
          <t>England</t>
        </is>
      </c>
      <c r="F25" t="n">
        <v>55</v>
      </c>
      <c r="G25" t="n">
        <v>90</v>
      </c>
      <c r="H25" t="n">
        <v>22</v>
      </c>
      <c r="I25" t="n">
        <v>3230</v>
      </c>
      <c r="J25" t="inlineStr">
        <is>
          <t>$0</t>
        </is>
      </c>
      <c r="K25" t="n">
        <v>7146</v>
      </c>
      <c r="L25" t="inlineStr">
        <is>
          <t>False</t>
        </is>
      </c>
      <c r="M25" t="inlineStr">
        <is>
          <t>False</t>
        </is>
      </c>
      <c r="N25" t="n">
        <v>-151</v>
      </c>
      <c r="O25" t="n">
        <v>8100</v>
      </c>
      <c r="P25" t="n">
        <v>6</v>
      </c>
      <c r="Q25" t="n">
        <v>5</v>
      </c>
      <c r="R25" t="n">
        <v>10</v>
      </c>
      <c r="S25" t="n">
        <v>9</v>
      </c>
      <c r="T25" t="n">
        <v>13</v>
      </c>
      <c r="U25" t="n">
        <v>11</v>
      </c>
      <c r="V25" t="n">
        <v>10</v>
      </c>
      <c r="W25" t="n">
        <v>9</v>
      </c>
      <c r="X25" t="n">
        <v>10</v>
      </c>
      <c r="Y25" t="n">
        <v>10</v>
      </c>
      <c r="Z25" t="n">
        <v>11</v>
      </c>
      <c r="AA25" t="n">
        <v>11</v>
      </c>
      <c r="AB25" t="n">
        <v>10</v>
      </c>
      <c r="AC25" t="n">
        <v>14</v>
      </c>
      <c r="AD25" t="n">
        <v>12</v>
      </c>
      <c r="AE25" t="inlineStr">
        <is>
          <t>$5</t>
        </is>
      </c>
      <c r="AF25" t="n">
        <v>9</v>
      </c>
      <c r="AG25" t="n">
        <v>20</v>
      </c>
      <c r="AH25" t="n">
        <v>11</v>
      </c>
      <c r="AI25" t="n">
        <v>12</v>
      </c>
      <c r="AJ25" t="n">
        <v>9</v>
      </c>
      <c r="AK25" t="n">
        <v>9</v>
      </c>
      <c r="AL25" t="n">
        <v>5</v>
      </c>
      <c r="AM25" t="n">
        <v>3</v>
      </c>
      <c r="AN25" t="n">
        <v>2</v>
      </c>
      <c r="AO25" t="n">
        <v>1</v>
      </c>
      <c r="AP25" t="n">
        <v>2</v>
      </c>
      <c r="AQ25" t="n">
        <v>1</v>
      </c>
      <c r="AR25" t="n">
        <v>3</v>
      </c>
      <c r="AS25" t="n">
        <v>1</v>
      </c>
      <c r="AT25" t="n">
        <v>1</v>
      </c>
      <c r="AU25" t="n">
        <v>3</v>
      </c>
      <c r="AV25" t="n">
        <v>3</v>
      </c>
      <c r="AW25" t="n">
        <v>2</v>
      </c>
      <c r="AX25" t="n">
        <v>10</v>
      </c>
      <c r="AY25" t="n">
        <v>9</v>
      </c>
      <c r="AZ25" t="n">
        <v>5</v>
      </c>
      <c r="BA25" t="n">
        <v>6</v>
      </c>
      <c r="BB25" t="n">
        <v>11</v>
      </c>
      <c r="BC25" t="n">
        <v>8</v>
      </c>
      <c r="BD25" t="n">
        <v>12</v>
      </c>
      <c r="BE25" t="n">
        <v>5</v>
      </c>
      <c r="BF25" t="n">
        <v>13</v>
      </c>
      <c r="BG25" t="n">
        <v>6</v>
      </c>
      <c r="BH25" t="n">
        <v>7</v>
      </c>
      <c r="BI25" t="n">
        <v>6</v>
      </c>
      <c r="BJ25" t="n">
        <v>6</v>
      </c>
      <c r="BK25" t="n">
        <v>7</v>
      </c>
      <c r="BL25" t="n">
        <v>4</v>
      </c>
      <c r="BM25" t="n">
        <v>8</v>
      </c>
      <c r="BN25" t="n">
        <v>6</v>
      </c>
      <c r="BO25" t="n">
        <v>3</v>
      </c>
      <c r="BP25" t="n">
        <v>10</v>
      </c>
      <c r="BQ25" t="n">
        <v>3</v>
      </c>
      <c r="BR25" t="n">
        <v>4</v>
      </c>
      <c r="BS25" t="n">
        <v>4</v>
      </c>
      <c r="BT25" t="n">
        <v>3</v>
      </c>
      <c r="BU25" t="n">
        <v>9</v>
      </c>
      <c r="BV25" t="n">
        <v>5</v>
      </c>
      <c r="BW25" t="n">
        <v>1</v>
      </c>
      <c r="BX25" t="n">
        <v>10</v>
      </c>
      <c r="BY25" t="n">
        <v>7</v>
      </c>
      <c r="BZ25" t="n">
        <v>1</v>
      </c>
      <c r="CA25" t="n">
        <v>1</v>
      </c>
      <c r="CB25" t="n">
        <v>1</v>
      </c>
      <c r="CC25" t="n">
        <v>20</v>
      </c>
      <c r="CD25" t="n">
        <v>4</v>
      </c>
      <c r="CE25" t="n">
        <v>1</v>
      </c>
      <c r="CF25" t="n">
        <v>1</v>
      </c>
      <c r="CG25" t="n">
        <v>1</v>
      </c>
      <c r="CH25" t="n">
        <v>1</v>
      </c>
      <c r="CI25" t="inlineStr"/>
    </row>
    <row r="26">
      <c r="A26" t="n">
        <v>6</v>
      </c>
      <c r="B26" t="inlineStr"/>
      <c r="C26" t="inlineStr">
        <is>
          <t>Will Hancox</t>
        </is>
      </c>
      <c r="D26" t="inlineStr">
        <is>
          <t>M/AM R</t>
        </is>
      </c>
      <c r="E26" t="inlineStr">
        <is>
          <t>England</t>
        </is>
      </c>
      <c r="F26" t="n">
        <v>40</v>
      </c>
      <c r="G26" t="n">
        <v>50</v>
      </c>
      <c r="H26" t="n">
        <v>30</v>
      </c>
      <c r="I26" t="n">
        <v>2559</v>
      </c>
      <c r="J26" t="inlineStr">
        <is>
          <t>$0</t>
        </is>
      </c>
      <c r="K26" t="n">
        <v>10000</v>
      </c>
      <c r="L26" t="inlineStr">
        <is>
          <t>False</t>
        </is>
      </c>
      <c r="M26" t="inlineStr">
        <is>
          <t>False</t>
        </is>
      </c>
      <c r="N26" t="n">
        <v>-500</v>
      </c>
      <c r="O26" t="n">
        <v>6000</v>
      </c>
      <c r="P26" t="n">
        <v>20</v>
      </c>
      <c r="Q26" t="n">
        <v>1</v>
      </c>
      <c r="R26" t="n">
        <v>20</v>
      </c>
      <c r="S26" t="n">
        <v>1</v>
      </c>
      <c r="T26" t="n">
        <v>20</v>
      </c>
      <c r="U26" t="n">
        <v>20</v>
      </c>
      <c r="V26" t="n">
        <v>20</v>
      </c>
      <c r="W26" t="n">
        <v>1</v>
      </c>
      <c r="X26" t="n">
        <v>20</v>
      </c>
      <c r="Y26" t="n">
        <v>20</v>
      </c>
      <c r="Z26" t="n">
        <v>20</v>
      </c>
      <c r="AA26" t="n">
        <v>20</v>
      </c>
      <c r="AB26" t="n">
        <v>20</v>
      </c>
      <c r="AC26" t="n">
        <v>12</v>
      </c>
      <c r="AD26" t="n">
        <v>9</v>
      </c>
      <c r="AE26" t="inlineStr">
        <is>
          <t>$5</t>
        </is>
      </c>
      <c r="AF26" t="n">
        <v>8</v>
      </c>
      <c r="AG26" t="n">
        <v>9</v>
      </c>
      <c r="AH26" t="n">
        <v>9</v>
      </c>
      <c r="AI26" t="n">
        <v>10</v>
      </c>
      <c r="AJ26" t="n">
        <v>20</v>
      </c>
      <c r="AK26" t="n">
        <v>12</v>
      </c>
      <c r="AL26" t="n">
        <v>4</v>
      </c>
      <c r="AM26" t="n">
        <v>3</v>
      </c>
      <c r="AN26" t="n">
        <v>1</v>
      </c>
      <c r="AO26" t="n">
        <v>3</v>
      </c>
      <c r="AP26" t="n">
        <v>3</v>
      </c>
      <c r="AQ26" t="n">
        <v>3</v>
      </c>
      <c r="AR26" t="n">
        <v>4</v>
      </c>
      <c r="AS26" t="n">
        <v>3</v>
      </c>
      <c r="AT26" t="n">
        <v>2</v>
      </c>
      <c r="AU26" t="n">
        <v>3</v>
      </c>
      <c r="AV26" t="n">
        <v>2</v>
      </c>
      <c r="AW26" t="n">
        <v>3</v>
      </c>
      <c r="AX26" t="n">
        <v>13</v>
      </c>
      <c r="AY26" t="n">
        <v>8</v>
      </c>
      <c r="AZ26" t="n">
        <v>2</v>
      </c>
      <c r="BA26" t="n">
        <v>6</v>
      </c>
      <c r="BB26" t="n">
        <v>3</v>
      </c>
      <c r="BC26" t="n">
        <v>8</v>
      </c>
      <c r="BD26" t="n">
        <v>12</v>
      </c>
      <c r="BE26" t="n">
        <v>6</v>
      </c>
      <c r="BF26" t="n">
        <v>13</v>
      </c>
      <c r="BG26" t="n">
        <v>5</v>
      </c>
      <c r="BH26" t="n">
        <v>3</v>
      </c>
      <c r="BI26" t="n">
        <v>6</v>
      </c>
      <c r="BJ26" t="n">
        <v>4</v>
      </c>
      <c r="BK26" t="n">
        <v>11</v>
      </c>
      <c r="BL26" t="n">
        <v>4</v>
      </c>
      <c r="BM26" t="n">
        <v>10</v>
      </c>
      <c r="BN26" t="n">
        <v>5</v>
      </c>
      <c r="BO26" t="n">
        <v>4</v>
      </c>
      <c r="BP26" t="n">
        <v>10</v>
      </c>
      <c r="BQ26" t="n">
        <v>4</v>
      </c>
      <c r="BR26" t="n">
        <v>4</v>
      </c>
      <c r="BS26" t="n">
        <v>2</v>
      </c>
      <c r="BT26" t="n">
        <v>3</v>
      </c>
      <c r="BU26" t="n">
        <v>4</v>
      </c>
      <c r="BV26" t="n">
        <v>7</v>
      </c>
      <c r="BW26" t="n">
        <v>1</v>
      </c>
      <c r="BX26" t="n">
        <v>1</v>
      </c>
      <c r="BY26" t="n">
        <v>6</v>
      </c>
      <c r="BZ26" t="n">
        <v>1</v>
      </c>
      <c r="CA26" t="n">
        <v>1</v>
      </c>
      <c r="CB26" t="n">
        <v>1</v>
      </c>
      <c r="CC26" t="n">
        <v>1</v>
      </c>
      <c r="CD26" t="n">
        <v>3</v>
      </c>
      <c r="CE26" t="n">
        <v>18</v>
      </c>
      <c r="CF26" t="n">
        <v>2</v>
      </c>
      <c r="CG26" t="n">
        <v>1</v>
      </c>
      <c r="CH26" t="n">
        <v>1</v>
      </c>
      <c r="CI26" t="inlineStr"/>
    </row>
    <row r="27">
      <c r="A27" t="n">
        <v>4</v>
      </c>
      <c r="B27" t="inlineStr"/>
      <c r="C27" t="inlineStr">
        <is>
          <t>Zach Awe</t>
        </is>
      </c>
      <c r="D27" t="inlineStr">
        <is>
          <t>D/DM C</t>
        </is>
      </c>
      <c r="E27" t="inlineStr">
        <is>
          <t>England,Nigeria,Saint Lucia</t>
        </is>
      </c>
      <c r="F27" t="n">
        <v>85</v>
      </c>
      <c r="G27" t="n">
        <v>121</v>
      </c>
      <c r="H27" t="n">
        <v>23</v>
      </c>
      <c r="I27" t="n">
        <v>4681</v>
      </c>
      <c r="J27" t="inlineStr">
        <is>
          <t>$326,706</t>
        </is>
      </c>
      <c r="K27" t="n">
        <v>9765</v>
      </c>
      <c r="L27" t="inlineStr">
        <is>
          <t>False</t>
        </is>
      </c>
      <c r="M27" t="inlineStr">
        <is>
          <t>False</t>
        </is>
      </c>
      <c r="N27" t="n">
        <v>20</v>
      </c>
      <c r="O27" t="n">
        <v>10000</v>
      </c>
      <c r="P27" t="n">
        <v>8</v>
      </c>
      <c r="Q27" t="n">
        <v>8</v>
      </c>
      <c r="R27" t="n">
        <v>7</v>
      </c>
      <c r="S27" t="n">
        <v>7</v>
      </c>
      <c r="T27" t="n">
        <v>10</v>
      </c>
      <c r="U27" t="n">
        <v>13</v>
      </c>
      <c r="V27" t="n">
        <v>12</v>
      </c>
      <c r="W27" t="n">
        <v>6</v>
      </c>
      <c r="X27" t="n">
        <v>10</v>
      </c>
      <c r="Y27" t="n">
        <v>9</v>
      </c>
      <c r="Z27" t="n">
        <v>15</v>
      </c>
      <c r="AA27" t="n">
        <v>13</v>
      </c>
      <c r="AB27" t="n">
        <v>13</v>
      </c>
      <c r="AC27" t="n">
        <v>12</v>
      </c>
      <c r="AD27" t="n">
        <v>11</v>
      </c>
      <c r="AE27" t="inlineStr">
        <is>
          <t>$11</t>
        </is>
      </c>
      <c r="AF27" t="n">
        <v>14</v>
      </c>
      <c r="AG27" t="n">
        <v>10</v>
      </c>
      <c r="AH27" t="n">
        <v>10</v>
      </c>
      <c r="AI27" t="n">
        <v>11</v>
      </c>
      <c r="AJ27" t="n">
        <v>20</v>
      </c>
      <c r="AK27" t="n">
        <v>11</v>
      </c>
      <c r="AL27" t="n">
        <v>13</v>
      </c>
      <c r="AM27" t="n">
        <v>3</v>
      </c>
      <c r="AN27" t="n">
        <v>2</v>
      </c>
      <c r="AO27" t="n">
        <v>3</v>
      </c>
      <c r="AP27" t="n">
        <v>2</v>
      </c>
      <c r="AQ27" t="n">
        <v>1</v>
      </c>
      <c r="AR27" t="n">
        <v>2</v>
      </c>
      <c r="AS27" t="n">
        <v>2</v>
      </c>
      <c r="AT27" t="n">
        <v>2</v>
      </c>
      <c r="AU27" t="n">
        <v>2</v>
      </c>
      <c r="AV27" t="n">
        <v>1</v>
      </c>
      <c r="AW27" t="n">
        <v>3</v>
      </c>
      <c r="AX27" t="n">
        <v>11</v>
      </c>
      <c r="AY27" t="n">
        <v>12</v>
      </c>
      <c r="AZ27" t="n">
        <v>12</v>
      </c>
      <c r="BA27" t="n">
        <v>10</v>
      </c>
      <c r="BB27" t="n">
        <v>8</v>
      </c>
      <c r="BC27" t="n">
        <v>8</v>
      </c>
      <c r="BD27" t="n">
        <v>12</v>
      </c>
      <c r="BE27" t="n">
        <v>7</v>
      </c>
      <c r="BF27" t="n">
        <v>7</v>
      </c>
      <c r="BG27" t="n">
        <v>7</v>
      </c>
      <c r="BH27" t="n">
        <v>11</v>
      </c>
      <c r="BI27" t="n">
        <v>10</v>
      </c>
      <c r="BJ27" t="n">
        <v>10</v>
      </c>
      <c r="BK27" t="n">
        <v>11</v>
      </c>
      <c r="BL27" t="n">
        <v>1</v>
      </c>
      <c r="BM27" t="n">
        <v>4</v>
      </c>
      <c r="BN27" t="n">
        <v>9</v>
      </c>
      <c r="BO27" t="n">
        <v>4</v>
      </c>
      <c r="BP27" t="n">
        <v>10</v>
      </c>
      <c r="BQ27" t="n">
        <v>4</v>
      </c>
      <c r="BR27" t="n">
        <v>11</v>
      </c>
      <c r="BS27" t="n">
        <v>5</v>
      </c>
      <c r="BT27" t="n">
        <v>2</v>
      </c>
      <c r="BU27" t="n">
        <v>9</v>
      </c>
      <c r="BV27" t="n">
        <v>9</v>
      </c>
      <c r="BW27" t="n">
        <v>4</v>
      </c>
      <c r="BX27" t="n">
        <v>11</v>
      </c>
      <c r="BY27" t="n">
        <v>11</v>
      </c>
      <c r="BZ27" t="n">
        <v>1</v>
      </c>
      <c r="CA27" t="n">
        <v>1</v>
      </c>
      <c r="CB27" t="n">
        <v>20</v>
      </c>
      <c r="CC27" t="n">
        <v>1</v>
      </c>
      <c r="CD27" t="n">
        <v>16</v>
      </c>
      <c r="CE27" t="n">
        <v>1</v>
      </c>
      <c r="CF27" t="n">
        <v>1</v>
      </c>
      <c r="CG27" t="n">
        <v>1</v>
      </c>
      <c r="CH27" t="n">
        <v>1</v>
      </c>
      <c r="CI27" t="inlineStr"/>
    </row>
    <row r="28">
      <c r="A28" t="n">
        <v>20</v>
      </c>
      <c r="B28" t="inlineStr"/>
      <c r="C28" t="inlineStr">
        <is>
          <t>Abdelaziz El Hariri</t>
        </is>
      </c>
      <c r="D28" t="inlineStr">
        <is>
          <t xml:space="preserve">GK </t>
        </is>
      </c>
      <c r="E28" t="inlineStr">
        <is>
          <t>Morocco,England</t>
        </is>
      </c>
      <c r="F28" t="n">
        <v>65</v>
      </c>
      <c r="G28" t="n">
        <v>140</v>
      </c>
      <c r="H28" t="n">
        <v>16</v>
      </c>
      <c r="I28" t="n">
        <v>1130</v>
      </c>
      <c r="J28" t="inlineStr">
        <is>
          <t>$1,818</t>
        </is>
      </c>
      <c r="K28" t="n">
        <v>9770</v>
      </c>
      <c r="L28" t="inlineStr">
        <is>
          <t>False</t>
        </is>
      </c>
      <c r="M28" t="inlineStr">
        <is>
          <t>False</t>
        </is>
      </c>
      <c r="N28" t="n">
        <v>93</v>
      </c>
      <c r="O28" t="n">
        <v>9200</v>
      </c>
      <c r="P28" t="n">
        <v>6</v>
      </c>
      <c r="Q28" t="n">
        <v>12</v>
      </c>
      <c r="R28" t="n">
        <v>5</v>
      </c>
      <c r="S28" t="n">
        <v>13</v>
      </c>
      <c r="T28" t="n">
        <v>10</v>
      </c>
      <c r="U28" t="n">
        <v>12</v>
      </c>
      <c r="V28" t="n">
        <v>17</v>
      </c>
      <c r="W28" t="n">
        <v>15</v>
      </c>
      <c r="X28" t="n">
        <v>17</v>
      </c>
      <c r="Y28" t="n">
        <v>16</v>
      </c>
      <c r="Z28" t="n">
        <v>17</v>
      </c>
      <c r="AA28" t="n">
        <v>16</v>
      </c>
      <c r="AB28" t="n">
        <v>16</v>
      </c>
      <c r="AC28" t="n">
        <v>6</v>
      </c>
      <c r="AD28" t="n">
        <v>10</v>
      </c>
      <c r="AE28" t="inlineStr">
        <is>
          <t>$5</t>
        </is>
      </c>
      <c r="AF28" t="n">
        <v>13</v>
      </c>
      <c r="AG28" t="n">
        <v>11</v>
      </c>
      <c r="AH28" t="n">
        <v>11</v>
      </c>
      <c r="AI28" t="n">
        <v>7</v>
      </c>
      <c r="AJ28" t="n">
        <v>20</v>
      </c>
      <c r="AK28" t="n">
        <v>6</v>
      </c>
      <c r="AL28" t="n">
        <v>8</v>
      </c>
      <c r="AM28" t="n">
        <v>10</v>
      </c>
      <c r="AN28" t="n">
        <v>9</v>
      </c>
      <c r="AO28" t="n">
        <v>8</v>
      </c>
      <c r="AP28" t="n">
        <v>8</v>
      </c>
      <c r="AQ28" t="n">
        <v>13</v>
      </c>
      <c r="AR28" t="n">
        <v>9</v>
      </c>
      <c r="AS28" t="n">
        <v>10</v>
      </c>
      <c r="AT28" t="n">
        <v>13</v>
      </c>
      <c r="AU28" t="n">
        <v>14</v>
      </c>
      <c r="AV28" t="n">
        <v>7</v>
      </c>
      <c r="AW28" t="n">
        <v>7</v>
      </c>
      <c r="AX28" t="n">
        <v>12</v>
      </c>
      <c r="AY28" t="n">
        <v>5</v>
      </c>
      <c r="AZ28" t="n">
        <v>6</v>
      </c>
      <c r="BA28" t="n">
        <v>6</v>
      </c>
      <c r="BB28" t="n">
        <v>10</v>
      </c>
      <c r="BC28" t="n">
        <v>12</v>
      </c>
      <c r="BD28" t="n">
        <v>11</v>
      </c>
      <c r="BE28" t="n">
        <v>2</v>
      </c>
      <c r="BF28" t="n">
        <v>4</v>
      </c>
      <c r="BG28" t="n">
        <v>3</v>
      </c>
      <c r="BH28" t="n">
        <v>11</v>
      </c>
      <c r="BI28" t="n">
        <v>2</v>
      </c>
      <c r="BJ28" t="n">
        <v>3</v>
      </c>
      <c r="BK28" t="n">
        <v>3</v>
      </c>
      <c r="BL28" t="n">
        <v>3</v>
      </c>
      <c r="BM28" t="n">
        <v>3</v>
      </c>
      <c r="BN28" t="n">
        <v>2</v>
      </c>
      <c r="BO28" t="n">
        <v>3</v>
      </c>
      <c r="BP28" t="n">
        <v>2</v>
      </c>
      <c r="BQ28" t="n">
        <v>4</v>
      </c>
      <c r="BR28" t="n">
        <v>1</v>
      </c>
      <c r="BS28" t="n">
        <v>3</v>
      </c>
      <c r="BT28" t="n">
        <v>3</v>
      </c>
      <c r="BU28" t="n">
        <v>2</v>
      </c>
      <c r="BV28" t="n">
        <v>5</v>
      </c>
      <c r="BW28" t="n">
        <v>2</v>
      </c>
      <c r="BX28" t="n">
        <v>3</v>
      </c>
      <c r="BY28" t="n">
        <v>6</v>
      </c>
      <c r="BZ28" t="n">
        <v>20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inlineStr"/>
    </row>
    <row r="29">
      <c r="A29" t="n">
        <v>15</v>
      </c>
      <c r="B29" t="inlineStr"/>
      <c r="C29" t="inlineStr">
        <is>
          <t>Aiden Warne</t>
        </is>
      </c>
      <c r="D29" t="inlineStr">
        <is>
          <t xml:space="preserve">ST </t>
        </is>
      </c>
      <c r="E29" t="inlineStr">
        <is>
          <t>England</t>
        </is>
      </c>
      <c r="F29" t="n">
        <v>40</v>
      </c>
      <c r="G29" t="n">
        <v>77</v>
      </c>
      <c r="H29" t="n">
        <v>20</v>
      </c>
      <c r="I29" t="n">
        <v>1226</v>
      </c>
      <c r="J29" t="inlineStr">
        <is>
          <t>$0</t>
        </is>
      </c>
      <c r="K29" t="n">
        <v>10000</v>
      </c>
      <c r="L29" t="inlineStr">
        <is>
          <t>False</t>
        </is>
      </c>
      <c r="M29" t="inlineStr">
        <is>
          <t>False</t>
        </is>
      </c>
      <c r="N29" t="n">
        <v>-225</v>
      </c>
      <c r="O29" t="n">
        <v>6300</v>
      </c>
      <c r="P29" t="n">
        <v>14</v>
      </c>
      <c r="Q29" t="n">
        <v>15</v>
      </c>
      <c r="R29" t="n">
        <v>7</v>
      </c>
      <c r="S29" t="n">
        <v>11</v>
      </c>
      <c r="T29" t="n">
        <v>8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  <c r="Z29" t="n">
        <v>10</v>
      </c>
      <c r="AA29" t="n">
        <v>10</v>
      </c>
      <c r="AB29" t="n">
        <v>10</v>
      </c>
      <c r="AC29" t="n">
        <v>11</v>
      </c>
      <c r="AD29" t="n">
        <v>10</v>
      </c>
      <c r="AE29" t="inlineStr">
        <is>
          <t>$6</t>
        </is>
      </c>
      <c r="AF29" t="n">
        <v>3</v>
      </c>
      <c r="AG29" t="n">
        <v>11</v>
      </c>
      <c r="AH29" t="n">
        <v>16</v>
      </c>
      <c r="AI29" t="n">
        <v>10</v>
      </c>
      <c r="AJ29" t="n">
        <v>20</v>
      </c>
      <c r="AK29" t="n">
        <v>10</v>
      </c>
      <c r="AL29" t="n">
        <v>4</v>
      </c>
      <c r="AM29" t="n">
        <v>1</v>
      </c>
      <c r="AN29" t="n">
        <v>2</v>
      </c>
      <c r="AO29" t="n">
        <v>2</v>
      </c>
      <c r="AP29" t="n">
        <v>3</v>
      </c>
      <c r="AQ29" t="n">
        <v>1</v>
      </c>
      <c r="AR29" t="n">
        <v>2</v>
      </c>
      <c r="AS29" t="n">
        <v>1</v>
      </c>
      <c r="AT29" t="n">
        <v>2</v>
      </c>
      <c r="AU29" t="n">
        <v>3</v>
      </c>
      <c r="AV29" t="n">
        <v>4</v>
      </c>
      <c r="AW29" t="n">
        <v>3</v>
      </c>
      <c r="AX29" t="n">
        <v>12</v>
      </c>
      <c r="AY29" t="n">
        <v>6</v>
      </c>
      <c r="AZ29" t="n">
        <v>4</v>
      </c>
      <c r="BA29" t="n">
        <v>7</v>
      </c>
      <c r="BB29" t="n">
        <v>2</v>
      </c>
      <c r="BC29" t="n">
        <v>9</v>
      </c>
      <c r="BD29" t="n">
        <v>15</v>
      </c>
      <c r="BE29" t="n">
        <v>6</v>
      </c>
      <c r="BF29" t="n">
        <v>4</v>
      </c>
      <c r="BG29" t="n">
        <v>10</v>
      </c>
      <c r="BH29" t="n">
        <v>2</v>
      </c>
      <c r="BI29" t="n">
        <v>2</v>
      </c>
      <c r="BJ29" t="n">
        <v>1</v>
      </c>
      <c r="BK29" t="n">
        <v>4</v>
      </c>
      <c r="BL29" t="n">
        <v>2</v>
      </c>
      <c r="BM29" t="n">
        <v>3</v>
      </c>
      <c r="BN29" t="n">
        <v>12</v>
      </c>
      <c r="BO29" t="n">
        <v>12</v>
      </c>
      <c r="BP29" t="n">
        <v>9</v>
      </c>
      <c r="BQ29" t="n">
        <v>3</v>
      </c>
      <c r="BR29" t="n">
        <v>12</v>
      </c>
      <c r="BS29" t="n">
        <v>2</v>
      </c>
      <c r="BT29" t="n">
        <v>1</v>
      </c>
      <c r="BU29" t="n">
        <v>1</v>
      </c>
      <c r="BV29" t="n">
        <v>1</v>
      </c>
      <c r="BW29" t="n">
        <v>2</v>
      </c>
      <c r="BX29" t="n">
        <v>1</v>
      </c>
      <c r="BY29" t="n">
        <v>4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20</v>
      </c>
      <c r="CI29" t="inlineStr"/>
    </row>
    <row r="30">
      <c r="A30" t="n">
        <v>53</v>
      </c>
      <c r="B30" t="inlineStr"/>
      <c r="C30" t="inlineStr">
        <is>
          <t>Alessandro Trapasso</t>
        </is>
      </c>
      <c r="D30" t="inlineStr">
        <is>
          <t>D/WB R</t>
        </is>
      </c>
      <c r="E30" t="inlineStr">
        <is>
          <t>England</t>
        </is>
      </c>
      <c r="F30" t="n">
        <v>42</v>
      </c>
      <c r="G30" t="n">
        <v>80</v>
      </c>
      <c r="H30" t="n">
        <v>20</v>
      </c>
      <c r="I30" t="n">
        <v>435</v>
      </c>
      <c r="J30" t="inlineStr">
        <is>
          <t>$0</t>
        </is>
      </c>
      <c r="K30" t="n">
        <v>10000</v>
      </c>
      <c r="L30" t="inlineStr">
        <is>
          <t>False</t>
        </is>
      </c>
      <c r="M30" t="inlineStr">
        <is>
          <t>False</t>
        </is>
      </c>
      <c r="N30" t="n">
        <v>-224</v>
      </c>
      <c r="O30" t="n">
        <v>6050</v>
      </c>
      <c r="P30" t="n">
        <v>7</v>
      </c>
      <c r="Q30" t="n">
        <v>11</v>
      </c>
      <c r="R30" t="n">
        <v>14</v>
      </c>
      <c r="S30" t="n">
        <v>13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  <c r="Z30" t="n">
        <v>10</v>
      </c>
      <c r="AA30" t="n">
        <v>10</v>
      </c>
      <c r="AB30" t="n">
        <v>10</v>
      </c>
      <c r="AC30" t="n">
        <v>11</v>
      </c>
      <c r="AD30" t="n">
        <v>10</v>
      </c>
      <c r="AE30" t="inlineStr">
        <is>
          <t>$7</t>
        </is>
      </c>
      <c r="AF30" t="n">
        <v>9</v>
      </c>
      <c r="AG30" t="n">
        <v>10</v>
      </c>
      <c r="AH30" t="n">
        <v>11</v>
      </c>
      <c r="AI30" t="n">
        <v>12</v>
      </c>
      <c r="AJ30" t="n">
        <v>20</v>
      </c>
      <c r="AK30" t="n">
        <v>5</v>
      </c>
      <c r="AL30" t="n">
        <v>5</v>
      </c>
      <c r="AM30" t="n">
        <v>1</v>
      </c>
      <c r="AN30" t="n">
        <v>4</v>
      </c>
      <c r="AO30" t="n">
        <v>1</v>
      </c>
      <c r="AP30" t="n">
        <v>4</v>
      </c>
      <c r="AQ30" t="n">
        <v>2</v>
      </c>
      <c r="AR30" t="n">
        <v>3</v>
      </c>
      <c r="AS30" t="n">
        <v>3</v>
      </c>
      <c r="AT30" t="n">
        <v>3</v>
      </c>
      <c r="AU30" t="n">
        <v>3</v>
      </c>
      <c r="AV30" t="n">
        <v>2</v>
      </c>
      <c r="AW30" t="n">
        <v>3</v>
      </c>
      <c r="AX30" t="n">
        <v>5</v>
      </c>
      <c r="AY30" t="n">
        <v>6</v>
      </c>
      <c r="AZ30" t="n">
        <v>7</v>
      </c>
      <c r="BA30" t="n">
        <v>6</v>
      </c>
      <c r="BB30" t="n">
        <v>6</v>
      </c>
      <c r="BC30" t="n">
        <v>11</v>
      </c>
      <c r="BD30" t="n">
        <v>7</v>
      </c>
      <c r="BE30" t="n">
        <v>5</v>
      </c>
      <c r="BF30" t="n">
        <v>11</v>
      </c>
      <c r="BG30" t="n">
        <v>5</v>
      </c>
      <c r="BH30" t="n">
        <v>7</v>
      </c>
      <c r="BI30" t="n">
        <v>7</v>
      </c>
      <c r="BJ30" t="n">
        <v>6</v>
      </c>
      <c r="BK30" t="n">
        <v>7</v>
      </c>
      <c r="BL30" t="n">
        <v>4</v>
      </c>
      <c r="BM30" t="n">
        <v>10</v>
      </c>
      <c r="BN30" t="n">
        <v>2</v>
      </c>
      <c r="BO30" t="n">
        <v>3</v>
      </c>
      <c r="BP30" t="n">
        <v>9</v>
      </c>
      <c r="BQ30" t="n">
        <v>2</v>
      </c>
      <c r="BR30" t="n">
        <v>6</v>
      </c>
      <c r="BS30" t="n">
        <v>1</v>
      </c>
      <c r="BT30" t="n">
        <v>4</v>
      </c>
      <c r="BU30" t="n">
        <v>8</v>
      </c>
      <c r="BV30" t="n">
        <v>6</v>
      </c>
      <c r="BW30" t="n">
        <v>2</v>
      </c>
      <c r="BX30" t="n">
        <v>12</v>
      </c>
      <c r="BY30" t="n">
        <v>6</v>
      </c>
      <c r="BZ30" t="n">
        <v>1</v>
      </c>
      <c r="CA30" t="n">
        <v>20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inlineStr"/>
    </row>
    <row r="31">
      <c r="A31" t="n">
        <v>-1</v>
      </c>
      <c r="B31" t="inlineStr"/>
      <c r="C31" t="inlineStr">
        <is>
          <t>Amani Bowlin</t>
        </is>
      </c>
      <c r="D31" t="inlineStr">
        <is>
          <t>D C</t>
        </is>
      </c>
      <c r="E31" t="inlineStr">
        <is>
          <t>England</t>
        </is>
      </c>
      <c r="F31" t="n">
        <v>33</v>
      </c>
      <c r="G31" t="n">
        <v>81</v>
      </c>
      <c r="H31" t="n">
        <v>20</v>
      </c>
      <c r="I31" t="n">
        <v>612</v>
      </c>
      <c r="J31" t="inlineStr">
        <is>
          <t>$0</t>
        </is>
      </c>
      <c r="K31" t="n">
        <v>10000</v>
      </c>
      <c r="L31" t="inlineStr">
        <is>
          <t>False</t>
        </is>
      </c>
      <c r="M31" t="inlineStr">
        <is>
          <t>False</t>
        </is>
      </c>
      <c r="N31" t="n">
        <v>-224</v>
      </c>
      <c r="O31" t="n">
        <v>5850</v>
      </c>
      <c r="P31" t="n">
        <v>10</v>
      </c>
      <c r="Q31" t="n">
        <v>11</v>
      </c>
      <c r="R31" t="n">
        <v>10</v>
      </c>
      <c r="S31" t="n">
        <v>12</v>
      </c>
      <c r="T31" t="n">
        <v>6</v>
      </c>
      <c r="U31" t="n">
        <v>10</v>
      </c>
      <c r="V31" t="n">
        <v>10</v>
      </c>
      <c r="W31" t="n">
        <v>10</v>
      </c>
      <c r="X31" t="n">
        <v>11</v>
      </c>
      <c r="Y31" t="n">
        <v>10</v>
      </c>
      <c r="Z31" t="n">
        <v>10</v>
      </c>
      <c r="AA31" t="n">
        <v>10</v>
      </c>
      <c r="AB31" t="n">
        <v>10</v>
      </c>
      <c r="AC31" t="n">
        <v>13</v>
      </c>
      <c r="AD31" t="n">
        <v>11</v>
      </c>
      <c r="AE31" t="inlineStr">
        <is>
          <t>$15</t>
        </is>
      </c>
      <c r="AF31" t="n">
        <v>7</v>
      </c>
      <c r="AG31" t="n">
        <v>11</v>
      </c>
      <c r="AH31" t="n">
        <v>7</v>
      </c>
      <c r="AI31" t="n">
        <v>10</v>
      </c>
      <c r="AJ31" t="n">
        <v>20</v>
      </c>
      <c r="AK31" t="n">
        <v>6</v>
      </c>
      <c r="AL31" t="n">
        <v>6</v>
      </c>
      <c r="AM31" t="n">
        <v>2</v>
      </c>
      <c r="AN31" t="n">
        <v>2</v>
      </c>
      <c r="AO31" t="n">
        <v>3</v>
      </c>
      <c r="AP31" t="n">
        <v>2</v>
      </c>
      <c r="AQ31" t="n">
        <v>2</v>
      </c>
      <c r="AR31" t="n">
        <v>2</v>
      </c>
      <c r="AS31" t="n">
        <v>3</v>
      </c>
      <c r="AT31" t="n">
        <v>1</v>
      </c>
      <c r="AU31" t="n">
        <v>1</v>
      </c>
      <c r="AV31" t="n">
        <v>1</v>
      </c>
      <c r="AW31" t="n">
        <v>2</v>
      </c>
      <c r="AX31" t="n">
        <v>10</v>
      </c>
      <c r="AY31" t="n">
        <v>12</v>
      </c>
      <c r="AZ31" t="n">
        <v>7</v>
      </c>
      <c r="BA31" t="n">
        <v>4</v>
      </c>
      <c r="BB31" t="n">
        <v>6</v>
      </c>
      <c r="BC31" t="n">
        <v>7</v>
      </c>
      <c r="BD31" t="n">
        <v>13</v>
      </c>
      <c r="BE31" t="n">
        <v>6</v>
      </c>
      <c r="BF31" t="n">
        <v>11</v>
      </c>
      <c r="BG31" t="n">
        <v>7</v>
      </c>
      <c r="BH31" t="n">
        <v>4</v>
      </c>
      <c r="BI31" t="n">
        <v>7</v>
      </c>
      <c r="BJ31" t="n">
        <v>5</v>
      </c>
      <c r="BK31" t="n">
        <v>7</v>
      </c>
      <c r="BL31" t="n">
        <v>3</v>
      </c>
      <c r="BM31" t="n">
        <v>5</v>
      </c>
      <c r="BN31" t="n">
        <v>5</v>
      </c>
      <c r="BO31" t="n">
        <v>1</v>
      </c>
      <c r="BP31" t="n">
        <v>5</v>
      </c>
      <c r="BQ31" t="n">
        <v>1</v>
      </c>
      <c r="BR31" t="n">
        <v>7</v>
      </c>
      <c r="BS31" t="n">
        <v>1</v>
      </c>
      <c r="BT31" t="n">
        <v>1</v>
      </c>
      <c r="BU31" t="n">
        <v>6</v>
      </c>
      <c r="BV31" t="n">
        <v>7</v>
      </c>
      <c r="BW31" t="n">
        <v>1</v>
      </c>
      <c r="BX31" t="n">
        <v>7</v>
      </c>
      <c r="BY31" t="n">
        <v>8</v>
      </c>
      <c r="BZ31" t="n">
        <v>1</v>
      </c>
      <c r="CA31" t="n">
        <v>1</v>
      </c>
      <c r="CB31" t="n">
        <v>20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inlineStr"/>
    </row>
    <row r="32">
      <c r="A32" t="n">
        <v>-1</v>
      </c>
      <c r="B32" t="inlineStr"/>
      <c r="C32" t="inlineStr">
        <is>
          <t>Ben Scothern</t>
        </is>
      </c>
      <c r="D32" t="inlineStr">
        <is>
          <t>D C</t>
        </is>
      </c>
      <c r="E32" t="inlineStr">
        <is>
          <t>England</t>
        </is>
      </c>
      <c r="F32" t="n">
        <v>35</v>
      </c>
      <c r="G32" t="n">
        <v>90</v>
      </c>
      <c r="H32" t="n">
        <v>19</v>
      </c>
      <c r="I32" t="n">
        <v>265</v>
      </c>
      <c r="J32" t="inlineStr">
        <is>
          <t>$0</t>
        </is>
      </c>
      <c r="K32" t="n">
        <v>10000</v>
      </c>
      <c r="L32" t="inlineStr">
        <is>
          <t>False</t>
        </is>
      </c>
      <c r="M32" t="inlineStr">
        <is>
          <t>False</t>
        </is>
      </c>
      <c r="N32" t="n">
        <v>-222</v>
      </c>
      <c r="O32" t="n">
        <v>6100</v>
      </c>
      <c r="P32" t="n">
        <v>7</v>
      </c>
      <c r="Q32" t="n">
        <v>5</v>
      </c>
      <c r="R32" t="n">
        <v>9</v>
      </c>
      <c r="S32" t="n">
        <v>10</v>
      </c>
      <c r="T32" t="n">
        <v>9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  <c r="Z32" t="n">
        <v>11</v>
      </c>
      <c r="AA32" t="n">
        <v>10</v>
      </c>
      <c r="AB32" t="n">
        <v>10</v>
      </c>
      <c r="AC32" t="n">
        <v>10</v>
      </c>
      <c r="AD32" t="n">
        <v>10</v>
      </c>
      <c r="AE32" t="inlineStr">
        <is>
          <t>$5</t>
        </is>
      </c>
      <c r="AF32" t="n">
        <v>8</v>
      </c>
      <c r="AG32" t="n">
        <v>10</v>
      </c>
      <c r="AH32" t="n">
        <v>11</v>
      </c>
      <c r="AI32" t="n">
        <v>10</v>
      </c>
      <c r="AJ32" t="n">
        <v>20</v>
      </c>
      <c r="AK32" t="n">
        <v>5</v>
      </c>
      <c r="AL32" t="n">
        <v>5</v>
      </c>
      <c r="AM32" t="n">
        <v>1</v>
      </c>
      <c r="AN32" t="n">
        <v>2</v>
      </c>
      <c r="AO32" t="n">
        <v>3</v>
      </c>
      <c r="AP32" t="n">
        <v>1</v>
      </c>
      <c r="AQ32" t="n">
        <v>2</v>
      </c>
      <c r="AR32" t="n">
        <v>3</v>
      </c>
      <c r="AS32" t="n">
        <v>1</v>
      </c>
      <c r="AT32" t="n">
        <v>2</v>
      </c>
      <c r="AU32" t="n">
        <v>1</v>
      </c>
      <c r="AV32" t="n">
        <v>1</v>
      </c>
      <c r="AW32" t="n">
        <v>2</v>
      </c>
      <c r="AX32" t="n">
        <v>10</v>
      </c>
      <c r="AY32" t="n">
        <v>9</v>
      </c>
      <c r="AZ32" t="n">
        <v>6</v>
      </c>
      <c r="BA32" t="n">
        <v>3</v>
      </c>
      <c r="BB32" t="n">
        <v>5</v>
      </c>
      <c r="BC32" t="n">
        <v>12</v>
      </c>
      <c r="BD32" t="n">
        <v>9</v>
      </c>
      <c r="BE32" t="n">
        <v>5</v>
      </c>
      <c r="BF32" t="n">
        <v>1</v>
      </c>
      <c r="BG32" t="n">
        <v>3</v>
      </c>
      <c r="BH32" t="n">
        <v>9</v>
      </c>
      <c r="BI32" t="n">
        <v>3</v>
      </c>
      <c r="BJ32" t="n">
        <v>3</v>
      </c>
      <c r="BK32" t="n">
        <v>5</v>
      </c>
      <c r="BL32" t="n">
        <v>3</v>
      </c>
      <c r="BM32" t="n">
        <v>1</v>
      </c>
      <c r="BN32" t="n">
        <v>1</v>
      </c>
      <c r="BO32" t="n">
        <v>1</v>
      </c>
      <c r="BP32" t="n">
        <v>3</v>
      </c>
      <c r="BQ32" t="n">
        <v>1</v>
      </c>
      <c r="BR32" t="n">
        <v>10</v>
      </c>
      <c r="BS32" t="n">
        <v>1</v>
      </c>
      <c r="BT32" t="n">
        <v>3</v>
      </c>
      <c r="BU32" t="n">
        <v>9</v>
      </c>
      <c r="BV32" t="n">
        <v>4</v>
      </c>
      <c r="BW32" t="n">
        <v>1</v>
      </c>
      <c r="BX32" t="n">
        <v>7</v>
      </c>
      <c r="BY32" t="n">
        <v>3</v>
      </c>
      <c r="BZ32" t="n">
        <v>1</v>
      </c>
      <c r="CA32" t="n">
        <v>1</v>
      </c>
      <c r="CB32" t="n">
        <v>20</v>
      </c>
      <c r="CC32" t="n">
        <v>1</v>
      </c>
      <c r="CD32" t="n">
        <v>1</v>
      </c>
      <c r="CE32" t="n">
        <v>4</v>
      </c>
      <c r="CF32" t="n">
        <v>1</v>
      </c>
      <c r="CG32" t="n">
        <v>1</v>
      </c>
      <c r="CH32" t="n">
        <v>1</v>
      </c>
      <c r="CI32" t="inlineStr"/>
    </row>
    <row r="33">
      <c r="A33" t="n">
        <v>44</v>
      </c>
      <c r="B33" t="inlineStr"/>
      <c r="C33" t="inlineStr">
        <is>
          <t>Benjamin Martin-Coward</t>
        </is>
      </c>
      <c r="D33" t="inlineStr">
        <is>
          <t>DM/M C</t>
        </is>
      </c>
      <c r="E33" t="inlineStr">
        <is>
          <t>England</t>
        </is>
      </c>
      <c r="F33" t="n">
        <v>45</v>
      </c>
      <c r="G33" t="n">
        <v>84</v>
      </c>
      <c r="H33" t="n">
        <v>20</v>
      </c>
      <c r="I33" t="n">
        <v>1745</v>
      </c>
      <c r="J33" t="inlineStr">
        <is>
          <t>$0</t>
        </is>
      </c>
      <c r="K33" t="n">
        <v>8304</v>
      </c>
      <c r="L33" t="inlineStr">
        <is>
          <t>False</t>
        </is>
      </c>
      <c r="M33" t="inlineStr">
        <is>
          <t>False</t>
        </is>
      </c>
      <c r="N33" t="n">
        <v>-159</v>
      </c>
      <c r="O33" t="n">
        <v>8800</v>
      </c>
      <c r="P33" t="n">
        <v>7</v>
      </c>
      <c r="Q33" t="n">
        <v>12</v>
      </c>
      <c r="R33" t="n">
        <v>10</v>
      </c>
      <c r="S33" t="n">
        <v>7</v>
      </c>
      <c r="T33" t="n">
        <v>9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  <c r="Z33" t="n">
        <v>10</v>
      </c>
      <c r="AA33" t="n">
        <v>10</v>
      </c>
      <c r="AB33" t="n">
        <v>10</v>
      </c>
      <c r="AC33" t="n">
        <v>13</v>
      </c>
      <c r="AD33" t="n">
        <v>9</v>
      </c>
      <c r="AE33" t="inlineStr">
        <is>
          <t>$5</t>
        </is>
      </c>
      <c r="AF33" t="n">
        <v>6</v>
      </c>
      <c r="AG33" t="n">
        <v>7</v>
      </c>
      <c r="AH33" t="n">
        <v>12</v>
      </c>
      <c r="AI33" t="n">
        <v>13</v>
      </c>
      <c r="AJ33" t="n">
        <v>20</v>
      </c>
      <c r="AK33" t="n">
        <v>9</v>
      </c>
      <c r="AL33" t="n">
        <v>1</v>
      </c>
      <c r="AM33" t="n">
        <v>1</v>
      </c>
      <c r="AN33" t="n">
        <v>1</v>
      </c>
      <c r="AO33" t="n">
        <v>3</v>
      </c>
      <c r="AP33" t="n">
        <v>2</v>
      </c>
      <c r="AQ33" t="n">
        <v>1</v>
      </c>
      <c r="AR33" t="n">
        <v>3</v>
      </c>
      <c r="AS33" t="n">
        <v>1</v>
      </c>
      <c r="AT33" t="n">
        <v>2</v>
      </c>
      <c r="AU33" t="n">
        <v>2</v>
      </c>
      <c r="AV33" t="n">
        <v>1</v>
      </c>
      <c r="AW33" t="n">
        <v>3</v>
      </c>
      <c r="AX33" t="n">
        <v>10</v>
      </c>
      <c r="AY33" t="n">
        <v>7</v>
      </c>
      <c r="AZ33" t="n">
        <v>4</v>
      </c>
      <c r="BA33" t="n">
        <v>5</v>
      </c>
      <c r="BB33" t="n">
        <v>4</v>
      </c>
      <c r="BC33" t="n">
        <v>10</v>
      </c>
      <c r="BD33" t="n">
        <v>12</v>
      </c>
      <c r="BE33" t="n">
        <v>5</v>
      </c>
      <c r="BF33" t="n">
        <v>6</v>
      </c>
      <c r="BG33" t="n">
        <v>5</v>
      </c>
      <c r="BH33" t="n">
        <v>7</v>
      </c>
      <c r="BI33" t="n">
        <v>6</v>
      </c>
      <c r="BJ33" t="n">
        <v>14</v>
      </c>
      <c r="BK33" t="n">
        <v>7</v>
      </c>
      <c r="BL33" t="n">
        <v>4</v>
      </c>
      <c r="BM33" t="n">
        <v>1</v>
      </c>
      <c r="BN33" t="n">
        <v>3</v>
      </c>
      <c r="BO33" t="n">
        <v>4</v>
      </c>
      <c r="BP33" t="n">
        <v>11</v>
      </c>
      <c r="BQ33" t="n">
        <v>3</v>
      </c>
      <c r="BR33" t="n">
        <v>4</v>
      </c>
      <c r="BS33" t="n">
        <v>8</v>
      </c>
      <c r="BT33" t="n">
        <v>1</v>
      </c>
      <c r="BU33" t="n">
        <v>8</v>
      </c>
      <c r="BV33" t="n">
        <v>11</v>
      </c>
      <c r="BW33" t="n">
        <v>1</v>
      </c>
      <c r="BX33" t="n">
        <v>5</v>
      </c>
      <c r="BY33" t="n">
        <v>6</v>
      </c>
      <c r="BZ33" t="n">
        <v>1</v>
      </c>
      <c r="CA33" t="n">
        <v>1</v>
      </c>
      <c r="CB33" t="n">
        <v>1</v>
      </c>
      <c r="CC33" t="n">
        <v>1</v>
      </c>
      <c r="CD33" t="n">
        <v>20</v>
      </c>
      <c r="CE33" t="n">
        <v>1</v>
      </c>
      <c r="CF33" t="n">
        <v>1</v>
      </c>
      <c r="CG33" t="n">
        <v>1</v>
      </c>
      <c r="CH33" t="n">
        <v>1</v>
      </c>
      <c r="CI33" t="inlineStr"/>
    </row>
    <row r="34">
      <c r="A34" t="n">
        <v>-1</v>
      </c>
      <c r="B34" t="inlineStr"/>
      <c r="C34" t="inlineStr">
        <is>
          <t>Brogan Popham</t>
        </is>
      </c>
      <c r="D34" t="inlineStr">
        <is>
          <t>D/WB/M L</t>
        </is>
      </c>
      <c r="E34" t="inlineStr">
        <is>
          <t>Wales</t>
        </is>
      </c>
      <c r="F34" t="n">
        <v>55</v>
      </c>
      <c r="G34" t="n">
        <v>90</v>
      </c>
      <c r="H34" t="n">
        <v>19</v>
      </c>
      <c r="I34" t="n">
        <v>746</v>
      </c>
      <c r="J34" t="inlineStr">
        <is>
          <t>$0</t>
        </is>
      </c>
      <c r="K34" t="n">
        <v>10000</v>
      </c>
      <c r="L34" t="inlineStr">
        <is>
          <t>False</t>
        </is>
      </c>
      <c r="M34" t="inlineStr">
        <is>
          <t>False</t>
        </is>
      </c>
      <c r="N34" t="n">
        <v>-224</v>
      </c>
      <c r="O34" t="n">
        <v>6250</v>
      </c>
      <c r="P34" t="n">
        <v>6</v>
      </c>
      <c r="Q34" t="n">
        <v>5</v>
      </c>
      <c r="R34" t="n">
        <v>9</v>
      </c>
      <c r="S34" t="n">
        <v>6</v>
      </c>
      <c r="T34" t="n">
        <v>9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  <c r="Z34" t="n">
        <v>10</v>
      </c>
      <c r="AA34" t="n">
        <v>10</v>
      </c>
      <c r="AB34" t="n">
        <v>10</v>
      </c>
      <c r="AC34" t="n">
        <v>13</v>
      </c>
      <c r="AD34" t="n">
        <v>11</v>
      </c>
      <c r="AE34" t="inlineStr">
        <is>
          <t>$5</t>
        </is>
      </c>
      <c r="AF34" t="n">
        <v>8</v>
      </c>
      <c r="AG34" t="n">
        <v>10</v>
      </c>
      <c r="AH34" t="n">
        <v>15</v>
      </c>
      <c r="AI34" t="n">
        <v>12</v>
      </c>
      <c r="AJ34" t="n">
        <v>20</v>
      </c>
      <c r="AK34" t="n">
        <v>14</v>
      </c>
      <c r="AL34" t="n">
        <v>6</v>
      </c>
      <c r="AM34" t="n">
        <v>1</v>
      </c>
      <c r="AN34" t="n">
        <v>2</v>
      </c>
      <c r="AO34" t="n">
        <v>1</v>
      </c>
      <c r="AP34" t="n">
        <v>1</v>
      </c>
      <c r="AQ34" t="n">
        <v>3</v>
      </c>
      <c r="AR34" t="n">
        <v>2</v>
      </c>
      <c r="AS34" t="n">
        <v>1</v>
      </c>
      <c r="AT34" t="n">
        <v>2</v>
      </c>
      <c r="AU34" t="n">
        <v>3</v>
      </c>
      <c r="AV34" t="n">
        <v>3</v>
      </c>
      <c r="AW34" t="n">
        <v>3</v>
      </c>
      <c r="AX34" t="n">
        <v>7</v>
      </c>
      <c r="AY34" t="n">
        <v>6</v>
      </c>
      <c r="AZ34" t="n">
        <v>6</v>
      </c>
      <c r="BA34" t="n">
        <v>4</v>
      </c>
      <c r="BB34" t="n">
        <v>7</v>
      </c>
      <c r="BC34" t="n">
        <v>8</v>
      </c>
      <c r="BD34" t="n">
        <v>12</v>
      </c>
      <c r="BE34" t="n">
        <v>7</v>
      </c>
      <c r="BF34" t="n">
        <v>3</v>
      </c>
      <c r="BG34" t="n">
        <v>5</v>
      </c>
      <c r="BH34" t="n">
        <v>5</v>
      </c>
      <c r="BI34" t="n">
        <v>7</v>
      </c>
      <c r="BJ34" t="n">
        <v>6</v>
      </c>
      <c r="BK34" t="n">
        <v>8</v>
      </c>
      <c r="BL34" t="n">
        <v>4</v>
      </c>
      <c r="BM34" t="n">
        <v>6</v>
      </c>
      <c r="BN34" t="n">
        <v>6</v>
      </c>
      <c r="BO34" t="n">
        <v>1</v>
      </c>
      <c r="BP34" t="n">
        <v>9</v>
      </c>
      <c r="BQ34" t="n">
        <v>5</v>
      </c>
      <c r="BR34" t="n">
        <v>3</v>
      </c>
      <c r="BS34" t="n">
        <v>2</v>
      </c>
      <c r="BT34" t="n">
        <v>5</v>
      </c>
      <c r="BU34" t="n">
        <v>6</v>
      </c>
      <c r="BV34" t="n">
        <v>6</v>
      </c>
      <c r="BW34" t="n">
        <v>4</v>
      </c>
      <c r="BX34" t="n">
        <v>8</v>
      </c>
      <c r="BY34" t="n">
        <v>7</v>
      </c>
      <c r="BZ34" t="n">
        <v>1</v>
      </c>
      <c r="CA34" t="n">
        <v>1</v>
      </c>
      <c r="CB34" t="n">
        <v>1</v>
      </c>
      <c r="CC34" t="n">
        <v>16</v>
      </c>
      <c r="CD34" t="n">
        <v>1</v>
      </c>
      <c r="CE34" t="n">
        <v>1</v>
      </c>
      <c r="CF34" t="n">
        <v>1</v>
      </c>
      <c r="CG34" t="n">
        <v>10</v>
      </c>
      <c r="CH34" t="n">
        <v>1</v>
      </c>
      <c r="CI34" t="inlineStr"/>
    </row>
    <row r="35">
      <c r="A35" t="n">
        <v>-1</v>
      </c>
      <c r="B35" t="inlineStr"/>
      <c r="C35" t="inlineStr">
        <is>
          <t>Conor McVeigh</t>
        </is>
      </c>
      <c r="D35" t="inlineStr">
        <is>
          <t>D RC</t>
        </is>
      </c>
      <c r="E35" t="inlineStr">
        <is>
          <t>Northern Ireland</t>
        </is>
      </c>
      <c r="F35" t="n">
        <v>38</v>
      </c>
      <c r="G35" t="n">
        <v>84</v>
      </c>
      <c r="H35" t="n">
        <v>20</v>
      </c>
      <c r="I35" t="n">
        <v>827</v>
      </c>
      <c r="J35" t="inlineStr">
        <is>
          <t>$0</t>
        </is>
      </c>
      <c r="K35" t="n">
        <v>10000</v>
      </c>
      <c r="L35" t="inlineStr">
        <is>
          <t>False</t>
        </is>
      </c>
      <c r="M35" t="inlineStr">
        <is>
          <t>False</t>
        </is>
      </c>
      <c r="N35" t="n">
        <v>-224</v>
      </c>
      <c r="O35" t="n">
        <v>6100</v>
      </c>
      <c r="P35" t="n">
        <v>9</v>
      </c>
      <c r="Q35" t="n">
        <v>14</v>
      </c>
      <c r="R35" t="n">
        <v>4</v>
      </c>
      <c r="S35" t="n">
        <v>9</v>
      </c>
      <c r="T35" t="n">
        <v>6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  <c r="Z35" t="n">
        <v>10</v>
      </c>
      <c r="AA35" t="n">
        <v>10</v>
      </c>
      <c r="AB35" t="n">
        <v>11</v>
      </c>
      <c r="AC35" t="n">
        <v>9</v>
      </c>
      <c r="AD35" t="n">
        <v>10</v>
      </c>
      <c r="AE35" t="inlineStr">
        <is>
          <t>$5</t>
        </is>
      </c>
      <c r="AF35" t="n">
        <v>12</v>
      </c>
      <c r="AG35" t="n">
        <v>8</v>
      </c>
      <c r="AH35" t="n">
        <v>12</v>
      </c>
      <c r="AI35" t="n">
        <v>10</v>
      </c>
      <c r="AJ35" t="n">
        <v>20</v>
      </c>
      <c r="AK35" t="n">
        <v>7</v>
      </c>
      <c r="AL35" t="n">
        <v>5</v>
      </c>
      <c r="AM35" t="n">
        <v>2</v>
      </c>
      <c r="AN35" t="n">
        <v>3</v>
      </c>
      <c r="AO35" t="n">
        <v>1</v>
      </c>
      <c r="AP35" t="n">
        <v>2</v>
      </c>
      <c r="AQ35" t="n">
        <v>1</v>
      </c>
      <c r="AR35" t="n">
        <v>3</v>
      </c>
      <c r="AS35" t="n">
        <v>4</v>
      </c>
      <c r="AT35" t="n">
        <v>2</v>
      </c>
      <c r="AU35" t="n">
        <v>2</v>
      </c>
      <c r="AV35" t="n">
        <v>2</v>
      </c>
      <c r="AW35" t="n">
        <v>1</v>
      </c>
      <c r="AX35" t="n">
        <v>13</v>
      </c>
      <c r="AY35" t="n">
        <v>6</v>
      </c>
      <c r="AZ35" t="n">
        <v>8</v>
      </c>
      <c r="BA35" t="n">
        <v>4</v>
      </c>
      <c r="BB35" t="n">
        <v>7</v>
      </c>
      <c r="BC35" t="n">
        <v>14</v>
      </c>
      <c r="BD35" t="n">
        <v>6</v>
      </c>
      <c r="BE35" t="n">
        <v>4</v>
      </c>
      <c r="BF35" t="n">
        <v>4</v>
      </c>
      <c r="BG35" t="n">
        <v>3</v>
      </c>
      <c r="BH35" t="n">
        <v>5</v>
      </c>
      <c r="BI35" t="n">
        <v>7</v>
      </c>
      <c r="BJ35" t="n">
        <v>5</v>
      </c>
      <c r="BK35" t="n">
        <v>5</v>
      </c>
      <c r="BL35" t="n">
        <v>3</v>
      </c>
      <c r="BM35" t="n">
        <v>7</v>
      </c>
      <c r="BN35" t="n">
        <v>4</v>
      </c>
      <c r="BO35" t="n">
        <v>3</v>
      </c>
      <c r="BP35" t="n">
        <v>6</v>
      </c>
      <c r="BQ35" t="n">
        <v>1</v>
      </c>
      <c r="BR35" t="n">
        <v>8</v>
      </c>
      <c r="BS35" t="n">
        <v>2</v>
      </c>
      <c r="BT35" t="n">
        <v>1</v>
      </c>
      <c r="BU35" t="n">
        <v>9</v>
      </c>
      <c r="BV35" t="n">
        <v>5</v>
      </c>
      <c r="BW35" t="n">
        <v>4</v>
      </c>
      <c r="BX35" t="n">
        <v>7</v>
      </c>
      <c r="BY35" t="n">
        <v>6</v>
      </c>
      <c r="BZ35" t="n">
        <v>1</v>
      </c>
      <c r="CA35" t="n">
        <v>20</v>
      </c>
      <c r="CB35" t="n">
        <v>16</v>
      </c>
      <c r="CC35" t="n">
        <v>1</v>
      </c>
      <c r="CD35" t="n">
        <v>3</v>
      </c>
      <c r="CE35" t="n">
        <v>1</v>
      </c>
      <c r="CF35" t="n">
        <v>1</v>
      </c>
      <c r="CG35" t="n">
        <v>1</v>
      </c>
      <c r="CH35" t="n">
        <v>1</v>
      </c>
      <c r="CI35" t="inlineStr"/>
    </row>
    <row r="36">
      <c r="A36" t="n">
        <v>36</v>
      </c>
      <c r="B36" t="inlineStr"/>
      <c r="C36" t="inlineStr">
        <is>
          <t>Danny Jordan</t>
        </is>
      </c>
      <c r="D36" t="inlineStr">
        <is>
          <t>D C</t>
        </is>
      </c>
      <c r="E36" t="inlineStr">
        <is>
          <t>England</t>
        </is>
      </c>
      <c r="F36" t="n">
        <v>57</v>
      </c>
      <c r="G36" t="n">
        <v>81</v>
      </c>
      <c r="H36" t="n">
        <v>20</v>
      </c>
      <c r="I36" t="n">
        <v>2334</v>
      </c>
      <c r="J36" t="inlineStr">
        <is>
          <t>$0</t>
        </is>
      </c>
      <c r="K36" t="n">
        <v>10000</v>
      </c>
      <c r="L36" t="inlineStr">
        <is>
          <t>False</t>
        </is>
      </c>
      <c r="M36" t="inlineStr">
        <is>
          <t>False</t>
        </is>
      </c>
      <c r="N36" t="n">
        <v>-224</v>
      </c>
      <c r="O36" t="n">
        <v>5950</v>
      </c>
      <c r="P36" t="n">
        <v>9</v>
      </c>
      <c r="Q36" t="n">
        <v>7</v>
      </c>
      <c r="R36" t="n">
        <v>7</v>
      </c>
      <c r="S36" t="n">
        <v>8</v>
      </c>
      <c r="T36" t="n">
        <v>11</v>
      </c>
      <c r="U36" t="n">
        <v>10</v>
      </c>
      <c r="V36" t="n">
        <v>10</v>
      </c>
      <c r="W36" t="n">
        <v>10</v>
      </c>
      <c r="X36" t="n">
        <v>9</v>
      </c>
      <c r="Y36" t="n">
        <v>10</v>
      </c>
      <c r="Z36" t="n">
        <v>12</v>
      </c>
      <c r="AA36" t="n">
        <v>10</v>
      </c>
      <c r="AB36" t="n">
        <v>10</v>
      </c>
      <c r="AC36" t="n">
        <v>8</v>
      </c>
      <c r="AD36" t="n">
        <v>10</v>
      </c>
      <c r="AE36" t="inlineStr">
        <is>
          <t>$6</t>
        </is>
      </c>
      <c r="AF36" t="n">
        <v>14</v>
      </c>
      <c r="AG36" t="n">
        <v>8</v>
      </c>
      <c r="AH36" t="n">
        <v>7</v>
      </c>
      <c r="AI36" t="n">
        <v>11</v>
      </c>
      <c r="AJ36" t="n">
        <v>20</v>
      </c>
      <c r="AK36" t="n">
        <v>5</v>
      </c>
      <c r="AL36" t="n">
        <v>7</v>
      </c>
      <c r="AM36" t="n">
        <v>1</v>
      </c>
      <c r="AN36" t="n">
        <v>3</v>
      </c>
      <c r="AO36" t="n">
        <v>1</v>
      </c>
      <c r="AP36" t="n">
        <v>3</v>
      </c>
      <c r="AQ36" t="n">
        <v>2</v>
      </c>
      <c r="AR36" t="n">
        <v>3</v>
      </c>
      <c r="AS36" t="n">
        <v>2</v>
      </c>
      <c r="AT36" t="n">
        <v>2</v>
      </c>
      <c r="AU36" t="n">
        <v>2</v>
      </c>
      <c r="AV36" t="n">
        <v>1</v>
      </c>
      <c r="AW36" t="n">
        <v>2</v>
      </c>
      <c r="AX36" t="n">
        <v>10</v>
      </c>
      <c r="AY36" t="n">
        <v>11</v>
      </c>
      <c r="AZ36" t="n">
        <v>7</v>
      </c>
      <c r="BA36" t="n">
        <v>1</v>
      </c>
      <c r="BB36" t="n">
        <v>8</v>
      </c>
      <c r="BC36" t="n">
        <v>13</v>
      </c>
      <c r="BD36" t="n">
        <v>6</v>
      </c>
      <c r="BE36" t="n">
        <v>5</v>
      </c>
      <c r="BF36" t="n">
        <v>10</v>
      </c>
      <c r="BG36" t="n">
        <v>3</v>
      </c>
      <c r="BH36" t="n">
        <v>7</v>
      </c>
      <c r="BI36" t="n">
        <v>3</v>
      </c>
      <c r="BJ36" t="n">
        <v>5</v>
      </c>
      <c r="BK36" t="n">
        <v>4</v>
      </c>
      <c r="BL36" t="n">
        <v>1</v>
      </c>
      <c r="BM36" t="n">
        <v>1</v>
      </c>
      <c r="BN36" t="n">
        <v>2</v>
      </c>
      <c r="BO36" t="n">
        <v>1</v>
      </c>
      <c r="BP36" t="n">
        <v>2</v>
      </c>
      <c r="BQ36" t="n">
        <v>1</v>
      </c>
      <c r="BR36" t="n">
        <v>12</v>
      </c>
      <c r="BS36" t="n">
        <v>1</v>
      </c>
      <c r="BT36" t="n">
        <v>1</v>
      </c>
      <c r="BU36" t="n">
        <v>13</v>
      </c>
      <c r="BV36" t="n">
        <v>3</v>
      </c>
      <c r="BW36" t="n">
        <v>1</v>
      </c>
      <c r="BX36" t="n">
        <v>10</v>
      </c>
      <c r="BY36" t="n">
        <v>4</v>
      </c>
      <c r="BZ36" t="n">
        <v>1</v>
      </c>
      <c r="CA36" t="n">
        <v>1</v>
      </c>
      <c r="CB36" t="n">
        <v>20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inlineStr"/>
    </row>
    <row r="37">
      <c r="A37" t="n">
        <v>52</v>
      </c>
      <c r="B37" t="inlineStr"/>
      <c r="C37" t="inlineStr">
        <is>
          <t>Derrick Ababio</t>
        </is>
      </c>
      <c r="D37" t="inlineStr">
        <is>
          <t>D R</t>
        </is>
      </c>
      <c r="E37" t="inlineStr">
        <is>
          <t>England</t>
        </is>
      </c>
      <c r="F37" t="n">
        <v>52</v>
      </c>
      <c r="G37" t="n">
        <v>81</v>
      </c>
      <c r="H37" t="n">
        <v>19</v>
      </c>
      <c r="I37" t="n">
        <v>2229</v>
      </c>
      <c r="J37" t="inlineStr">
        <is>
          <t>$0</t>
        </is>
      </c>
      <c r="K37" t="n">
        <v>10000</v>
      </c>
      <c r="L37" t="inlineStr">
        <is>
          <t>False</t>
        </is>
      </c>
      <c r="M37" t="inlineStr">
        <is>
          <t>False</t>
        </is>
      </c>
      <c r="N37" t="n">
        <v>-224</v>
      </c>
      <c r="O37" t="n">
        <v>6100</v>
      </c>
      <c r="P37" t="n">
        <v>6</v>
      </c>
      <c r="Q37" t="n">
        <v>6</v>
      </c>
      <c r="R37" t="n">
        <v>7</v>
      </c>
      <c r="S37" t="n">
        <v>14</v>
      </c>
      <c r="T37" t="n">
        <v>8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  <c r="Z37" t="n">
        <v>10</v>
      </c>
      <c r="AA37" t="n">
        <v>10</v>
      </c>
      <c r="AB37" t="n">
        <v>10</v>
      </c>
      <c r="AC37" t="n">
        <v>13</v>
      </c>
      <c r="AD37" t="n">
        <v>14</v>
      </c>
      <c r="AE37" t="inlineStr">
        <is>
          <t>$12</t>
        </is>
      </c>
      <c r="AF37" t="n">
        <v>4</v>
      </c>
      <c r="AG37" t="n">
        <v>5</v>
      </c>
      <c r="AH37" t="n">
        <v>12</v>
      </c>
      <c r="AI37" t="n">
        <v>14</v>
      </c>
      <c r="AJ37" t="n">
        <v>20</v>
      </c>
      <c r="AK37" t="n">
        <v>8</v>
      </c>
      <c r="AL37" t="n">
        <v>3</v>
      </c>
      <c r="AM37" t="n">
        <v>3</v>
      </c>
      <c r="AN37" t="n">
        <v>1</v>
      </c>
      <c r="AO37" t="n">
        <v>3</v>
      </c>
      <c r="AP37" t="n">
        <v>3</v>
      </c>
      <c r="AQ37" t="n">
        <v>1</v>
      </c>
      <c r="AR37" t="n">
        <v>1</v>
      </c>
      <c r="AS37" t="n">
        <v>2</v>
      </c>
      <c r="AT37" t="n">
        <v>3</v>
      </c>
      <c r="AU37" t="n">
        <v>3</v>
      </c>
      <c r="AV37" t="n">
        <v>3</v>
      </c>
      <c r="AW37" t="n">
        <v>1</v>
      </c>
      <c r="AX37" t="n">
        <v>11</v>
      </c>
      <c r="AY37" t="n">
        <v>5</v>
      </c>
      <c r="AZ37" t="n">
        <v>5</v>
      </c>
      <c r="BA37" t="n">
        <v>5</v>
      </c>
      <c r="BB37" t="n">
        <v>8</v>
      </c>
      <c r="BC37" t="n">
        <v>10</v>
      </c>
      <c r="BD37" t="n">
        <v>14</v>
      </c>
      <c r="BE37" t="n">
        <v>6</v>
      </c>
      <c r="BF37" t="n">
        <v>7</v>
      </c>
      <c r="BG37" t="n">
        <v>10</v>
      </c>
      <c r="BH37" t="n">
        <v>8</v>
      </c>
      <c r="BI37" t="n">
        <v>12</v>
      </c>
      <c r="BJ37" t="n">
        <v>3</v>
      </c>
      <c r="BK37" t="n">
        <v>9</v>
      </c>
      <c r="BL37" t="n">
        <v>3</v>
      </c>
      <c r="BM37" t="n">
        <v>9</v>
      </c>
      <c r="BN37" t="n">
        <v>9</v>
      </c>
      <c r="BO37" t="n">
        <v>1</v>
      </c>
      <c r="BP37" t="n">
        <v>6</v>
      </c>
      <c r="BQ37" t="n">
        <v>1</v>
      </c>
      <c r="BR37" t="n">
        <v>7</v>
      </c>
      <c r="BS37" t="n">
        <v>1</v>
      </c>
      <c r="BT37" t="n">
        <v>1</v>
      </c>
      <c r="BU37" t="n">
        <v>8</v>
      </c>
      <c r="BV37" t="n">
        <v>9</v>
      </c>
      <c r="BW37" t="n">
        <v>2</v>
      </c>
      <c r="BX37" t="n">
        <v>8</v>
      </c>
      <c r="BY37" t="n">
        <v>9</v>
      </c>
      <c r="BZ37" t="n">
        <v>1</v>
      </c>
      <c r="CA37" t="n">
        <v>20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inlineStr"/>
    </row>
    <row r="38">
      <c r="A38" t="n">
        <v>46</v>
      </c>
      <c r="B38" t="inlineStr"/>
      <c r="C38" t="inlineStr">
        <is>
          <t>Freddie Hammond</t>
        </is>
      </c>
      <c r="D38" t="inlineStr">
        <is>
          <t>D RL</t>
        </is>
      </c>
      <c r="E38" t="inlineStr">
        <is>
          <t>England</t>
        </is>
      </c>
      <c r="F38" t="n">
        <v>42</v>
      </c>
      <c r="G38" t="n">
        <v>75</v>
      </c>
      <c r="H38" t="n">
        <v>20</v>
      </c>
      <c r="I38" t="n">
        <v>2067</v>
      </c>
      <c r="J38" t="inlineStr">
        <is>
          <t>$0</t>
        </is>
      </c>
      <c r="K38" t="n">
        <v>10000</v>
      </c>
      <c r="L38" t="inlineStr">
        <is>
          <t>False</t>
        </is>
      </c>
      <c r="M38" t="inlineStr">
        <is>
          <t>False</t>
        </is>
      </c>
      <c r="N38" t="n">
        <v>-224</v>
      </c>
      <c r="O38" t="n">
        <v>5850</v>
      </c>
      <c r="P38" t="n">
        <v>6</v>
      </c>
      <c r="Q38" t="n">
        <v>10</v>
      </c>
      <c r="R38" t="n">
        <v>6</v>
      </c>
      <c r="S38" t="n">
        <v>14</v>
      </c>
      <c r="T38" t="n">
        <v>12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  <c r="Z38" t="n">
        <v>10</v>
      </c>
      <c r="AA38" t="n">
        <v>10</v>
      </c>
      <c r="AB38" t="n">
        <v>10</v>
      </c>
      <c r="AC38" t="n">
        <v>13</v>
      </c>
      <c r="AD38" t="n">
        <v>9</v>
      </c>
      <c r="AE38" t="inlineStr">
        <is>
          <t>$4</t>
        </is>
      </c>
      <c r="AF38" t="n">
        <v>12</v>
      </c>
      <c r="AG38" t="n">
        <v>20</v>
      </c>
      <c r="AH38" t="n">
        <v>7</v>
      </c>
      <c r="AI38" t="n">
        <v>12</v>
      </c>
      <c r="AJ38" t="n">
        <v>9</v>
      </c>
      <c r="AK38" t="n">
        <v>6</v>
      </c>
      <c r="AL38" t="n">
        <v>4</v>
      </c>
      <c r="AM38" t="n">
        <v>3</v>
      </c>
      <c r="AN38" t="n">
        <v>3</v>
      </c>
      <c r="AO38" t="n">
        <v>3</v>
      </c>
      <c r="AP38" t="n">
        <v>1</v>
      </c>
      <c r="AQ38" t="n">
        <v>1</v>
      </c>
      <c r="AR38" t="n">
        <v>2</v>
      </c>
      <c r="AS38" t="n">
        <v>1</v>
      </c>
      <c r="AT38" t="n">
        <v>3</v>
      </c>
      <c r="AU38" t="n">
        <v>1</v>
      </c>
      <c r="AV38" t="n">
        <v>1</v>
      </c>
      <c r="AW38" t="n">
        <v>2</v>
      </c>
      <c r="AX38" t="n">
        <v>6</v>
      </c>
      <c r="AY38" t="n">
        <v>7</v>
      </c>
      <c r="AZ38" t="n">
        <v>7</v>
      </c>
      <c r="BA38" t="n">
        <v>4</v>
      </c>
      <c r="BB38" t="n">
        <v>7</v>
      </c>
      <c r="BC38" t="n">
        <v>13</v>
      </c>
      <c r="BD38" t="n">
        <v>4</v>
      </c>
      <c r="BE38" t="n">
        <v>9</v>
      </c>
      <c r="BF38" t="n">
        <v>10</v>
      </c>
      <c r="BG38" t="n">
        <v>2</v>
      </c>
      <c r="BH38" t="n">
        <v>5</v>
      </c>
      <c r="BI38" t="n">
        <v>6</v>
      </c>
      <c r="BJ38" t="n">
        <v>5</v>
      </c>
      <c r="BK38" t="n">
        <v>6</v>
      </c>
      <c r="BL38" t="n">
        <v>3</v>
      </c>
      <c r="BM38" t="n">
        <v>10</v>
      </c>
      <c r="BN38" t="n">
        <v>5</v>
      </c>
      <c r="BO38" t="n">
        <v>1</v>
      </c>
      <c r="BP38" t="n">
        <v>8</v>
      </c>
      <c r="BQ38" t="n">
        <v>2</v>
      </c>
      <c r="BR38" t="n">
        <v>5</v>
      </c>
      <c r="BS38" t="n">
        <v>1</v>
      </c>
      <c r="BT38" t="n">
        <v>3</v>
      </c>
      <c r="BU38" t="n">
        <v>7</v>
      </c>
      <c r="BV38" t="n">
        <v>4</v>
      </c>
      <c r="BW38" t="n">
        <v>1</v>
      </c>
      <c r="BX38" t="n">
        <v>12</v>
      </c>
      <c r="BY38" t="n">
        <v>5</v>
      </c>
      <c r="BZ38" t="n">
        <v>1</v>
      </c>
      <c r="CA38" t="n">
        <v>16</v>
      </c>
      <c r="CB38" t="n">
        <v>1</v>
      </c>
      <c r="CC38" t="n">
        <v>20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inlineStr"/>
    </row>
    <row r="39">
      <c r="A39" t="n">
        <v>39</v>
      </c>
      <c r="B39" t="inlineStr"/>
      <c r="C39" t="inlineStr">
        <is>
          <t>Gabe Reivers</t>
        </is>
      </c>
      <c r="D39" t="inlineStr">
        <is>
          <t>M/AM C</t>
        </is>
      </c>
      <c r="E39" t="inlineStr">
        <is>
          <t>England</t>
        </is>
      </c>
      <c r="F39" t="n">
        <v>52</v>
      </c>
      <c r="G39" t="n">
        <v>81</v>
      </c>
      <c r="H39" t="n">
        <v>21</v>
      </c>
      <c r="I39" t="n">
        <v>2342</v>
      </c>
      <c r="J39" t="inlineStr">
        <is>
          <t>$0</t>
        </is>
      </c>
      <c r="K39" t="n">
        <v>10000</v>
      </c>
      <c r="L39" t="inlineStr">
        <is>
          <t>False</t>
        </is>
      </c>
      <c r="M39" t="inlineStr">
        <is>
          <t>False</t>
        </is>
      </c>
      <c r="N39" t="n">
        <v>-310</v>
      </c>
      <c r="O39" t="n">
        <v>5850</v>
      </c>
      <c r="P39" t="n">
        <v>18</v>
      </c>
      <c r="Q39" t="n">
        <v>5</v>
      </c>
      <c r="R39" t="n">
        <v>2</v>
      </c>
      <c r="S39" t="n">
        <v>12</v>
      </c>
      <c r="T39" t="n">
        <v>10</v>
      </c>
      <c r="U39" t="n">
        <v>10</v>
      </c>
      <c r="V39" t="n">
        <v>11</v>
      </c>
      <c r="W39" t="n">
        <v>10</v>
      </c>
      <c r="X39" t="n">
        <v>10</v>
      </c>
      <c r="Y39" t="n">
        <v>9</v>
      </c>
      <c r="Z39" t="n">
        <v>10</v>
      </c>
      <c r="AA39" t="n">
        <v>10</v>
      </c>
      <c r="AB39" t="n">
        <v>10</v>
      </c>
      <c r="AC39" t="n">
        <v>7</v>
      </c>
      <c r="AD39" t="n">
        <v>11</v>
      </c>
      <c r="AE39" t="inlineStr">
        <is>
          <t>$5</t>
        </is>
      </c>
      <c r="AF39" t="n">
        <v>10</v>
      </c>
      <c r="AG39" t="n">
        <v>11</v>
      </c>
      <c r="AH39" t="n">
        <v>7</v>
      </c>
      <c r="AI39" t="n">
        <v>13</v>
      </c>
      <c r="AJ39" t="n">
        <v>20</v>
      </c>
      <c r="AK39" t="n">
        <v>7</v>
      </c>
      <c r="AL39" t="n">
        <v>3</v>
      </c>
      <c r="AM39" t="n">
        <v>2</v>
      </c>
      <c r="AN39" t="n">
        <v>1</v>
      </c>
      <c r="AO39" t="n">
        <v>2</v>
      </c>
      <c r="AP39" t="n">
        <v>1</v>
      </c>
      <c r="AQ39" t="n">
        <v>1</v>
      </c>
      <c r="AR39" t="n">
        <v>1</v>
      </c>
      <c r="AS39" t="n">
        <v>2</v>
      </c>
      <c r="AT39" t="n">
        <v>1</v>
      </c>
      <c r="AU39" t="n">
        <v>1</v>
      </c>
      <c r="AV39" t="n">
        <v>3</v>
      </c>
      <c r="AW39" t="n">
        <v>2</v>
      </c>
      <c r="AX39" t="n">
        <v>10</v>
      </c>
      <c r="AY39" t="n">
        <v>6</v>
      </c>
      <c r="AZ39" t="n">
        <v>6</v>
      </c>
      <c r="BA39" t="n">
        <v>7</v>
      </c>
      <c r="BB39" t="n">
        <v>5</v>
      </c>
      <c r="BC39" t="n">
        <v>12</v>
      </c>
      <c r="BD39" t="n">
        <v>5</v>
      </c>
      <c r="BE39" t="n">
        <v>12</v>
      </c>
      <c r="BF39" t="n">
        <v>3</v>
      </c>
      <c r="BG39" t="n">
        <v>8</v>
      </c>
      <c r="BH39" t="n">
        <v>4</v>
      </c>
      <c r="BI39" t="n">
        <v>5</v>
      </c>
      <c r="BJ39" t="n">
        <v>11</v>
      </c>
      <c r="BK39" t="n">
        <v>10</v>
      </c>
      <c r="BL39" t="n">
        <v>4</v>
      </c>
      <c r="BM39" t="n">
        <v>4</v>
      </c>
      <c r="BN39" t="n">
        <v>7</v>
      </c>
      <c r="BO39" t="n">
        <v>7</v>
      </c>
      <c r="BP39" t="n">
        <v>13</v>
      </c>
      <c r="BQ39" t="n">
        <v>3</v>
      </c>
      <c r="BR39" t="n">
        <v>4</v>
      </c>
      <c r="BS39" t="n">
        <v>5</v>
      </c>
      <c r="BT39" t="n">
        <v>3</v>
      </c>
      <c r="BU39" t="n">
        <v>7</v>
      </c>
      <c r="BV39" t="n">
        <v>6</v>
      </c>
      <c r="BW39" t="n">
        <v>2</v>
      </c>
      <c r="BX39" t="n">
        <v>4</v>
      </c>
      <c r="BY39" t="n">
        <v>12</v>
      </c>
      <c r="BZ39" t="n">
        <v>1</v>
      </c>
      <c r="CA39" t="n">
        <v>1</v>
      </c>
      <c r="CB39" t="n">
        <v>1</v>
      </c>
      <c r="CC39" t="n">
        <v>1</v>
      </c>
      <c r="CD39" t="n">
        <v>13</v>
      </c>
      <c r="CE39" t="n">
        <v>3</v>
      </c>
      <c r="CF39" t="n">
        <v>17</v>
      </c>
      <c r="CG39" t="n">
        <v>2</v>
      </c>
      <c r="CH39" t="n">
        <v>1</v>
      </c>
      <c r="CI39" t="inlineStr"/>
    </row>
    <row r="40">
      <c r="A40" t="n">
        <v>-1</v>
      </c>
      <c r="B40" t="inlineStr"/>
      <c r="C40" t="inlineStr">
        <is>
          <t>Jack Anthony</t>
        </is>
      </c>
      <c r="D40" t="inlineStr">
        <is>
          <t>D C</t>
        </is>
      </c>
      <c r="E40" t="inlineStr">
        <is>
          <t>England</t>
        </is>
      </c>
      <c r="F40" t="n">
        <v>48</v>
      </c>
      <c r="G40" t="n">
        <v>71</v>
      </c>
      <c r="H40" t="n">
        <v>20</v>
      </c>
      <c r="I40" t="n">
        <v>2342</v>
      </c>
      <c r="J40" t="inlineStr">
        <is>
          <t>$0</t>
        </is>
      </c>
      <c r="K40" t="n">
        <v>10000</v>
      </c>
      <c r="L40" t="inlineStr">
        <is>
          <t>False</t>
        </is>
      </c>
      <c r="M40" t="inlineStr">
        <is>
          <t>False</t>
        </is>
      </c>
      <c r="N40" t="n">
        <v>-224</v>
      </c>
      <c r="O40" t="n">
        <v>5850</v>
      </c>
      <c r="P40" t="n">
        <v>7</v>
      </c>
      <c r="Q40" t="n">
        <v>11</v>
      </c>
      <c r="R40" t="n">
        <v>7</v>
      </c>
      <c r="S40" t="n">
        <v>6</v>
      </c>
      <c r="T40" t="n">
        <v>6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  <c r="Z40" t="n">
        <v>11</v>
      </c>
      <c r="AA40" t="n">
        <v>10</v>
      </c>
      <c r="AB40" t="n">
        <v>10</v>
      </c>
      <c r="AC40" t="n">
        <v>7</v>
      </c>
      <c r="AD40" t="n">
        <v>6</v>
      </c>
      <c r="AE40" t="inlineStr">
        <is>
          <t>$5</t>
        </is>
      </c>
      <c r="AF40" t="n">
        <v>14</v>
      </c>
      <c r="AG40" t="n">
        <v>8</v>
      </c>
      <c r="AH40" t="n">
        <v>6</v>
      </c>
      <c r="AI40" t="n">
        <v>7</v>
      </c>
      <c r="AJ40" t="n">
        <v>20</v>
      </c>
      <c r="AK40" t="n">
        <v>2</v>
      </c>
      <c r="AL40" t="n">
        <v>5</v>
      </c>
      <c r="AM40" t="n">
        <v>3</v>
      </c>
      <c r="AN40" t="n">
        <v>2</v>
      </c>
      <c r="AO40" t="n">
        <v>1</v>
      </c>
      <c r="AP40" t="n">
        <v>2</v>
      </c>
      <c r="AQ40" t="n">
        <v>2</v>
      </c>
      <c r="AR40" t="n">
        <v>2</v>
      </c>
      <c r="AS40" t="n">
        <v>3</v>
      </c>
      <c r="AT40" t="n">
        <v>2</v>
      </c>
      <c r="AU40" t="n">
        <v>4</v>
      </c>
      <c r="AV40" t="n">
        <v>3</v>
      </c>
      <c r="AW40" t="n">
        <v>1</v>
      </c>
      <c r="AX40" t="n">
        <v>15</v>
      </c>
      <c r="AY40" t="n">
        <v>3</v>
      </c>
      <c r="AZ40" t="n">
        <v>15</v>
      </c>
      <c r="BA40" t="n">
        <v>6</v>
      </c>
      <c r="BB40" t="n">
        <v>7</v>
      </c>
      <c r="BC40" t="n">
        <v>12</v>
      </c>
      <c r="BD40" t="n">
        <v>9</v>
      </c>
      <c r="BE40" t="n">
        <v>5</v>
      </c>
      <c r="BF40" t="n">
        <v>12</v>
      </c>
      <c r="BG40" t="n">
        <v>2</v>
      </c>
      <c r="BH40" t="n">
        <v>11</v>
      </c>
      <c r="BI40" t="n">
        <v>4</v>
      </c>
      <c r="BJ40" t="n">
        <v>4</v>
      </c>
      <c r="BK40" t="n">
        <v>3</v>
      </c>
      <c r="BL40" t="n">
        <v>1</v>
      </c>
      <c r="BM40" t="n">
        <v>1</v>
      </c>
      <c r="BN40" t="n">
        <v>1</v>
      </c>
      <c r="BO40" t="n">
        <v>1</v>
      </c>
      <c r="BP40" t="n">
        <v>4</v>
      </c>
      <c r="BQ40" t="n">
        <v>1</v>
      </c>
      <c r="BR40" t="n">
        <v>9</v>
      </c>
      <c r="BS40" t="n">
        <v>2</v>
      </c>
      <c r="BT40" t="n">
        <v>1</v>
      </c>
      <c r="BU40" t="n">
        <v>13</v>
      </c>
      <c r="BV40" t="n">
        <v>6</v>
      </c>
      <c r="BW40" t="n">
        <v>1</v>
      </c>
      <c r="BX40" t="n">
        <v>11</v>
      </c>
      <c r="BY40" t="n">
        <v>6</v>
      </c>
      <c r="BZ40" t="n">
        <v>1</v>
      </c>
      <c r="CA40" t="n">
        <v>7</v>
      </c>
      <c r="CB40" t="n">
        <v>20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inlineStr"/>
    </row>
    <row r="41">
      <c r="A41" t="n">
        <v>47</v>
      </c>
      <c r="B41" t="inlineStr"/>
      <c r="C41" t="inlineStr">
        <is>
          <t>Jacob Fowler</t>
        </is>
      </c>
      <c r="D41" t="inlineStr">
        <is>
          <t>WB/M LC</t>
        </is>
      </c>
      <c r="E41" t="inlineStr">
        <is>
          <t>England</t>
        </is>
      </c>
      <c r="F41" t="n">
        <v>43</v>
      </c>
      <c r="G41" t="n">
        <v>80</v>
      </c>
      <c r="H41" t="n">
        <v>21</v>
      </c>
      <c r="I41" t="n">
        <v>315</v>
      </c>
      <c r="J41" t="inlineStr">
        <is>
          <t>$0</t>
        </is>
      </c>
      <c r="K41" t="n">
        <v>10000</v>
      </c>
      <c r="L41" t="inlineStr">
        <is>
          <t>False</t>
        </is>
      </c>
      <c r="M41" t="inlineStr">
        <is>
          <t>False</t>
        </is>
      </c>
      <c r="N41" t="n">
        <v>-311</v>
      </c>
      <c r="O41" t="n">
        <v>6300</v>
      </c>
      <c r="P41" t="n">
        <v>8</v>
      </c>
      <c r="Q41" t="n">
        <v>10</v>
      </c>
      <c r="R41" t="n">
        <v>8</v>
      </c>
      <c r="S41" t="n">
        <v>14</v>
      </c>
      <c r="T41" t="n">
        <v>11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  <c r="Z41" t="n">
        <v>11</v>
      </c>
      <c r="AA41" t="n">
        <v>10</v>
      </c>
      <c r="AB41" t="n">
        <v>11</v>
      </c>
      <c r="AC41" t="n">
        <v>10</v>
      </c>
      <c r="AD41" t="n">
        <v>11</v>
      </c>
      <c r="AE41" t="inlineStr">
        <is>
          <t>$5</t>
        </is>
      </c>
      <c r="AF41" t="n">
        <v>1</v>
      </c>
      <c r="AG41" t="n">
        <v>10</v>
      </c>
      <c r="AH41" t="n">
        <v>15</v>
      </c>
      <c r="AI41" t="n">
        <v>13</v>
      </c>
      <c r="AJ41" t="n">
        <v>20</v>
      </c>
      <c r="AK41" t="n">
        <v>9</v>
      </c>
      <c r="AL41" t="n">
        <v>1</v>
      </c>
      <c r="AM41" t="n">
        <v>1</v>
      </c>
      <c r="AN41" t="n">
        <v>3</v>
      </c>
      <c r="AO41" t="n">
        <v>3</v>
      </c>
      <c r="AP41" t="n">
        <v>2</v>
      </c>
      <c r="AQ41" t="n">
        <v>1</v>
      </c>
      <c r="AR41" t="n">
        <v>1</v>
      </c>
      <c r="AS41" t="n">
        <v>3</v>
      </c>
      <c r="AT41" t="n">
        <v>3</v>
      </c>
      <c r="AU41" t="n">
        <v>1</v>
      </c>
      <c r="AV41" t="n">
        <v>1</v>
      </c>
      <c r="AW41" t="n">
        <v>3</v>
      </c>
      <c r="AX41" t="n">
        <v>7</v>
      </c>
      <c r="AY41" t="n">
        <v>4</v>
      </c>
      <c r="AZ41" t="n">
        <v>6</v>
      </c>
      <c r="BA41" t="n">
        <v>9</v>
      </c>
      <c r="BB41" t="n">
        <v>5</v>
      </c>
      <c r="BC41" t="n">
        <v>9</v>
      </c>
      <c r="BD41" t="n">
        <v>4</v>
      </c>
      <c r="BE41" t="n">
        <v>5</v>
      </c>
      <c r="BF41" t="n">
        <v>4</v>
      </c>
      <c r="BG41" t="n">
        <v>7</v>
      </c>
      <c r="BH41" t="n">
        <v>5</v>
      </c>
      <c r="BI41" t="n">
        <v>7</v>
      </c>
      <c r="BJ41" t="n">
        <v>14</v>
      </c>
      <c r="BK41" t="n">
        <v>10</v>
      </c>
      <c r="BL41" t="n">
        <v>1</v>
      </c>
      <c r="BM41" t="n">
        <v>1</v>
      </c>
      <c r="BN41" t="n">
        <v>1</v>
      </c>
      <c r="BO41" t="n">
        <v>4</v>
      </c>
      <c r="BP41" t="n">
        <v>13</v>
      </c>
      <c r="BQ41" t="n">
        <v>3</v>
      </c>
      <c r="BR41" t="n">
        <v>4</v>
      </c>
      <c r="BS41" t="n">
        <v>3</v>
      </c>
      <c r="BT41" t="n">
        <v>3</v>
      </c>
      <c r="BU41" t="n">
        <v>10</v>
      </c>
      <c r="BV41" t="n">
        <v>5</v>
      </c>
      <c r="BW41" t="n">
        <v>2</v>
      </c>
      <c r="BX41" t="n">
        <v>9</v>
      </c>
      <c r="BY41" t="n">
        <v>9</v>
      </c>
      <c r="BZ41" t="n">
        <v>1</v>
      </c>
      <c r="CA41" t="n">
        <v>5</v>
      </c>
      <c r="CB41" t="n">
        <v>1</v>
      </c>
      <c r="CC41" t="n">
        <v>1</v>
      </c>
      <c r="CD41" t="n">
        <v>3</v>
      </c>
      <c r="CE41" t="n">
        <v>1</v>
      </c>
      <c r="CF41" t="n">
        <v>1</v>
      </c>
      <c r="CG41" t="n">
        <v>1</v>
      </c>
      <c r="CH41" t="n">
        <v>1</v>
      </c>
      <c r="CI41" t="inlineStr"/>
    </row>
    <row r="42">
      <c r="A42" t="n">
        <v>-1</v>
      </c>
      <c r="B42" t="inlineStr"/>
      <c r="C42" t="inlineStr">
        <is>
          <t>Jaden Bahumaid</t>
        </is>
      </c>
      <c r="D42" t="inlineStr">
        <is>
          <t>M/AM R</t>
        </is>
      </c>
      <c r="E42" t="inlineStr">
        <is>
          <t>Wales</t>
        </is>
      </c>
      <c r="F42" t="n">
        <v>33</v>
      </c>
      <c r="G42" t="n">
        <v>77</v>
      </c>
      <c r="H42" t="n">
        <v>19</v>
      </c>
      <c r="I42" t="n">
        <v>558</v>
      </c>
      <c r="J42" t="inlineStr">
        <is>
          <t>$0</t>
        </is>
      </c>
      <c r="K42" t="n">
        <v>10000</v>
      </c>
      <c r="L42" t="inlineStr">
        <is>
          <t>False</t>
        </is>
      </c>
      <c r="M42" t="inlineStr">
        <is>
          <t>False</t>
        </is>
      </c>
      <c r="N42" t="n">
        <v>-224</v>
      </c>
      <c r="O42" t="n">
        <v>6100</v>
      </c>
      <c r="P42" t="n">
        <v>8</v>
      </c>
      <c r="Q42" t="n">
        <v>5</v>
      </c>
      <c r="R42" t="n">
        <v>16</v>
      </c>
      <c r="S42" t="n">
        <v>7</v>
      </c>
      <c r="T42" t="n">
        <v>11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  <c r="Z42" t="n">
        <v>10</v>
      </c>
      <c r="AA42" t="n">
        <v>10</v>
      </c>
      <c r="AB42" t="n">
        <v>10</v>
      </c>
      <c r="AC42" t="n">
        <v>12</v>
      </c>
      <c r="AD42" t="n">
        <v>11</v>
      </c>
      <c r="AE42" t="inlineStr">
        <is>
          <t>$3</t>
        </is>
      </c>
      <c r="AF42" t="n">
        <v>9</v>
      </c>
      <c r="AG42" t="n">
        <v>7</v>
      </c>
      <c r="AH42" t="n">
        <v>12</v>
      </c>
      <c r="AI42" t="n">
        <v>10</v>
      </c>
      <c r="AJ42" t="n">
        <v>20</v>
      </c>
      <c r="AK42" t="n">
        <v>5</v>
      </c>
      <c r="AL42" t="n">
        <v>3</v>
      </c>
      <c r="AM42" t="n">
        <v>4</v>
      </c>
      <c r="AN42" t="n">
        <v>2</v>
      </c>
      <c r="AO42" t="n">
        <v>3</v>
      </c>
      <c r="AP42" t="n">
        <v>2</v>
      </c>
      <c r="AQ42" t="n">
        <v>2</v>
      </c>
      <c r="AR42" t="n">
        <v>3</v>
      </c>
      <c r="AS42" t="n">
        <v>4</v>
      </c>
      <c r="AT42" t="n">
        <v>3</v>
      </c>
      <c r="AU42" t="n">
        <v>1</v>
      </c>
      <c r="AV42" t="n">
        <v>2</v>
      </c>
      <c r="AW42" t="n">
        <v>1</v>
      </c>
      <c r="AX42" t="n">
        <v>9</v>
      </c>
      <c r="AY42" t="n">
        <v>1</v>
      </c>
      <c r="AZ42" t="n">
        <v>6</v>
      </c>
      <c r="BA42" t="n">
        <v>3</v>
      </c>
      <c r="BB42" t="n">
        <v>1</v>
      </c>
      <c r="BC42" t="n">
        <v>10</v>
      </c>
      <c r="BD42" t="n">
        <v>8</v>
      </c>
      <c r="BE42" t="n">
        <v>13</v>
      </c>
      <c r="BF42" t="n">
        <v>7</v>
      </c>
      <c r="BG42" t="n">
        <v>5</v>
      </c>
      <c r="BH42" t="n">
        <v>3</v>
      </c>
      <c r="BI42" t="n">
        <v>4</v>
      </c>
      <c r="BJ42" t="n">
        <v>5</v>
      </c>
      <c r="BK42" t="n">
        <v>5</v>
      </c>
      <c r="BL42" t="n">
        <v>6</v>
      </c>
      <c r="BM42" t="n">
        <v>10</v>
      </c>
      <c r="BN42" t="n">
        <v>6</v>
      </c>
      <c r="BO42" t="n">
        <v>8</v>
      </c>
      <c r="BP42" t="n">
        <v>12</v>
      </c>
      <c r="BQ42" t="n">
        <v>1</v>
      </c>
      <c r="BR42" t="n">
        <v>3</v>
      </c>
      <c r="BS42" t="n">
        <v>4</v>
      </c>
      <c r="BT42" t="n">
        <v>1</v>
      </c>
      <c r="BU42" t="n">
        <v>1</v>
      </c>
      <c r="BV42" t="n">
        <v>4</v>
      </c>
      <c r="BW42" t="n">
        <v>1</v>
      </c>
      <c r="BX42" t="n">
        <v>4</v>
      </c>
      <c r="BY42" t="n">
        <v>12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20</v>
      </c>
      <c r="CF42" t="n">
        <v>1</v>
      </c>
      <c r="CG42" t="n">
        <v>5</v>
      </c>
      <c r="CH42" t="n">
        <v>1</v>
      </c>
      <c r="CI42" t="inlineStr"/>
    </row>
    <row r="43">
      <c r="A43" t="n">
        <v>-1</v>
      </c>
      <c r="B43" t="inlineStr"/>
      <c r="C43" t="inlineStr">
        <is>
          <t>James Morahan</t>
        </is>
      </c>
      <c r="D43" t="inlineStr">
        <is>
          <t>D C</t>
        </is>
      </c>
      <c r="E43" t="inlineStr">
        <is>
          <t>Republic of Ireland</t>
        </is>
      </c>
      <c r="F43" t="n">
        <v>54</v>
      </c>
      <c r="G43" t="n">
        <v>79</v>
      </c>
      <c r="H43" t="n">
        <v>20</v>
      </c>
      <c r="I43" t="n">
        <v>2413</v>
      </c>
      <c r="J43" t="inlineStr">
        <is>
          <t>$0</t>
        </is>
      </c>
      <c r="K43" t="n">
        <v>9589</v>
      </c>
      <c r="L43" t="inlineStr">
        <is>
          <t>False</t>
        </is>
      </c>
      <c r="M43" t="inlineStr">
        <is>
          <t>False</t>
        </is>
      </c>
      <c r="N43" t="n">
        <v>-140</v>
      </c>
      <c r="O43" t="n">
        <v>9500</v>
      </c>
      <c r="P43" t="n">
        <v>15</v>
      </c>
      <c r="Q43" t="n">
        <v>9</v>
      </c>
      <c r="R43" t="n">
        <v>6</v>
      </c>
      <c r="S43" t="n">
        <v>5</v>
      </c>
      <c r="T43" t="n">
        <v>7</v>
      </c>
      <c r="U43" t="n">
        <v>9</v>
      </c>
      <c r="V43" t="n">
        <v>11</v>
      </c>
      <c r="W43" t="n">
        <v>4</v>
      </c>
      <c r="X43" t="n">
        <v>12</v>
      </c>
      <c r="Y43" t="n">
        <v>8</v>
      </c>
      <c r="Z43" t="n">
        <v>11</v>
      </c>
      <c r="AA43" t="n">
        <v>10</v>
      </c>
      <c r="AB43" t="n">
        <v>10</v>
      </c>
      <c r="AC43" t="n">
        <v>8</v>
      </c>
      <c r="AD43" t="n">
        <v>6</v>
      </c>
      <c r="AE43" t="inlineStr">
        <is>
          <t>$6</t>
        </is>
      </c>
      <c r="AF43" t="n">
        <v>10</v>
      </c>
      <c r="AG43" t="n">
        <v>4</v>
      </c>
      <c r="AH43" t="n">
        <v>18</v>
      </c>
      <c r="AI43" t="n">
        <v>9</v>
      </c>
      <c r="AJ43" t="n">
        <v>20</v>
      </c>
      <c r="AK43" t="n">
        <v>4</v>
      </c>
      <c r="AL43" t="n">
        <v>7</v>
      </c>
      <c r="AM43" t="n">
        <v>2</v>
      </c>
      <c r="AN43" t="n">
        <v>3</v>
      </c>
      <c r="AO43" t="n">
        <v>3</v>
      </c>
      <c r="AP43" t="n">
        <v>4</v>
      </c>
      <c r="AQ43" t="n">
        <v>3</v>
      </c>
      <c r="AR43" t="n">
        <v>3</v>
      </c>
      <c r="AS43" t="n">
        <v>2</v>
      </c>
      <c r="AT43" t="n">
        <v>2</v>
      </c>
      <c r="AU43" t="n">
        <v>3</v>
      </c>
      <c r="AV43" t="n">
        <v>1</v>
      </c>
      <c r="AW43" t="n">
        <v>1</v>
      </c>
      <c r="AX43" t="n">
        <v>15</v>
      </c>
      <c r="AY43" t="n">
        <v>12</v>
      </c>
      <c r="AZ43" t="n">
        <v>7</v>
      </c>
      <c r="BA43" t="n">
        <v>6</v>
      </c>
      <c r="BB43" t="n">
        <v>9</v>
      </c>
      <c r="BC43" t="n">
        <v>14</v>
      </c>
      <c r="BD43" t="n">
        <v>12</v>
      </c>
      <c r="BE43" t="n">
        <v>5</v>
      </c>
      <c r="BF43" t="n">
        <v>9</v>
      </c>
      <c r="BG43" t="n">
        <v>4</v>
      </c>
      <c r="BH43" t="n">
        <v>11</v>
      </c>
      <c r="BI43" t="n">
        <v>5</v>
      </c>
      <c r="BJ43" t="n">
        <v>5</v>
      </c>
      <c r="BK43" t="n">
        <v>6</v>
      </c>
      <c r="BL43" t="n">
        <v>1</v>
      </c>
      <c r="BM43" t="n">
        <v>1</v>
      </c>
      <c r="BN43" t="n">
        <v>1</v>
      </c>
      <c r="BO43" t="n">
        <v>1</v>
      </c>
      <c r="BP43" t="n">
        <v>3</v>
      </c>
      <c r="BQ43" t="n">
        <v>1</v>
      </c>
      <c r="BR43" t="n">
        <v>10</v>
      </c>
      <c r="BS43" t="n">
        <v>1</v>
      </c>
      <c r="BT43" t="n">
        <v>1</v>
      </c>
      <c r="BU43" t="n">
        <v>14</v>
      </c>
      <c r="BV43" t="n">
        <v>2</v>
      </c>
      <c r="BW43" t="n">
        <v>1</v>
      </c>
      <c r="BX43" t="n">
        <v>10</v>
      </c>
      <c r="BY43" t="n">
        <v>2</v>
      </c>
      <c r="BZ43" t="n">
        <v>1</v>
      </c>
      <c r="CA43" t="n">
        <v>1</v>
      </c>
      <c r="CB43" t="n">
        <v>20</v>
      </c>
      <c r="CC43" t="n">
        <v>5</v>
      </c>
      <c r="CD43" t="n">
        <v>4</v>
      </c>
      <c r="CE43" t="n">
        <v>1</v>
      </c>
      <c r="CF43" t="n">
        <v>1</v>
      </c>
      <c r="CG43" t="n">
        <v>1</v>
      </c>
      <c r="CH43" t="n">
        <v>1</v>
      </c>
      <c r="CI43" t="inlineStr"/>
    </row>
    <row r="44">
      <c r="A44" t="n">
        <v>-1</v>
      </c>
      <c r="B44" t="inlineStr"/>
      <c r="C44" t="inlineStr">
        <is>
          <t>Jayden Dennison</t>
        </is>
      </c>
      <c r="D44" t="inlineStr">
        <is>
          <t>AM RLC</t>
        </is>
      </c>
      <c r="E44" t="inlineStr">
        <is>
          <t>England</t>
        </is>
      </c>
      <c r="F44" t="n">
        <v>46</v>
      </c>
      <c r="G44" t="n">
        <v>89</v>
      </c>
      <c r="H44" t="n">
        <v>19</v>
      </c>
      <c r="I44" t="n">
        <v>2251</v>
      </c>
      <c r="J44" t="inlineStr">
        <is>
          <t>$0</t>
        </is>
      </c>
      <c r="K44" t="n">
        <v>10000</v>
      </c>
      <c r="L44" t="inlineStr">
        <is>
          <t>False</t>
        </is>
      </c>
      <c r="M44" t="inlineStr">
        <is>
          <t>False</t>
        </is>
      </c>
      <c r="N44" t="n">
        <v>-224</v>
      </c>
      <c r="O44" t="n">
        <v>6100</v>
      </c>
      <c r="P44" t="n">
        <v>7</v>
      </c>
      <c r="Q44" t="n">
        <v>14</v>
      </c>
      <c r="R44" t="n">
        <v>11</v>
      </c>
      <c r="S44" t="n">
        <v>6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8</v>
      </c>
      <c r="AD44" t="n">
        <v>11</v>
      </c>
      <c r="AE44" t="inlineStr">
        <is>
          <t>$7</t>
        </is>
      </c>
      <c r="AF44" t="n">
        <v>17</v>
      </c>
      <c r="AG44" t="n">
        <v>10</v>
      </c>
      <c r="AH44" t="n">
        <v>12</v>
      </c>
      <c r="AI44" t="n">
        <v>11</v>
      </c>
      <c r="AJ44" t="n">
        <v>20</v>
      </c>
      <c r="AK44" t="n">
        <v>7</v>
      </c>
      <c r="AL44" t="n">
        <v>8</v>
      </c>
      <c r="AM44" t="n">
        <v>3</v>
      </c>
      <c r="AN44" t="n">
        <v>3</v>
      </c>
      <c r="AO44" t="n">
        <v>1</v>
      </c>
      <c r="AP44" t="n">
        <v>3</v>
      </c>
      <c r="AQ44" t="n">
        <v>3</v>
      </c>
      <c r="AR44" t="n">
        <v>4</v>
      </c>
      <c r="AS44" t="n">
        <v>3</v>
      </c>
      <c r="AT44" t="n">
        <v>2</v>
      </c>
      <c r="AU44" t="n">
        <v>2</v>
      </c>
      <c r="AV44" t="n">
        <v>3</v>
      </c>
      <c r="AW44" t="n">
        <v>2</v>
      </c>
      <c r="AX44" t="n">
        <v>8</v>
      </c>
      <c r="AY44" t="n">
        <v>7</v>
      </c>
      <c r="AZ44" t="n">
        <v>6</v>
      </c>
      <c r="BA44" t="n">
        <v>5</v>
      </c>
      <c r="BB44" t="n">
        <v>2</v>
      </c>
      <c r="BC44" t="n">
        <v>8</v>
      </c>
      <c r="BD44" t="n">
        <v>10</v>
      </c>
      <c r="BE44" t="n">
        <v>7</v>
      </c>
      <c r="BF44" t="n">
        <v>6</v>
      </c>
      <c r="BG44" t="n">
        <v>9</v>
      </c>
      <c r="BH44" t="n">
        <v>3</v>
      </c>
      <c r="BI44" t="n">
        <v>6</v>
      </c>
      <c r="BJ44" t="n">
        <v>7</v>
      </c>
      <c r="BK44" t="n">
        <v>10</v>
      </c>
      <c r="BL44" t="n">
        <v>3</v>
      </c>
      <c r="BM44" t="n">
        <v>10</v>
      </c>
      <c r="BN44" t="n">
        <v>10</v>
      </c>
      <c r="BO44" t="n">
        <v>10</v>
      </c>
      <c r="BP44" t="n">
        <v>11</v>
      </c>
      <c r="BQ44" t="n">
        <v>4</v>
      </c>
      <c r="BR44" t="n">
        <v>4</v>
      </c>
      <c r="BS44" t="n">
        <v>6</v>
      </c>
      <c r="BT44" t="n">
        <v>1</v>
      </c>
      <c r="BU44" t="n">
        <v>2</v>
      </c>
      <c r="BV44" t="n">
        <v>10</v>
      </c>
      <c r="BW44" t="n">
        <v>1</v>
      </c>
      <c r="BX44" t="n">
        <v>4</v>
      </c>
      <c r="BY44" t="n">
        <v>7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20</v>
      </c>
      <c r="CF44" t="n">
        <v>15</v>
      </c>
      <c r="CG44" t="n">
        <v>16</v>
      </c>
      <c r="CH44" t="n">
        <v>1</v>
      </c>
      <c r="CI44" t="inlineStr"/>
    </row>
    <row r="45">
      <c r="A45" t="n">
        <v>-1</v>
      </c>
      <c r="B45" t="inlineStr"/>
      <c r="C45" t="inlineStr">
        <is>
          <t>Jaydon Bishop</t>
        </is>
      </c>
      <c r="D45" t="inlineStr">
        <is>
          <t xml:space="preserve">GK </t>
        </is>
      </c>
      <c r="E45" t="inlineStr">
        <is>
          <t>England</t>
        </is>
      </c>
      <c r="F45" t="n">
        <v>41</v>
      </c>
      <c r="G45" t="n">
        <v>90</v>
      </c>
      <c r="H45" t="n">
        <v>20</v>
      </c>
      <c r="I45" t="n">
        <v>1260</v>
      </c>
      <c r="J45" t="inlineStr">
        <is>
          <t>$0</t>
        </is>
      </c>
      <c r="K45" t="n">
        <v>10000</v>
      </c>
      <c r="L45" t="inlineStr">
        <is>
          <t>False</t>
        </is>
      </c>
      <c r="M45" t="inlineStr">
        <is>
          <t>False</t>
        </is>
      </c>
      <c r="N45" t="n">
        <v>-224</v>
      </c>
      <c r="O45" t="n">
        <v>6000</v>
      </c>
      <c r="P45" t="n">
        <v>6</v>
      </c>
      <c r="Q45" t="n">
        <v>10</v>
      </c>
      <c r="R45" t="n">
        <v>3</v>
      </c>
      <c r="S45" t="n">
        <v>6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11</v>
      </c>
      <c r="AD45" t="n">
        <v>13</v>
      </c>
      <c r="AE45" t="inlineStr">
        <is>
          <t>$4</t>
        </is>
      </c>
      <c r="AF45" t="n">
        <v>11</v>
      </c>
      <c r="AG45" t="n">
        <v>12</v>
      </c>
      <c r="AH45" t="n">
        <v>10</v>
      </c>
      <c r="AI45" t="n">
        <v>8</v>
      </c>
      <c r="AJ45" t="n">
        <v>20</v>
      </c>
      <c r="AK45" t="n">
        <v>2</v>
      </c>
      <c r="AL45" t="n">
        <v>2</v>
      </c>
      <c r="AM45" t="n">
        <v>9</v>
      </c>
      <c r="AN45" t="n">
        <v>7</v>
      </c>
      <c r="AO45" t="n">
        <v>5</v>
      </c>
      <c r="AP45" t="n">
        <v>5</v>
      </c>
      <c r="AQ45" t="n">
        <v>9</v>
      </c>
      <c r="AR45" t="n">
        <v>8</v>
      </c>
      <c r="AS45" t="n">
        <v>8</v>
      </c>
      <c r="AT45" t="n">
        <v>12</v>
      </c>
      <c r="AU45" t="n">
        <v>14</v>
      </c>
      <c r="AV45" t="n">
        <v>8</v>
      </c>
      <c r="AW45" t="n">
        <v>8</v>
      </c>
      <c r="AX45" t="n">
        <v>11</v>
      </c>
      <c r="AY45" t="n">
        <v>3</v>
      </c>
      <c r="AZ45" t="n">
        <v>7</v>
      </c>
      <c r="BA45" t="n">
        <v>5</v>
      </c>
      <c r="BB45" t="n">
        <v>6</v>
      </c>
      <c r="BC45" t="n">
        <v>11</v>
      </c>
      <c r="BD45" t="n">
        <v>14</v>
      </c>
      <c r="BE45" t="n">
        <v>3</v>
      </c>
      <c r="BF45" t="n">
        <v>10</v>
      </c>
      <c r="BG45" t="n">
        <v>1</v>
      </c>
      <c r="BH45" t="n">
        <v>3</v>
      </c>
      <c r="BI45" t="n">
        <v>3</v>
      </c>
      <c r="BJ45" t="n">
        <v>2</v>
      </c>
      <c r="BK45" t="n">
        <v>3</v>
      </c>
      <c r="BL45" t="n">
        <v>4</v>
      </c>
      <c r="BM45" t="n">
        <v>2</v>
      </c>
      <c r="BN45" t="n">
        <v>2</v>
      </c>
      <c r="BO45" t="n">
        <v>3</v>
      </c>
      <c r="BP45" t="n">
        <v>1</v>
      </c>
      <c r="BQ45" t="n">
        <v>3</v>
      </c>
      <c r="BR45" t="n">
        <v>1</v>
      </c>
      <c r="BS45" t="n">
        <v>2</v>
      </c>
      <c r="BT45" t="n">
        <v>1</v>
      </c>
      <c r="BU45" t="n">
        <v>3</v>
      </c>
      <c r="BV45" t="n">
        <v>8</v>
      </c>
      <c r="BW45" t="n">
        <v>3</v>
      </c>
      <c r="BX45" t="n">
        <v>2</v>
      </c>
      <c r="BY45" t="n">
        <v>3</v>
      </c>
      <c r="BZ45" t="n">
        <v>20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inlineStr"/>
    </row>
    <row r="46">
      <c r="A46" t="n">
        <v>30</v>
      </c>
      <c r="B46" t="inlineStr"/>
      <c r="C46" t="inlineStr">
        <is>
          <t>Jeval Thompson-McKenzie</t>
        </is>
      </c>
      <c r="D46" t="inlineStr">
        <is>
          <t>M/AM R</t>
        </is>
      </c>
      <c r="E46" t="inlineStr">
        <is>
          <t>England</t>
        </is>
      </c>
      <c r="F46" t="n">
        <v>51</v>
      </c>
      <c r="G46" t="n">
        <v>90</v>
      </c>
      <c r="H46" t="n">
        <v>20</v>
      </c>
      <c r="I46" t="n">
        <v>540</v>
      </c>
      <c r="J46" t="inlineStr">
        <is>
          <t>$0</t>
        </is>
      </c>
      <c r="K46" t="n">
        <v>10000</v>
      </c>
      <c r="L46" t="inlineStr">
        <is>
          <t>False</t>
        </is>
      </c>
      <c r="M46" t="inlineStr">
        <is>
          <t>False</t>
        </is>
      </c>
      <c r="N46" t="n">
        <v>-224</v>
      </c>
      <c r="O46" t="n">
        <v>6300</v>
      </c>
      <c r="P46" t="n">
        <v>8</v>
      </c>
      <c r="Q46" t="n">
        <v>13</v>
      </c>
      <c r="R46" t="n">
        <v>2</v>
      </c>
      <c r="S46" t="n">
        <v>11</v>
      </c>
      <c r="T46" t="n">
        <v>8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  <c r="Z46" t="n">
        <v>11</v>
      </c>
      <c r="AA46" t="n">
        <v>10</v>
      </c>
      <c r="AB46" t="n">
        <v>10</v>
      </c>
      <c r="AC46" t="n">
        <v>12</v>
      </c>
      <c r="AD46" t="n">
        <v>12</v>
      </c>
      <c r="AE46" t="inlineStr">
        <is>
          <t>$11</t>
        </is>
      </c>
      <c r="AF46" t="n">
        <v>4</v>
      </c>
      <c r="AG46" t="n">
        <v>10</v>
      </c>
      <c r="AH46" t="n">
        <v>15</v>
      </c>
      <c r="AI46" t="n">
        <v>12</v>
      </c>
      <c r="AJ46" t="n">
        <v>20</v>
      </c>
      <c r="AK46" t="n">
        <v>9</v>
      </c>
      <c r="AL46" t="n">
        <v>4</v>
      </c>
      <c r="AM46" t="n">
        <v>2</v>
      </c>
      <c r="AN46" t="n">
        <v>1</v>
      </c>
      <c r="AO46" t="n">
        <v>3</v>
      </c>
      <c r="AP46" t="n">
        <v>2</v>
      </c>
      <c r="AQ46" t="n">
        <v>1</v>
      </c>
      <c r="AR46" t="n">
        <v>4</v>
      </c>
      <c r="AS46" t="n">
        <v>2</v>
      </c>
      <c r="AT46" t="n">
        <v>2</v>
      </c>
      <c r="AU46" t="n">
        <v>1</v>
      </c>
      <c r="AV46" t="n">
        <v>3</v>
      </c>
      <c r="AW46" t="n">
        <v>3</v>
      </c>
      <c r="AX46" t="n">
        <v>12</v>
      </c>
      <c r="AY46" t="n">
        <v>7</v>
      </c>
      <c r="AZ46" t="n">
        <v>2</v>
      </c>
      <c r="BA46" t="n">
        <v>3</v>
      </c>
      <c r="BB46" t="n">
        <v>3</v>
      </c>
      <c r="BC46" t="n">
        <v>7</v>
      </c>
      <c r="BD46" t="n">
        <v>11</v>
      </c>
      <c r="BE46" t="n">
        <v>11</v>
      </c>
      <c r="BF46" t="n">
        <v>8</v>
      </c>
      <c r="BG46" t="n">
        <v>3</v>
      </c>
      <c r="BH46" t="n">
        <v>3</v>
      </c>
      <c r="BI46" t="n">
        <v>5</v>
      </c>
      <c r="BJ46" t="n">
        <v>4</v>
      </c>
      <c r="BK46" t="n">
        <v>10</v>
      </c>
      <c r="BL46" t="n">
        <v>4</v>
      </c>
      <c r="BM46" t="n">
        <v>9</v>
      </c>
      <c r="BN46" t="n">
        <v>6</v>
      </c>
      <c r="BO46" t="n">
        <v>8</v>
      </c>
      <c r="BP46" t="n">
        <v>12</v>
      </c>
      <c r="BQ46" t="n">
        <v>2</v>
      </c>
      <c r="BR46" t="n">
        <v>2</v>
      </c>
      <c r="BS46" t="n">
        <v>4</v>
      </c>
      <c r="BT46" t="n">
        <v>1</v>
      </c>
      <c r="BU46" t="n">
        <v>4</v>
      </c>
      <c r="BV46" t="n">
        <v>5</v>
      </c>
      <c r="BW46" t="n">
        <v>1</v>
      </c>
      <c r="BX46" t="n">
        <v>3</v>
      </c>
      <c r="BY46" t="n">
        <v>9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20</v>
      </c>
      <c r="CF46" t="n">
        <v>1</v>
      </c>
      <c r="CG46" t="n">
        <v>1</v>
      </c>
      <c r="CH46" t="n">
        <v>10</v>
      </c>
      <c r="CI46" t="inlineStr"/>
    </row>
    <row r="47">
      <c r="A47" t="n">
        <v>57</v>
      </c>
      <c r="B47" t="inlineStr"/>
      <c r="C47" t="inlineStr">
        <is>
          <t>Jordan Wright</t>
        </is>
      </c>
      <c r="D47" t="inlineStr">
        <is>
          <t xml:space="preserve">ST </t>
        </is>
      </c>
      <c r="E47" t="inlineStr">
        <is>
          <t>New Zealand,England</t>
        </is>
      </c>
      <c r="F47" t="n">
        <v>57</v>
      </c>
      <c r="G47" t="n">
        <v>93</v>
      </c>
      <c r="H47" t="n">
        <v>18</v>
      </c>
      <c r="I47" t="n">
        <v>2755</v>
      </c>
      <c r="J47" t="inlineStr">
        <is>
          <t>$6,441</t>
        </is>
      </c>
      <c r="K47" t="n">
        <v>9865</v>
      </c>
      <c r="L47" t="inlineStr">
        <is>
          <t>False</t>
        </is>
      </c>
      <c r="M47" t="inlineStr">
        <is>
          <t>False</t>
        </is>
      </c>
      <c r="N47" t="n">
        <v>-124</v>
      </c>
      <c r="O47" t="n">
        <v>6150</v>
      </c>
      <c r="P47" t="n">
        <v>5</v>
      </c>
      <c r="Q47" t="n">
        <v>8</v>
      </c>
      <c r="R47" t="n">
        <v>10</v>
      </c>
      <c r="S47" t="n">
        <v>8</v>
      </c>
      <c r="T47" t="n">
        <v>7</v>
      </c>
      <c r="U47" t="n">
        <v>14</v>
      </c>
      <c r="V47" t="n">
        <v>10</v>
      </c>
      <c r="W47" t="n">
        <v>9</v>
      </c>
      <c r="X47" t="n">
        <v>16</v>
      </c>
      <c r="Y47" t="n">
        <v>11</v>
      </c>
      <c r="Z47" t="n">
        <v>9</v>
      </c>
      <c r="AA47" t="n">
        <v>9</v>
      </c>
      <c r="AB47" t="n">
        <v>14</v>
      </c>
      <c r="AC47" t="n">
        <v>11</v>
      </c>
      <c r="AD47" t="n">
        <v>8</v>
      </c>
      <c r="AE47" t="inlineStr">
        <is>
          <t>$13</t>
        </is>
      </c>
      <c r="AF47" t="n">
        <v>9</v>
      </c>
      <c r="AG47" t="n">
        <v>20</v>
      </c>
      <c r="AH47" t="n">
        <v>14</v>
      </c>
      <c r="AI47" t="n">
        <v>9</v>
      </c>
      <c r="AJ47" t="n">
        <v>12</v>
      </c>
      <c r="AK47" t="n">
        <v>10</v>
      </c>
      <c r="AL47" t="n">
        <v>7</v>
      </c>
      <c r="AM47" t="n">
        <v>2</v>
      </c>
      <c r="AN47" t="n">
        <v>3</v>
      </c>
      <c r="AO47" t="n">
        <v>3</v>
      </c>
      <c r="AP47" t="n">
        <v>2</v>
      </c>
      <c r="AQ47" t="n">
        <v>2</v>
      </c>
      <c r="AR47" t="n">
        <v>3</v>
      </c>
      <c r="AS47" t="n">
        <v>1</v>
      </c>
      <c r="AT47" t="n">
        <v>1</v>
      </c>
      <c r="AU47" t="n">
        <v>3</v>
      </c>
      <c r="AV47" t="n">
        <v>1</v>
      </c>
      <c r="AW47" t="n">
        <v>2</v>
      </c>
      <c r="AX47" t="n">
        <v>9</v>
      </c>
      <c r="AY47" t="n">
        <v>9</v>
      </c>
      <c r="AZ47" t="n">
        <v>16</v>
      </c>
      <c r="BA47" t="n">
        <v>11</v>
      </c>
      <c r="BB47" t="n">
        <v>3</v>
      </c>
      <c r="BC47" t="n">
        <v>11</v>
      </c>
      <c r="BD47" t="n">
        <v>6</v>
      </c>
      <c r="BE47" t="n">
        <v>8</v>
      </c>
      <c r="BF47" t="n">
        <v>6</v>
      </c>
      <c r="BG47" t="n">
        <v>9</v>
      </c>
      <c r="BH47" t="n">
        <v>2</v>
      </c>
      <c r="BI47" t="n">
        <v>3</v>
      </c>
      <c r="BJ47" t="n">
        <v>5</v>
      </c>
      <c r="BK47" t="n">
        <v>8</v>
      </c>
      <c r="BL47" t="n">
        <v>3</v>
      </c>
      <c r="BM47" t="n">
        <v>7</v>
      </c>
      <c r="BN47" t="n">
        <v>11</v>
      </c>
      <c r="BO47" t="n">
        <v>11</v>
      </c>
      <c r="BP47" t="n">
        <v>10</v>
      </c>
      <c r="BQ47" t="n">
        <v>1</v>
      </c>
      <c r="BR47" t="n">
        <v>6</v>
      </c>
      <c r="BS47" t="n">
        <v>4</v>
      </c>
      <c r="BT47" t="n">
        <v>3</v>
      </c>
      <c r="BU47" t="n">
        <v>2</v>
      </c>
      <c r="BV47" t="n">
        <v>7</v>
      </c>
      <c r="BW47" t="n">
        <v>3</v>
      </c>
      <c r="BX47" t="n">
        <v>2</v>
      </c>
      <c r="BY47" t="n">
        <v>10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20</v>
      </c>
      <c r="CI47" t="inlineStr"/>
    </row>
    <row r="48">
      <c r="A48" t="n">
        <v>13</v>
      </c>
      <c r="B48" t="inlineStr"/>
      <c r="C48" t="inlineStr">
        <is>
          <t>Jude Horn</t>
        </is>
      </c>
      <c r="D48" t="inlineStr">
        <is>
          <t>D R</t>
        </is>
      </c>
      <c r="E48" t="inlineStr">
        <is>
          <t>England</t>
        </is>
      </c>
      <c r="F48" t="n">
        <v>40</v>
      </c>
      <c r="G48" t="n">
        <v>79</v>
      </c>
      <c r="H48" t="n">
        <v>20</v>
      </c>
      <c r="I48" t="n">
        <v>1806</v>
      </c>
      <c r="J48" t="inlineStr">
        <is>
          <t>$0</t>
        </is>
      </c>
      <c r="K48" t="n">
        <v>8852</v>
      </c>
      <c r="L48" t="inlineStr">
        <is>
          <t>False</t>
        </is>
      </c>
      <c r="M48" t="inlineStr">
        <is>
          <t>True</t>
        </is>
      </c>
      <c r="N48" t="n">
        <v>-221</v>
      </c>
      <c r="O48" t="n">
        <v>4723</v>
      </c>
      <c r="P48" t="n">
        <v>6</v>
      </c>
      <c r="Q48" t="n">
        <v>5</v>
      </c>
      <c r="R48" t="n">
        <v>2</v>
      </c>
      <c r="S48" t="n">
        <v>10</v>
      </c>
      <c r="T48" t="n">
        <v>12</v>
      </c>
      <c r="U48" t="n">
        <v>10</v>
      </c>
      <c r="V48" t="n">
        <v>10</v>
      </c>
      <c r="W48" t="n">
        <v>10</v>
      </c>
      <c r="X48" t="n">
        <v>10</v>
      </c>
      <c r="Y48" t="n">
        <v>10</v>
      </c>
      <c r="Z48" t="n">
        <v>11</v>
      </c>
      <c r="AA48" t="n">
        <v>10</v>
      </c>
      <c r="AB48" t="n">
        <v>10</v>
      </c>
      <c r="AC48" t="n">
        <v>12</v>
      </c>
      <c r="AD48" t="n">
        <v>13</v>
      </c>
      <c r="AE48" t="inlineStr">
        <is>
          <t>$5</t>
        </is>
      </c>
      <c r="AF48" t="n">
        <v>7</v>
      </c>
      <c r="AG48" t="n">
        <v>7</v>
      </c>
      <c r="AH48" t="n">
        <v>11</v>
      </c>
      <c r="AI48" t="n">
        <v>13</v>
      </c>
      <c r="AJ48" t="n">
        <v>20</v>
      </c>
      <c r="AK48" t="n">
        <v>4</v>
      </c>
      <c r="AL48" t="n">
        <v>12</v>
      </c>
      <c r="AM48" t="n">
        <v>2</v>
      </c>
      <c r="AN48" t="n">
        <v>3</v>
      </c>
      <c r="AO48" t="n">
        <v>1</v>
      </c>
      <c r="AP48" t="n">
        <v>2</v>
      </c>
      <c r="AQ48" t="n">
        <v>2</v>
      </c>
      <c r="AR48" t="n">
        <v>3</v>
      </c>
      <c r="AS48" t="n">
        <v>3</v>
      </c>
      <c r="AT48" t="n">
        <v>2</v>
      </c>
      <c r="AU48" t="n">
        <v>3</v>
      </c>
      <c r="AV48" t="n">
        <v>2</v>
      </c>
      <c r="AW48" t="n">
        <v>3</v>
      </c>
      <c r="AX48" t="n">
        <v>13</v>
      </c>
      <c r="AY48" t="n">
        <v>7</v>
      </c>
      <c r="AZ48" t="n">
        <v>7</v>
      </c>
      <c r="BA48" t="n">
        <v>4</v>
      </c>
      <c r="BB48" t="n">
        <v>7</v>
      </c>
      <c r="BC48" t="n">
        <v>10</v>
      </c>
      <c r="BD48" t="n">
        <v>13</v>
      </c>
      <c r="BE48" t="n">
        <v>5</v>
      </c>
      <c r="BF48" t="n">
        <v>11</v>
      </c>
      <c r="BG48" t="n">
        <v>2</v>
      </c>
      <c r="BH48" t="n">
        <v>6</v>
      </c>
      <c r="BI48" t="n">
        <v>6</v>
      </c>
      <c r="BJ48" t="n">
        <v>3</v>
      </c>
      <c r="BK48" t="n">
        <v>10</v>
      </c>
      <c r="BL48" t="n">
        <v>4</v>
      </c>
      <c r="BM48" t="n">
        <v>7</v>
      </c>
      <c r="BN48" t="n">
        <v>4</v>
      </c>
      <c r="BO48" t="n">
        <v>1</v>
      </c>
      <c r="BP48" t="n">
        <v>8</v>
      </c>
      <c r="BQ48" t="n">
        <v>1</v>
      </c>
      <c r="BR48" t="n">
        <v>4</v>
      </c>
      <c r="BS48" t="n">
        <v>2</v>
      </c>
      <c r="BT48" t="n">
        <v>3</v>
      </c>
      <c r="BU48" t="n">
        <v>5</v>
      </c>
      <c r="BV48" t="n">
        <v>4</v>
      </c>
      <c r="BW48" t="n">
        <v>2</v>
      </c>
      <c r="BX48" t="n">
        <v>8</v>
      </c>
      <c r="BY48" t="n">
        <v>5</v>
      </c>
      <c r="BZ48" t="n">
        <v>1</v>
      </c>
      <c r="CA48" t="n">
        <v>20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2</v>
      </c>
      <c r="CH48" t="n">
        <v>1</v>
      </c>
      <c r="CI48" t="inlineStr"/>
    </row>
    <row r="49">
      <c r="A49" t="n">
        <v>18</v>
      </c>
      <c r="B49" t="inlineStr"/>
      <c r="C49" t="inlineStr">
        <is>
          <t>Kai Cooper</t>
        </is>
      </c>
      <c r="D49" t="inlineStr">
        <is>
          <t>AM L</t>
        </is>
      </c>
      <c r="E49" t="inlineStr">
        <is>
          <t>England</t>
        </is>
      </c>
      <c r="F49" t="n">
        <v>32</v>
      </c>
      <c r="G49" t="n">
        <v>82</v>
      </c>
      <c r="H49" t="n">
        <v>20</v>
      </c>
      <c r="I49" t="n">
        <v>1330</v>
      </c>
      <c r="J49" t="inlineStr">
        <is>
          <t>$0</t>
        </is>
      </c>
      <c r="K49" t="n">
        <v>10000</v>
      </c>
      <c r="L49" t="inlineStr">
        <is>
          <t>False</t>
        </is>
      </c>
      <c r="M49" t="inlineStr">
        <is>
          <t>False</t>
        </is>
      </c>
      <c r="N49" t="n">
        <v>-224</v>
      </c>
      <c r="O49" t="n">
        <v>6050</v>
      </c>
      <c r="P49" t="n">
        <v>19</v>
      </c>
      <c r="Q49" t="n">
        <v>5</v>
      </c>
      <c r="R49" t="n">
        <v>3</v>
      </c>
      <c r="S49" t="n">
        <v>7</v>
      </c>
      <c r="T49" t="n">
        <v>7</v>
      </c>
      <c r="U49" t="n">
        <v>10</v>
      </c>
      <c r="V49" t="n">
        <v>11</v>
      </c>
      <c r="W49" t="n">
        <v>9</v>
      </c>
      <c r="X49" t="n">
        <v>10</v>
      </c>
      <c r="Y49" t="n">
        <v>10</v>
      </c>
      <c r="Z49" t="n">
        <v>11</v>
      </c>
      <c r="AA49" t="n">
        <v>10</v>
      </c>
      <c r="AB49" t="n">
        <v>10</v>
      </c>
      <c r="AC49" t="n">
        <v>12</v>
      </c>
      <c r="AD49" t="n">
        <v>11</v>
      </c>
      <c r="AE49" t="inlineStr">
        <is>
          <t>$3</t>
        </is>
      </c>
      <c r="AF49" t="n">
        <v>3</v>
      </c>
      <c r="AG49" t="n">
        <v>11</v>
      </c>
      <c r="AH49" t="n">
        <v>10</v>
      </c>
      <c r="AI49" t="n">
        <v>12</v>
      </c>
      <c r="AJ49" t="n">
        <v>20</v>
      </c>
      <c r="AK49" t="n">
        <v>6</v>
      </c>
      <c r="AL49" t="n">
        <v>3</v>
      </c>
      <c r="AM49" t="n">
        <v>2</v>
      </c>
      <c r="AN49" t="n">
        <v>3</v>
      </c>
      <c r="AO49" t="n">
        <v>1</v>
      </c>
      <c r="AP49" t="n">
        <v>3</v>
      </c>
      <c r="AQ49" t="n">
        <v>1</v>
      </c>
      <c r="AR49" t="n">
        <v>2</v>
      </c>
      <c r="AS49" t="n">
        <v>3</v>
      </c>
      <c r="AT49" t="n">
        <v>2</v>
      </c>
      <c r="AU49" t="n">
        <v>2</v>
      </c>
      <c r="AV49" t="n">
        <v>1</v>
      </c>
      <c r="AW49" t="n">
        <v>4</v>
      </c>
      <c r="AX49" t="n">
        <v>14</v>
      </c>
      <c r="AY49" t="n">
        <v>4</v>
      </c>
      <c r="AZ49" t="n">
        <v>3</v>
      </c>
      <c r="BA49" t="n">
        <v>3</v>
      </c>
      <c r="BB49" t="n">
        <v>1</v>
      </c>
      <c r="BC49" t="n">
        <v>8</v>
      </c>
      <c r="BD49" t="n">
        <v>13</v>
      </c>
      <c r="BE49" t="n">
        <v>10</v>
      </c>
      <c r="BF49" t="n">
        <v>9</v>
      </c>
      <c r="BG49" t="n">
        <v>7</v>
      </c>
      <c r="BH49" t="n">
        <v>1</v>
      </c>
      <c r="BI49" t="n">
        <v>4</v>
      </c>
      <c r="BJ49" t="n">
        <v>5</v>
      </c>
      <c r="BK49" t="n">
        <v>9</v>
      </c>
      <c r="BL49" t="n">
        <v>1</v>
      </c>
      <c r="BM49" t="n">
        <v>4</v>
      </c>
      <c r="BN49" t="n">
        <v>8</v>
      </c>
      <c r="BO49" t="n">
        <v>9</v>
      </c>
      <c r="BP49" t="n">
        <v>9</v>
      </c>
      <c r="BQ49" t="n">
        <v>2</v>
      </c>
      <c r="BR49" t="n">
        <v>1</v>
      </c>
      <c r="BS49" t="n">
        <v>1</v>
      </c>
      <c r="BT49" t="n">
        <v>1</v>
      </c>
      <c r="BU49" t="n">
        <v>1</v>
      </c>
      <c r="BV49" t="n">
        <v>9</v>
      </c>
      <c r="BW49" t="n">
        <v>3</v>
      </c>
      <c r="BX49" t="n">
        <v>1</v>
      </c>
      <c r="BY49" t="n">
        <v>9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20</v>
      </c>
      <c r="CH49" t="n">
        <v>1</v>
      </c>
      <c r="CI49" t="inlineStr"/>
    </row>
    <row r="50">
      <c r="A50" t="n">
        <v>19</v>
      </c>
      <c r="B50" t="inlineStr"/>
      <c r="C50" t="inlineStr">
        <is>
          <t>Kaidon Tower-King</t>
        </is>
      </c>
      <c r="D50" t="inlineStr">
        <is>
          <t xml:space="preserve">ST </t>
        </is>
      </c>
      <c r="E50" t="inlineStr">
        <is>
          <t>England</t>
        </is>
      </c>
      <c r="F50" t="n">
        <v>42</v>
      </c>
      <c r="G50" t="n">
        <v>80</v>
      </c>
      <c r="H50" t="n">
        <v>20</v>
      </c>
      <c r="I50" t="n">
        <v>361</v>
      </c>
      <c r="J50" t="inlineStr">
        <is>
          <t>$0</t>
        </is>
      </c>
      <c r="K50" t="n">
        <v>10000</v>
      </c>
      <c r="L50" t="inlineStr">
        <is>
          <t>False</t>
        </is>
      </c>
      <c r="M50" t="inlineStr">
        <is>
          <t>False</t>
        </is>
      </c>
      <c r="N50" t="n">
        <v>-224</v>
      </c>
      <c r="O50" t="n">
        <v>6250</v>
      </c>
      <c r="P50" t="n">
        <v>6</v>
      </c>
      <c r="Q50" t="n">
        <v>12</v>
      </c>
      <c r="R50" t="n">
        <v>6</v>
      </c>
      <c r="S50" t="n">
        <v>6</v>
      </c>
      <c r="T50" t="n">
        <v>8</v>
      </c>
      <c r="U50" t="n">
        <v>10</v>
      </c>
      <c r="V50" t="n">
        <v>10</v>
      </c>
      <c r="W50" t="n">
        <v>10</v>
      </c>
      <c r="X50" t="n">
        <v>10</v>
      </c>
      <c r="Y50" t="n">
        <v>10</v>
      </c>
      <c r="Z50" t="n">
        <v>10</v>
      </c>
      <c r="AA50" t="n">
        <v>10</v>
      </c>
      <c r="AB50" t="n">
        <v>10</v>
      </c>
      <c r="AC50" t="n">
        <v>12</v>
      </c>
      <c r="AD50" t="n">
        <v>11</v>
      </c>
      <c r="AE50" t="inlineStr">
        <is>
          <t>$5</t>
        </is>
      </c>
      <c r="AF50" t="n">
        <v>11</v>
      </c>
      <c r="AG50" t="n">
        <v>7</v>
      </c>
      <c r="AH50" t="n">
        <v>15</v>
      </c>
      <c r="AI50" t="n">
        <v>12</v>
      </c>
      <c r="AJ50" t="n">
        <v>20</v>
      </c>
      <c r="AK50" t="n">
        <v>4</v>
      </c>
      <c r="AL50" t="n">
        <v>5</v>
      </c>
      <c r="AM50" t="n">
        <v>3</v>
      </c>
      <c r="AN50" t="n">
        <v>2</v>
      </c>
      <c r="AO50" t="n">
        <v>2</v>
      </c>
      <c r="AP50" t="n">
        <v>1</v>
      </c>
      <c r="AQ50" t="n">
        <v>3</v>
      </c>
      <c r="AR50" t="n">
        <v>4</v>
      </c>
      <c r="AS50" t="n">
        <v>3</v>
      </c>
      <c r="AT50" t="n">
        <v>3</v>
      </c>
      <c r="AU50" t="n">
        <v>2</v>
      </c>
      <c r="AV50" t="n">
        <v>3</v>
      </c>
      <c r="AW50" t="n">
        <v>2</v>
      </c>
      <c r="AX50" t="n">
        <v>7</v>
      </c>
      <c r="AY50" t="n">
        <v>6</v>
      </c>
      <c r="AZ50" t="n">
        <v>6</v>
      </c>
      <c r="BA50" t="n">
        <v>8</v>
      </c>
      <c r="BB50" t="n">
        <v>2</v>
      </c>
      <c r="BC50" t="n">
        <v>10</v>
      </c>
      <c r="BD50" t="n">
        <v>13</v>
      </c>
      <c r="BE50" t="n">
        <v>6</v>
      </c>
      <c r="BF50" t="n">
        <v>10</v>
      </c>
      <c r="BG50" t="n">
        <v>8</v>
      </c>
      <c r="BH50" t="n">
        <v>4</v>
      </c>
      <c r="BI50" t="n">
        <v>2</v>
      </c>
      <c r="BJ50" t="n">
        <v>4</v>
      </c>
      <c r="BK50" t="n">
        <v>4</v>
      </c>
      <c r="BL50" t="n">
        <v>3</v>
      </c>
      <c r="BM50" t="n">
        <v>1</v>
      </c>
      <c r="BN50" t="n">
        <v>9</v>
      </c>
      <c r="BO50" t="n">
        <v>12</v>
      </c>
      <c r="BP50" t="n">
        <v>9</v>
      </c>
      <c r="BQ50" t="n">
        <v>2</v>
      </c>
      <c r="BR50" t="n">
        <v>10</v>
      </c>
      <c r="BS50" t="n">
        <v>2</v>
      </c>
      <c r="BT50" t="n">
        <v>1</v>
      </c>
      <c r="BU50" t="n">
        <v>2</v>
      </c>
      <c r="BV50" t="n">
        <v>4</v>
      </c>
      <c r="BW50" t="n">
        <v>1</v>
      </c>
      <c r="BX50" t="n">
        <v>1</v>
      </c>
      <c r="BY50" t="n">
        <v>5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5</v>
      </c>
      <c r="CF50" t="n">
        <v>1</v>
      </c>
      <c r="CG50" t="n">
        <v>1</v>
      </c>
      <c r="CH50" t="n">
        <v>20</v>
      </c>
      <c r="CI50" t="inlineStr"/>
    </row>
    <row r="51">
      <c r="A51" t="n">
        <v>50</v>
      </c>
      <c r="B51" t="inlineStr"/>
      <c r="C51" t="inlineStr">
        <is>
          <t>Kenzie Beattie</t>
        </is>
      </c>
      <c r="D51" t="inlineStr">
        <is>
          <t xml:space="preserve">ST </t>
        </is>
      </c>
      <c r="E51" t="inlineStr">
        <is>
          <t>Northern Ireland</t>
        </is>
      </c>
      <c r="F51" t="n">
        <v>32</v>
      </c>
      <c r="G51" t="n">
        <v>83</v>
      </c>
      <c r="H51" t="n">
        <v>20</v>
      </c>
      <c r="I51" t="n">
        <v>2780</v>
      </c>
      <c r="J51" t="inlineStr">
        <is>
          <t>$0</t>
        </is>
      </c>
      <c r="K51" t="n">
        <v>10000</v>
      </c>
      <c r="L51" t="inlineStr">
        <is>
          <t>False</t>
        </is>
      </c>
      <c r="M51" t="inlineStr">
        <is>
          <t>False</t>
        </is>
      </c>
      <c r="N51" t="n">
        <v>-225</v>
      </c>
      <c r="O51" t="n">
        <v>6250</v>
      </c>
      <c r="P51" t="n">
        <v>16</v>
      </c>
      <c r="Q51" t="n">
        <v>10</v>
      </c>
      <c r="R51" t="n">
        <v>3</v>
      </c>
      <c r="S51" t="n">
        <v>6</v>
      </c>
      <c r="T51" t="n">
        <v>8</v>
      </c>
      <c r="U51" t="n">
        <v>10</v>
      </c>
      <c r="V51" t="n">
        <v>10</v>
      </c>
      <c r="W51" t="n">
        <v>9</v>
      </c>
      <c r="X51" t="n">
        <v>11</v>
      </c>
      <c r="Y51" t="n">
        <v>10</v>
      </c>
      <c r="Z51" t="n">
        <v>10</v>
      </c>
      <c r="AA51" t="n">
        <v>11</v>
      </c>
      <c r="AB51" t="n">
        <v>11</v>
      </c>
      <c r="AC51" t="n">
        <v>11</v>
      </c>
      <c r="AD51" t="n">
        <v>11</v>
      </c>
      <c r="AE51" t="inlineStr">
        <is>
          <t>$4</t>
        </is>
      </c>
      <c r="AF51" t="n">
        <v>8</v>
      </c>
      <c r="AG51" t="n">
        <v>8</v>
      </c>
      <c r="AH51" t="n">
        <v>15</v>
      </c>
      <c r="AI51" t="n">
        <v>12</v>
      </c>
      <c r="AJ51" t="n">
        <v>20</v>
      </c>
      <c r="AK51" t="n">
        <v>5</v>
      </c>
      <c r="AL51" t="n">
        <v>5</v>
      </c>
      <c r="AM51" t="n">
        <v>3</v>
      </c>
      <c r="AN51" t="n">
        <v>1</v>
      </c>
      <c r="AO51" t="n">
        <v>3</v>
      </c>
      <c r="AP51" t="n">
        <v>2</v>
      </c>
      <c r="AQ51" t="n">
        <v>3</v>
      </c>
      <c r="AR51" t="n">
        <v>3</v>
      </c>
      <c r="AS51" t="n">
        <v>1</v>
      </c>
      <c r="AT51" t="n">
        <v>2</v>
      </c>
      <c r="AU51" t="n">
        <v>1</v>
      </c>
      <c r="AV51" t="n">
        <v>3</v>
      </c>
      <c r="AW51" t="n">
        <v>2</v>
      </c>
      <c r="AX51" t="n">
        <v>7</v>
      </c>
      <c r="AY51" t="n">
        <v>4</v>
      </c>
      <c r="AZ51" t="n">
        <v>4</v>
      </c>
      <c r="BA51" t="n">
        <v>7</v>
      </c>
      <c r="BB51" t="n">
        <v>1</v>
      </c>
      <c r="BC51" t="n">
        <v>6</v>
      </c>
      <c r="BD51" t="n">
        <v>9</v>
      </c>
      <c r="BE51" t="n">
        <v>12</v>
      </c>
      <c r="BF51" t="n">
        <v>6</v>
      </c>
      <c r="BG51" t="n">
        <v>10</v>
      </c>
      <c r="BH51" t="n">
        <v>3</v>
      </c>
      <c r="BI51" t="n">
        <v>2</v>
      </c>
      <c r="BJ51" t="n">
        <v>3</v>
      </c>
      <c r="BK51" t="n">
        <v>3</v>
      </c>
      <c r="BL51" t="n">
        <v>1</v>
      </c>
      <c r="BM51" t="n">
        <v>1</v>
      </c>
      <c r="BN51" t="n">
        <v>9</v>
      </c>
      <c r="BO51" t="n">
        <v>10</v>
      </c>
      <c r="BP51" t="n">
        <v>11</v>
      </c>
      <c r="BQ51" t="n">
        <v>2</v>
      </c>
      <c r="BR51" t="n">
        <v>11</v>
      </c>
      <c r="BS51" t="n">
        <v>1</v>
      </c>
      <c r="BT51" t="n">
        <v>1</v>
      </c>
      <c r="BU51" t="n">
        <v>1</v>
      </c>
      <c r="BV51" t="n">
        <v>3</v>
      </c>
      <c r="BW51" t="n">
        <v>3</v>
      </c>
      <c r="BX51" t="n">
        <v>1</v>
      </c>
      <c r="BY51" t="n">
        <v>8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20</v>
      </c>
      <c r="CI51" t="inlineStr"/>
    </row>
    <row r="52">
      <c r="A52" t="n">
        <v>37</v>
      </c>
      <c r="B52" t="inlineStr"/>
      <c r="C52" t="inlineStr">
        <is>
          <t>Koray Gurpinar</t>
        </is>
      </c>
      <c r="D52" t="inlineStr">
        <is>
          <t>AM RL</t>
        </is>
      </c>
      <c r="E52" t="inlineStr">
        <is>
          <t>England</t>
        </is>
      </c>
      <c r="F52" t="n">
        <v>40</v>
      </c>
      <c r="G52" t="n">
        <v>87</v>
      </c>
      <c r="H52" t="n">
        <v>19</v>
      </c>
      <c r="I52" t="n">
        <v>910</v>
      </c>
      <c r="J52" t="inlineStr">
        <is>
          <t>$0</t>
        </is>
      </c>
      <c r="K52" t="n">
        <v>10000</v>
      </c>
      <c r="L52" t="inlineStr">
        <is>
          <t>False</t>
        </is>
      </c>
      <c r="M52" t="inlineStr">
        <is>
          <t>False</t>
        </is>
      </c>
      <c r="N52" t="n">
        <v>-223</v>
      </c>
      <c r="O52" t="n">
        <v>5950</v>
      </c>
      <c r="P52" t="n">
        <v>7</v>
      </c>
      <c r="Q52" t="n">
        <v>5</v>
      </c>
      <c r="R52" t="n">
        <v>4</v>
      </c>
      <c r="S52" t="n">
        <v>8</v>
      </c>
      <c r="T52" t="n">
        <v>11</v>
      </c>
      <c r="U52" t="n">
        <v>10</v>
      </c>
      <c r="V52" t="n">
        <v>10</v>
      </c>
      <c r="W52" t="n">
        <v>10</v>
      </c>
      <c r="X52" t="n">
        <v>10</v>
      </c>
      <c r="Y52" t="n">
        <v>10</v>
      </c>
      <c r="Z52" t="n">
        <v>10</v>
      </c>
      <c r="AA52" t="n">
        <v>10</v>
      </c>
      <c r="AB52" t="n">
        <v>10</v>
      </c>
      <c r="AC52" t="n">
        <v>12</v>
      </c>
      <c r="AD52" t="n">
        <v>13</v>
      </c>
      <c r="AE52" t="inlineStr">
        <is>
          <t>$9</t>
        </is>
      </c>
      <c r="AF52" t="n">
        <v>14</v>
      </c>
      <c r="AG52" t="n">
        <v>12</v>
      </c>
      <c r="AH52" t="n">
        <v>9</v>
      </c>
      <c r="AI52" t="n">
        <v>12</v>
      </c>
      <c r="AJ52" t="n">
        <v>20</v>
      </c>
      <c r="AK52" t="n">
        <v>7</v>
      </c>
      <c r="AL52" t="n">
        <v>4</v>
      </c>
      <c r="AM52" t="n">
        <v>1</v>
      </c>
      <c r="AN52" t="n">
        <v>1</v>
      </c>
      <c r="AO52" t="n">
        <v>3</v>
      </c>
      <c r="AP52" t="n">
        <v>1</v>
      </c>
      <c r="AQ52" t="n">
        <v>3</v>
      </c>
      <c r="AR52" t="n">
        <v>4</v>
      </c>
      <c r="AS52" t="n">
        <v>2</v>
      </c>
      <c r="AT52" t="n">
        <v>2</v>
      </c>
      <c r="AU52" t="n">
        <v>2</v>
      </c>
      <c r="AV52" t="n">
        <v>2</v>
      </c>
      <c r="AW52" t="n">
        <v>3</v>
      </c>
      <c r="AX52" t="n">
        <v>14</v>
      </c>
      <c r="AY52" t="n">
        <v>3</v>
      </c>
      <c r="AZ52" t="n">
        <v>3</v>
      </c>
      <c r="BA52" t="n">
        <v>2</v>
      </c>
      <c r="BB52" t="n">
        <v>2</v>
      </c>
      <c r="BC52" t="n">
        <v>5</v>
      </c>
      <c r="BD52" t="n">
        <v>13</v>
      </c>
      <c r="BE52" t="n">
        <v>15</v>
      </c>
      <c r="BF52" t="n">
        <v>8</v>
      </c>
      <c r="BG52" t="n">
        <v>4</v>
      </c>
      <c r="BH52" t="n">
        <v>1</v>
      </c>
      <c r="BI52" t="n">
        <v>6</v>
      </c>
      <c r="BJ52" t="n">
        <v>3</v>
      </c>
      <c r="BK52" t="n">
        <v>10</v>
      </c>
      <c r="BL52" t="n">
        <v>4</v>
      </c>
      <c r="BM52" t="n">
        <v>9</v>
      </c>
      <c r="BN52" t="n">
        <v>9</v>
      </c>
      <c r="BO52" t="n">
        <v>1</v>
      </c>
      <c r="BP52" t="n">
        <v>8</v>
      </c>
      <c r="BQ52" t="n">
        <v>2</v>
      </c>
      <c r="BR52" t="n">
        <v>1</v>
      </c>
      <c r="BS52" t="n">
        <v>3</v>
      </c>
      <c r="BT52" t="n">
        <v>1</v>
      </c>
      <c r="BU52" t="n">
        <v>4</v>
      </c>
      <c r="BV52" t="n">
        <v>8</v>
      </c>
      <c r="BW52" t="n">
        <v>1</v>
      </c>
      <c r="BX52" t="n">
        <v>2</v>
      </c>
      <c r="BY52" t="n">
        <v>5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20</v>
      </c>
      <c r="CF52" t="n">
        <v>1</v>
      </c>
      <c r="CG52" t="n">
        <v>20</v>
      </c>
      <c r="CH52" t="n">
        <v>1</v>
      </c>
      <c r="CI52" t="inlineStr"/>
    </row>
    <row r="53">
      <c r="A53" t="n">
        <v>-1</v>
      </c>
      <c r="B53" t="inlineStr"/>
      <c r="C53" t="inlineStr">
        <is>
          <t>Lloyd Asamoah-Junior</t>
        </is>
      </c>
      <c r="D53" t="inlineStr">
        <is>
          <t>WB/AM RL</t>
        </is>
      </c>
      <c r="E53" t="inlineStr">
        <is>
          <t>England</t>
        </is>
      </c>
      <c r="F53" t="n">
        <v>49</v>
      </c>
      <c r="G53" t="n">
        <v>79</v>
      </c>
      <c r="H53" t="n">
        <v>19</v>
      </c>
      <c r="I53" t="n">
        <v>2310</v>
      </c>
      <c r="J53" t="inlineStr">
        <is>
          <t>$0</t>
        </is>
      </c>
      <c r="K53" t="n">
        <v>10000</v>
      </c>
      <c r="L53" t="inlineStr">
        <is>
          <t>False</t>
        </is>
      </c>
      <c r="M53" t="inlineStr">
        <is>
          <t>False</t>
        </is>
      </c>
      <c r="N53" t="n">
        <v>-222</v>
      </c>
      <c r="O53" t="n">
        <v>6200</v>
      </c>
      <c r="P53" t="n">
        <v>4</v>
      </c>
      <c r="Q53" t="n">
        <v>15</v>
      </c>
      <c r="R53" t="n">
        <v>10</v>
      </c>
      <c r="S53" t="n">
        <v>6</v>
      </c>
      <c r="T53" t="n">
        <v>11</v>
      </c>
      <c r="U53" t="n">
        <v>10</v>
      </c>
      <c r="V53" t="n">
        <v>11</v>
      </c>
      <c r="W53" t="n">
        <v>9</v>
      </c>
      <c r="X53" t="n">
        <v>10</v>
      </c>
      <c r="Y53" t="n">
        <v>10</v>
      </c>
      <c r="Z53" t="n">
        <v>10</v>
      </c>
      <c r="AA53" t="n">
        <v>11</v>
      </c>
      <c r="AB53" t="n">
        <v>10</v>
      </c>
      <c r="AC53" t="n">
        <v>12</v>
      </c>
      <c r="AD53" t="n">
        <v>10</v>
      </c>
      <c r="AE53" t="inlineStr">
        <is>
          <t>$6</t>
        </is>
      </c>
      <c r="AF53" t="n">
        <v>8</v>
      </c>
      <c r="AG53" t="n">
        <v>12</v>
      </c>
      <c r="AH53" t="n">
        <v>14</v>
      </c>
      <c r="AI53" t="n">
        <v>13</v>
      </c>
      <c r="AJ53" t="n">
        <v>20</v>
      </c>
      <c r="AK53" t="n">
        <v>7</v>
      </c>
      <c r="AL53" t="n">
        <v>3</v>
      </c>
      <c r="AM53" t="n">
        <v>3</v>
      </c>
      <c r="AN53" t="n">
        <v>1</v>
      </c>
      <c r="AO53" t="n">
        <v>1</v>
      </c>
      <c r="AP53" t="n">
        <v>2</v>
      </c>
      <c r="AQ53" t="n">
        <v>2</v>
      </c>
      <c r="AR53" t="n">
        <v>2</v>
      </c>
      <c r="AS53" t="n">
        <v>1</v>
      </c>
      <c r="AT53" t="n">
        <v>2</v>
      </c>
      <c r="AU53" t="n">
        <v>1</v>
      </c>
      <c r="AV53" t="n">
        <v>3</v>
      </c>
      <c r="AW53" t="n">
        <v>3</v>
      </c>
      <c r="AX53" t="n">
        <v>5</v>
      </c>
      <c r="AY53" t="n">
        <v>3</v>
      </c>
      <c r="AZ53" t="n">
        <v>5</v>
      </c>
      <c r="BA53" t="n">
        <v>6</v>
      </c>
      <c r="BB53" t="n">
        <v>2</v>
      </c>
      <c r="BC53" t="n">
        <v>3</v>
      </c>
      <c r="BD53" t="n">
        <v>10</v>
      </c>
      <c r="BE53" t="n">
        <v>10</v>
      </c>
      <c r="BF53" t="n">
        <v>9</v>
      </c>
      <c r="BG53" t="n">
        <v>8</v>
      </c>
      <c r="BH53" t="n">
        <v>3</v>
      </c>
      <c r="BI53" t="n">
        <v>11</v>
      </c>
      <c r="BJ53" t="n">
        <v>6</v>
      </c>
      <c r="BK53" t="n">
        <v>10</v>
      </c>
      <c r="BL53" t="n">
        <v>4</v>
      </c>
      <c r="BM53" t="n">
        <v>8</v>
      </c>
      <c r="BN53" t="n">
        <v>7</v>
      </c>
      <c r="BO53" t="n">
        <v>5</v>
      </c>
      <c r="BP53" t="n">
        <v>12</v>
      </c>
      <c r="BQ53" t="n">
        <v>3</v>
      </c>
      <c r="BR53" t="n">
        <v>3</v>
      </c>
      <c r="BS53" t="n">
        <v>4</v>
      </c>
      <c r="BT53" t="n">
        <v>3</v>
      </c>
      <c r="BU53" t="n">
        <v>1</v>
      </c>
      <c r="BV53" t="n">
        <v>7</v>
      </c>
      <c r="BW53" t="n">
        <v>2</v>
      </c>
      <c r="BX53" t="n">
        <v>4</v>
      </c>
      <c r="BY53" t="n">
        <v>8</v>
      </c>
      <c r="BZ53" t="n">
        <v>1</v>
      </c>
      <c r="CA53" t="n">
        <v>5</v>
      </c>
      <c r="CB53" t="n">
        <v>1</v>
      </c>
      <c r="CC53" t="n">
        <v>1</v>
      </c>
      <c r="CD53" t="n">
        <v>1</v>
      </c>
      <c r="CE53" t="n">
        <v>20</v>
      </c>
      <c r="CF53" t="n">
        <v>1</v>
      </c>
      <c r="CG53" t="n">
        <v>16</v>
      </c>
      <c r="CH53" t="n">
        <v>1</v>
      </c>
      <c r="CI53" t="inlineStr"/>
    </row>
    <row r="54">
      <c r="A54" t="n">
        <v>17</v>
      </c>
      <c r="B54" t="inlineStr"/>
      <c r="C54" t="inlineStr">
        <is>
          <t>Logan Toplis</t>
        </is>
      </c>
      <c r="D54" t="inlineStr">
        <is>
          <t>M C</t>
        </is>
      </c>
      <c r="E54" t="inlineStr">
        <is>
          <t>England</t>
        </is>
      </c>
      <c r="F54" t="n">
        <v>52</v>
      </c>
      <c r="G54" t="n">
        <v>80</v>
      </c>
      <c r="H54" t="n">
        <v>21</v>
      </c>
      <c r="I54" t="n">
        <v>35</v>
      </c>
      <c r="J54" t="inlineStr">
        <is>
          <t>$0</t>
        </is>
      </c>
      <c r="K54" t="n">
        <v>10000</v>
      </c>
      <c r="L54" t="inlineStr">
        <is>
          <t>False</t>
        </is>
      </c>
      <c r="M54" t="inlineStr">
        <is>
          <t>False</t>
        </is>
      </c>
      <c r="N54" t="n">
        <v>-309</v>
      </c>
      <c r="O54" t="n">
        <v>6150</v>
      </c>
      <c r="P54" t="n">
        <v>19</v>
      </c>
      <c r="Q54" t="n">
        <v>5</v>
      </c>
      <c r="R54" t="n">
        <v>2</v>
      </c>
      <c r="S54" t="n">
        <v>12</v>
      </c>
      <c r="T54" t="n">
        <v>8</v>
      </c>
      <c r="U54" t="n">
        <v>10</v>
      </c>
      <c r="V54" t="n">
        <v>10</v>
      </c>
      <c r="W54" t="n">
        <v>10</v>
      </c>
      <c r="X54" t="n">
        <v>10</v>
      </c>
      <c r="Y54" t="n">
        <v>10</v>
      </c>
      <c r="Z54" t="n">
        <v>10</v>
      </c>
      <c r="AA54" t="n">
        <v>10</v>
      </c>
      <c r="AB54" t="n">
        <v>10</v>
      </c>
      <c r="AC54" t="n">
        <v>11</v>
      </c>
      <c r="AD54" t="n">
        <v>10</v>
      </c>
      <c r="AE54" t="inlineStr">
        <is>
          <t>$5</t>
        </is>
      </c>
      <c r="AF54" t="n">
        <v>9</v>
      </c>
      <c r="AG54" t="n">
        <v>9</v>
      </c>
      <c r="AH54" t="n">
        <v>13</v>
      </c>
      <c r="AI54" t="n">
        <v>9</v>
      </c>
      <c r="AJ54" t="n">
        <v>20</v>
      </c>
      <c r="AK54" t="n">
        <v>15</v>
      </c>
      <c r="AL54" t="n">
        <v>4</v>
      </c>
      <c r="AM54" t="n">
        <v>3</v>
      </c>
      <c r="AN54" t="n">
        <v>3</v>
      </c>
      <c r="AO54" t="n">
        <v>2</v>
      </c>
      <c r="AP54" t="n">
        <v>1</v>
      </c>
      <c r="AQ54" t="n">
        <v>3</v>
      </c>
      <c r="AR54" t="n">
        <v>1</v>
      </c>
      <c r="AS54" t="n">
        <v>3</v>
      </c>
      <c r="AT54" t="n">
        <v>1</v>
      </c>
      <c r="AU54" t="n">
        <v>2</v>
      </c>
      <c r="AV54" t="n">
        <v>3</v>
      </c>
      <c r="AW54" t="n">
        <v>2</v>
      </c>
      <c r="AX54" t="n">
        <v>9</v>
      </c>
      <c r="AY54" t="n">
        <v>6</v>
      </c>
      <c r="AZ54" t="n">
        <v>6</v>
      </c>
      <c r="BA54" t="n">
        <v>5</v>
      </c>
      <c r="BB54" t="n">
        <v>5</v>
      </c>
      <c r="BC54" t="n">
        <v>12</v>
      </c>
      <c r="BD54" t="n">
        <v>4</v>
      </c>
      <c r="BE54" t="n">
        <v>7</v>
      </c>
      <c r="BF54" t="n">
        <v>10</v>
      </c>
      <c r="BG54" t="n">
        <v>4</v>
      </c>
      <c r="BH54" t="n">
        <v>7</v>
      </c>
      <c r="BI54" t="n">
        <v>6</v>
      </c>
      <c r="BJ54" t="n">
        <v>9</v>
      </c>
      <c r="BK54" t="n">
        <v>11</v>
      </c>
      <c r="BL54" t="n">
        <v>3</v>
      </c>
      <c r="BM54" t="n">
        <v>4</v>
      </c>
      <c r="BN54" t="n">
        <v>5</v>
      </c>
      <c r="BO54" t="n">
        <v>1</v>
      </c>
      <c r="BP54" t="n">
        <v>9</v>
      </c>
      <c r="BQ54" t="n">
        <v>3</v>
      </c>
      <c r="BR54" t="n">
        <v>4</v>
      </c>
      <c r="BS54" t="n">
        <v>6</v>
      </c>
      <c r="BT54" t="n">
        <v>1</v>
      </c>
      <c r="BU54" t="n">
        <v>6</v>
      </c>
      <c r="BV54" t="n">
        <v>13</v>
      </c>
      <c r="BW54" t="n">
        <v>1</v>
      </c>
      <c r="BX54" t="n">
        <v>7</v>
      </c>
      <c r="BY54" t="n">
        <v>9</v>
      </c>
      <c r="BZ54" t="n">
        <v>1</v>
      </c>
      <c r="CA54" t="n">
        <v>1</v>
      </c>
      <c r="CB54" t="n">
        <v>1</v>
      </c>
      <c r="CC54" t="n">
        <v>1</v>
      </c>
      <c r="CD54" t="n">
        <v>7</v>
      </c>
      <c r="CE54" t="n">
        <v>1</v>
      </c>
      <c r="CF54" t="n">
        <v>1</v>
      </c>
      <c r="CG54" t="n">
        <v>1</v>
      </c>
      <c r="CH54" t="n">
        <v>1</v>
      </c>
      <c r="CI54" t="inlineStr"/>
    </row>
    <row r="55">
      <c r="A55" t="n">
        <v>-1</v>
      </c>
      <c r="B55" t="inlineStr"/>
      <c r="C55" t="inlineStr">
        <is>
          <t>Louie Procopi</t>
        </is>
      </c>
      <c r="D55" t="inlineStr">
        <is>
          <t>D RC</t>
        </is>
      </c>
      <c r="E55" t="inlineStr">
        <is>
          <t>England</t>
        </is>
      </c>
      <c r="F55" t="n">
        <v>50</v>
      </c>
      <c r="G55" t="n">
        <v>72</v>
      </c>
      <c r="H55" t="n">
        <v>20</v>
      </c>
      <c r="I55" t="n">
        <v>2225</v>
      </c>
      <c r="J55" t="inlineStr">
        <is>
          <t>$0</t>
        </is>
      </c>
      <c r="K55" t="n">
        <v>10000</v>
      </c>
      <c r="L55" t="inlineStr">
        <is>
          <t>False</t>
        </is>
      </c>
      <c r="M55" t="inlineStr">
        <is>
          <t>False</t>
        </is>
      </c>
      <c r="N55" t="n">
        <v>-224</v>
      </c>
      <c r="O55" t="n">
        <v>6200</v>
      </c>
      <c r="P55" t="n">
        <v>19</v>
      </c>
      <c r="Q55" t="n">
        <v>10</v>
      </c>
      <c r="R55" t="n">
        <v>10</v>
      </c>
      <c r="S55" t="n">
        <v>2</v>
      </c>
      <c r="T55" t="n">
        <v>10</v>
      </c>
      <c r="U55" t="n">
        <v>12</v>
      </c>
      <c r="V55" t="n">
        <v>12</v>
      </c>
      <c r="W55" t="n">
        <v>8</v>
      </c>
      <c r="X55" t="n">
        <v>10</v>
      </c>
      <c r="Y55" t="n">
        <v>12</v>
      </c>
      <c r="Z55" t="n">
        <v>13</v>
      </c>
      <c r="AA55" t="n">
        <v>13</v>
      </c>
      <c r="AB55" t="n">
        <v>17</v>
      </c>
      <c r="AC55" t="n">
        <v>8</v>
      </c>
      <c r="AD55" t="n">
        <v>8</v>
      </c>
      <c r="AE55" t="inlineStr">
        <is>
          <t>$9</t>
        </is>
      </c>
      <c r="AF55" t="n">
        <v>10</v>
      </c>
      <c r="AG55" t="n">
        <v>4</v>
      </c>
      <c r="AH55" t="n">
        <v>11</v>
      </c>
      <c r="AI55" t="n">
        <v>9</v>
      </c>
      <c r="AJ55" t="n">
        <v>20</v>
      </c>
      <c r="AK55" t="n">
        <v>10</v>
      </c>
      <c r="AL55" t="n">
        <v>9</v>
      </c>
      <c r="AM55" t="n">
        <v>3</v>
      </c>
      <c r="AN55" t="n">
        <v>2</v>
      </c>
      <c r="AO55" t="n">
        <v>1</v>
      </c>
      <c r="AP55" t="n">
        <v>3</v>
      </c>
      <c r="AQ55" t="n">
        <v>3</v>
      </c>
      <c r="AR55" t="n">
        <v>3</v>
      </c>
      <c r="AS55" t="n">
        <v>2</v>
      </c>
      <c r="AT55" t="n">
        <v>1</v>
      </c>
      <c r="AU55" t="n">
        <v>1</v>
      </c>
      <c r="AV55" t="n">
        <v>2</v>
      </c>
      <c r="AW55" t="n">
        <v>3</v>
      </c>
      <c r="AX55" t="n">
        <v>7</v>
      </c>
      <c r="AY55" t="n">
        <v>11</v>
      </c>
      <c r="AZ55" t="n">
        <v>9</v>
      </c>
      <c r="BA55" t="n">
        <v>8</v>
      </c>
      <c r="BB55" t="n">
        <v>11</v>
      </c>
      <c r="BC55" t="n">
        <v>10</v>
      </c>
      <c r="BD55" t="n">
        <v>13</v>
      </c>
      <c r="BE55" t="n">
        <v>6</v>
      </c>
      <c r="BF55" t="n">
        <v>8</v>
      </c>
      <c r="BG55" t="n">
        <v>7</v>
      </c>
      <c r="BH55" t="n">
        <v>10</v>
      </c>
      <c r="BI55" t="n">
        <v>8</v>
      </c>
      <c r="BJ55" t="n">
        <v>5</v>
      </c>
      <c r="BK55" t="n">
        <v>8</v>
      </c>
      <c r="BL55" t="n">
        <v>2</v>
      </c>
      <c r="BM55" t="n">
        <v>6</v>
      </c>
      <c r="BN55" t="n">
        <v>5</v>
      </c>
      <c r="BO55" t="n">
        <v>4</v>
      </c>
      <c r="BP55" t="n">
        <v>7</v>
      </c>
      <c r="BQ55" t="n">
        <v>3</v>
      </c>
      <c r="BR55" t="n">
        <v>8</v>
      </c>
      <c r="BS55" t="n">
        <v>4</v>
      </c>
      <c r="BT55" t="n">
        <v>4</v>
      </c>
      <c r="BU55" t="n">
        <v>9</v>
      </c>
      <c r="BV55" t="n">
        <v>7</v>
      </c>
      <c r="BW55" t="n">
        <v>4</v>
      </c>
      <c r="BX55" t="n">
        <v>9</v>
      </c>
      <c r="BY55" t="n">
        <v>7</v>
      </c>
      <c r="BZ55" t="n">
        <v>1</v>
      </c>
      <c r="CA55" t="n">
        <v>16</v>
      </c>
      <c r="CB55" t="n">
        <v>20</v>
      </c>
      <c r="CC55" t="n">
        <v>2</v>
      </c>
      <c r="CD55" t="n">
        <v>2</v>
      </c>
      <c r="CE55" t="n">
        <v>1</v>
      </c>
      <c r="CF55" t="n">
        <v>1</v>
      </c>
      <c r="CG55" t="n">
        <v>1</v>
      </c>
      <c r="CH55" t="n">
        <v>1</v>
      </c>
      <c r="CI55" t="inlineStr"/>
    </row>
    <row r="56">
      <c r="A56" t="n">
        <v>-1</v>
      </c>
      <c r="B56" t="inlineStr"/>
      <c r="C56" t="inlineStr">
        <is>
          <t>Marcel Guzynski</t>
        </is>
      </c>
      <c r="D56" t="inlineStr">
        <is>
          <t>AM RL</t>
        </is>
      </c>
      <c r="E56" t="inlineStr">
        <is>
          <t>England</t>
        </is>
      </c>
      <c r="F56" t="n">
        <v>59</v>
      </c>
      <c r="G56" t="n">
        <v>96</v>
      </c>
      <c r="H56" t="n">
        <v>20</v>
      </c>
      <c r="I56" t="n">
        <v>1247</v>
      </c>
      <c r="J56" t="inlineStr">
        <is>
          <t>$0</t>
        </is>
      </c>
      <c r="K56" t="n">
        <v>10000</v>
      </c>
      <c r="L56" t="inlineStr">
        <is>
          <t>False</t>
        </is>
      </c>
      <c r="M56" t="inlineStr">
        <is>
          <t>False</t>
        </is>
      </c>
      <c r="N56" t="n">
        <v>73</v>
      </c>
      <c r="O56" t="n">
        <v>8070</v>
      </c>
      <c r="P56" t="n">
        <v>9</v>
      </c>
      <c r="Q56" t="n">
        <v>5</v>
      </c>
      <c r="R56" t="n">
        <v>8</v>
      </c>
      <c r="S56" t="n">
        <v>6</v>
      </c>
      <c r="T56" t="n">
        <v>8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12</v>
      </c>
      <c r="AD56" t="n">
        <v>11</v>
      </c>
      <c r="AE56" t="inlineStr">
        <is>
          <t>$7</t>
        </is>
      </c>
      <c r="AF56" t="n">
        <v>11</v>
      </c>
      <c r="AG56" t="n">
        <v>20</v>
      </c>
      <c r="AH56" t="n">
        <v>13</v>
      </c>
      <c r="AI56" t="n">
        <v>12</v>
      </c>
      <c r="AJ56" t="n">
        <v>7</v>
      </c>
      <c r="AK56" t="n">
        <v>10</v>
      </c>
      <c r="AL56" t="n">
        <v>4</v>
      </c>
      <c r="AM56" t="n">
        <v>2</v>
      </c>
      <c r="AN56" t="n">
        <v>2</v>
      </c>
      <c r="AO56" t="n">
        <v>2</v>
      </c>
      <c r="AP56" t="n">
        <v>1</v>
      </c>
      <c r="AQ56" t="n">
        <v>2</v>
      </c>
      <c r="AR56" t="n">
        <v>2</v>
      </c>
      <c r="AS56" t="n">
        <v>3</v>
      </c>
      <c r="AT56" t="n">
        <v>3</v>
      </c>
      <c r="AU56" t="n">
        <v>4</v>
      </c>
      <c r="AV56" t="n">
        <v>1</v>
      </c>
      <c r="AW56" t="n">
        <v>3</v>
      </c>
      <c r="AX56" t="n">
        <v>14</v>
      </c>
      <c r="AY56" t="n">
        <v>6</v>
      </c>
      <c r="AZ56" t="n">
        <v>4</v>
      </c>
      <c r="BA56" t="n">
        <v>4</v>
      </c>
      <c r="BB56" t="n">
        <v>1</v>
      </c>
      <c r="BC56" t="n">
        <v>12</v>
      </c>
      <c r="BD56" t="n">
        <v>14</v>
      </c>
      <c r="BE56" t="n">
        <v>12</v>
      </c>
      <c r="BF56" t="n">
        <v>12</v>
      </c>
      <c r="BG56" t="n">
        <v>10</v>
      </c>
      <c r="BH56" t="n">
        <v>3</v>
      </c>
      <c r="BI56" t="n">
        <v>6</v>
      </c>
      <c r="BJ56" t="n">
        <v>8</v>
      </c>
      <c r="BK56" t="n">
        <v>10</v>
      </c>
      <c r="BL56" t="n">
        <v>3</v>
      </c>
      <c r="BM56" t="n">
        <v>8</v>
      </c>
      <c r="BN56" t="n">
        <v>12</v>
      </c>
      <c r="BO56" t="n">
        <v>4</v>
      </c>
      <c r="BP56" t="n">
        <v>10</v>
      </c>
      <c r="BQ56" t="n">
        <v>2</v>
      </c>
      <c r="BR56" t="n">
        <v>2</v>
      </c>
      <c r="BS56" t="n">
        <v>4</v>
      </c>
      <c r="BT56" t="n">
        <v>2</v>
      </c>
      <c r="BU56" t="n">
        <v>4</v>
      </c>
      <c r="BV56" t="n">
        <v>4</v>
      </c>
      <c r="BW56" t="n">
        <v>1</v>
      </c>
      <c r="BX56" t="n">
        <v>3</v>
      </c>
      <c r="BY56" t="n">
        <v>12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20</v>
      </c>
      <c r="CF56" t="n">
        <v>2</v>
      </c>
      <c r="CG56" t="n">
        <v>20</v>
      </c>
      <c r="CH56" t="n">
        <v>1</v>
      </c>
      <c r="CI56" t="inlineStr"/>
    </row>
    <row r="57">
      <c r="A57" t="n">
        <v>11</v>
      </c>
      <c r="B57" t="inlineStr"/>
      <c r="C57" t="inlineStr">
        <is>
          <t>Marley Rayment-Dawkins</t>
        </is>
      </c>
      <c r="D57" t="inlineStr">
        <is>
          <t>D/WB LC</t>
        </is>
      </c>
      <c r="E57" t="inlineStr">
        <is>
          <t>Jamaica,England</t>
        </is>
      </c>
      <c r="F57" t="n">
        <v>50</v>
      </c>
      <c r="G57" t="n">
        <v>98</v>
      </c>
      <c r="H57" t="n">
        <v>19</v>
      </c>
      <c r="I57" t="n">
        <v>2029</v>
      </c>
      <c r="J57" t="inlineStr">
        <is>
          <t>$0</t>
        </is>
      </c>
      <c r="K57" t="n">
        <v>8100</v>
      </c>
      <c r="L57" t="inlineStr">
        <is>
          <t>False</t>
        </is>
      </c>
      <c r="M57" t="inlineStr">
        <is>
          <t>False</t>
        </is>
      </c>
      <c r="N57" t="n">
        <v>-37</v>
      </c>
      <c r="O57" t="n">
        <v>10000</v>
      </c>
      <c r="P57" t="n">
        <v>9</v>
      </c>
      <c r="Q57" t="n">
        <v>13</v>
      </c>
      <c r="R57" t="n">
        <v>1</v>
      </c>
      <c r="S57" t="n">
        <v>12</v>
      </c>
      <c r="T57" t="n">
        <v>8</v>
      </c>
      <c r="U57" t="n">
        <v>10</v>
      </c>
      <c r="V57" t="n">
        <v>10</v>
      </c>
      <c r="W57" t="n">
        <v>10</v>
      </c>
      <c r="X57" t="n">
        <v>10</v>
      </c>
      <c r="Y57" t="n">
        <v>10</v>
      </c>
      <c r="Z57" t="n">
        <v>10</v>
      </c>
      <c r="AA57" t="n">
        <v>10</v>
      </c>
      <c r="AB57" t="n">
        <v>10</v>
      </c>
      <c r="AC57" t="n">
        <v>13</v>
      </c>
      <c r="AD57" t="n">
        <v>9</v>
      </c>
      <c r="AE57" t="inlineStr">
        <is>
          <t>$6</t>
        </is>
      </c>
      <c r="AF57" t="n">
        <v>9</v>
      </c>
      <c r="AG57" t="n">
        <v>20</v>
      </c>
      <c r="AH57" t="n">
        <v>12</v>
      </c>
      <c r="AI57" t="n">
        <v>14</v>
      </c>
      <c r="AJ57" t="n">
        <v>8</v>
      </c>
      <c r="AK57" t="n">
        <v>9</v>
      </c>
      <c r="AL57" t="n">
        <v>7</v>
      </c>
      <c r="AM57" t="n">
        <v>2</v>
      </c>
      <c r="AN57" t="n">
        <v>3</v>
      </c>
      <c r="AO57" t="n">
        <v>1</v>
      </c>
      <c r="AP57" t="n">
        <v>2</v>
      </c>
      <c r="AQ57" t="n">
        <v>1</v>
      </c>
      <c r="AR57" t="n">
        <v>3</v>
      </c>
      <c r="AS57" t="n">
        <v>1</v>
      </c>
      <c r="AT57" t="n">
        <v>3</v>
      </c>
      <c r="AU57" t="n">
        <v>3</v>
      </c>
      <c r="AV57" t="n">
        <v>2</v>
      </c>
      <c r="AW57" t="n">
        <v>3</v>
      </c>
      <c r="AX57" t="n">
        <v>10</v>
      </c>
      <c r="AY57" t="n">
        <v>7</v>
      </c>
      <c r="AZ57" t="n">
        <v>6</v>
      </c>
      <c r="BA57" t="n">
        <v>7</v>
      </c>
      <c r="BB57" t="n">
        <v>6</v>
      </c>
      <c r="BC57" t="n">
        <v>7</v>
      </c>
      <c r="BD57" t="n">
        <v>13</v>
      </c>
      <c r="BE57" t="n">
        <v>7</v>
      </c>
      <c r="BF57" t="n">
        <v>6</v>
      </c>
      <c r="BG57" t="n">
        <v>7</v>
      </c>
      <c r="BH57" t="n">
        <v>8</v>
      </c>
      <c r="BI57" t="n">
        <v>10</v>
      </c>
      <c r="BJ57" t="n">
        <v>7</v>
      </c>
      <c r="BK57" t="n">
        <v>9</v>
      </c>
      <c r="BL57" t="n">
        <v>2</v>
      </c>
      <c r="BM57" t="n">
        <v>7</v>
      </c>
      <c r="BN57" t="n">
        <v>8</v>
      </c>
      <c r="BO57" t="n">
        <v>1</v>
      </c>
      <c r="BP57" t="n">
        <v>7</v>
      </c>
      <c r="BQ57" t="n">
        <v>1</v>
      </c>
      <c r="BR57" t="n">
        <v>5</v>
      </c>
      <c r="BS57" t="n">
        <v>4</v>
      </c>
      <c r="BT57" t="n">
        <v>4</v>
      </c>
      <c r="BU57" t="n">
        <v>8</v>
      </c>
      <c r="BV57" t="n">
        <v>7</v>
      </c>
      <c r="BW57" t="n">
        <v>2</v>
      </c>
      <c r="BX57" t="n">
        <v>7</v>
      </c>
      <c r="BY57" t="n">
        <v>7</v>
      </c>
      <c r="BZ57" t="n">
        <v>1</v>
      </c>
      <c r="CA57" t="n">
        <v>1</v>
      </c>
      <c r="CB57" t="n">
        <v>19</v>
      </c>
      <c r="CC57" t="n">
        <v>20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inlineStr"/>
    </row>
    <row r="58">
      <c r="A58" t="n">
        <v>-1</v>
      </c>
      <c r="B58" t="inlineStr"/>
      <c r="C58" t="inlineStr">
        <is>
          <t>Nick Ralfe</t>
        </is>
      </c>
      <c r="D58" t="inlineStr">
        <is>
          <t>WB/M/AM R</t>
        </is>
      </c>
      <c r="E58" t="inlineStr">
        <is>
          <t>England</t>
        </is>
      </c>
      <c r="F58" t="n">
        <v>48</v>
      </c>
      <c r="G58" t="n">
        <v>87</v>
      </c>
      <c r="H58" t="n">
        <v>21</v>
      </c>
      <c r="I58" t="n">
        <v>3177</v>
      </c>
      <c r="J58" t="inlineStr">
        <is>
          <t>$0</t>
        </is>
      </c>
      <c r="K58" t="n">
        <v>10000</v>
      </c>
      <c r="L58" t="inlineStr">
        <is>
          <t>False</t>
        </is>
      </c>
      <c r="M58" t="inlineStr">
        <is>
          <t>False</t>
        </is>
      </c>
      <c r="N58" t="n">
        <v>-309</v>
      </c>
      <c r="O58" t="n">
        <v>6050</v>
      </c>
      <c r="P58" t="n">
        <v>16</v>
      </c>
      <c r="Q58" t="n">
        <v>8</v>
      </c>
      <c r="R58" t="n">
        <v>7</v>
      </c>
      <c r="S58" t="n">
        <v>10</v>
      </c>
      <c r="T58" t="n">
        <v>11</v>
      </c>
      <c r="U58" t="n">
        <v>10</v>
      </c>
      <c r="V58" t="n">
        <v>10</v>
      </c>
      <c r="W58" t="n">
        <v>10</v>
      </c>
      <c r="X58" t="n">
        <v>10</v>
      </c>
      <c r="Y58" t="n">
        <v>10</v>
      </c>
      <c r="Z58" t="n">
        <v>10</v>
      </c>
      <c r="AA58" t="n">
        <v>10</v>
      </c>
      <c r="AB58" t="n">
        <v>10</v>
      </c>
      <c r="AC58" t="n">
        <v>12</v>
      </c>
      <c r="AD58" t="n">
        <v>10</v>
      </c>
      <c r="AE58" t="inlineStr">
        <is>
          <t>$6</t>
        </is>
      </c>
      <c r="AF58" t="n">
        <v>3</v>
      </c>
      <c r="AG58" t="n">
        <v>8</v>
      </c>
      <c r="AH58" t="n">
        <v>11</v>
      </c>
      <c r="AI58" t="n">
        <v>11</v>
      </c>
      <c r="AJ58" t="n">
        <v>20</v>
      </c>
      <c r="AK58" t="n">
        <v>8</v>
      </c>
      <c r="AL58" t="n">
        <v>1</v>
      </c>
      <c r="AM58" t="n">
        <v>1</v>
      </c>
      <c r="AN58" t="n">
        <v>2</v>
      </c>
      <c r="AO58" t="n">
        <v>3</v>
      </c>
      <c r="AP58" t="n">
        <v>3</v>
      </c>
      <c r="AQ58" t="n">
        <v>3</v>
      </c>
      <c r="AR58" t="n">
        <v>2</v>
      </c>
      <c r="AS58" t="n">
        <v>1</v>
      </c>
      <c r="AT58" t="n">
        <v>1</v>
      </c>
      <c r="AU58" t="n">
        <v>1</v>
      </c>
      <c r="AV58" t="n">
        <v>2</v>
      </c>
      <c r="AW58" t="n">
        <v>2</v>
      </c>
      <c r="AX58" t="n">
        <v>9</v>
      </c>
      <c r="AY58" t="n">
        <v>6</v>
      </c>
      <c r="AZ58" t="n">
        <v>2</v>
      </c>
      <c r="BA58" t="n">
        <v>7</v>
      </c>
      <c r="BB58" t="n">
        <v>4</v>
      </c>
      <c r="BC58" t="n">
        <v>10</v>
      </c>
      <c r="BD58" t="n">
        <v>7</v>
      </c>
      <c r="BE58" t="n">
        <v>10</v>
      </c>
      <c r="BF58" t="n">
        <v>5</v>
      </c>
      <c r="BG58" t="n">
        <v>6</v>
      </c>
      <c r="BH58" t="n">
        <v>5</v>
      </c>
      <c r="BI58" t="n">
        <v>6</v>
      </c>
      <c r="BJ58" t="n">
        <v>7</v>
      </c>
      <c r="BK58" t="n">
        <v>7</v>
      </c>
      <c r="BL58" t="n">
        <v>4</v>
      </c>
      <c r="BM58" t="n">
        <v>11</v>
      </c>
      <c r="BN58" t="n">
        <v>6</v>
      </c>
      <c r="BO58" t="n">
        <v>9</v>
      </c>
      <c r="BP58" t="n">
        <v>12</v>
      </c>
      <c r="BQ58" t="n">
        <v>4</v>
      </c>
      <c r="BR58" t="n">
        <v>4</v>
      </c>
      <c r="BS58" t="n">
        <v>5</v>
      </c>
      <c r="BT58" t="n">
        <v>4</v>
      </c>
      <c r="BU58" t="n">
        <v>5</v>
      </c>
      <c r="BV58" t="n">
        <v>8</v>
      </c>
      <c r="BW58" t="n">
        <v>3</v>
      </c>
      <c r="BX58" t="n">
        <v>3</v>
      </c>
      <c r="BY58" t="n">
        <v>7</v>
      </c>
      <c r="BZ58" t="n">
        <v>1</v>
      </c>
      <c r="CA58" t="n">
        <v>12</v>
      </c>
      <c r="CB58" t="n">
        <v>1</v>
      </c>
      <c r="CC58" t="n">
        <v>1</v>
      </c>
      <c r="CD58" t="n">
        <v>1</v>
      </c>
      <c r="CE58" t="n">
        <v>20</v>
      </c>
      <c r="CF58" t="n">
        <v>1</v>
      </c>
      <c r="CG58" t="n">
        <v>1</v>
      </c>
      <c r="CH58" t="n">
        <v>1</v>
      </c>
      <c r="CI58" t="inlineStr"/>
    </row>
    <row r="59">
      <c r="A59" t="n">
        <v>41</v>
      </c>
      <c r="B59" t="inlineStr"/>
      <c r="C59" t="inlineStr">
        <is>
          <t>Nnaemeka Anyanwu</t>
        </is>
      </c>
      <c r="D59" t="inlineStr">
        <is>
          <t>M/AM/ST L</t>
        </is>
      </c>
      <c r="E59" t="inlineStr">
        <is>
          <t>England</t>
        </is>
      </c>
      <c r="F59" t="n">
        <v>46</v>
      </c>
      <c r="G59" t="n">
        <v>71</v>
      </c>
      <c r="H59" t="n">
        <v>21</v>
      </c>
      <c r="I59" t="n">
        <v>2589</v>
      </c>
      <c r="J59" t="inlineStr">
        <is>
          <t>$0</t>
        </is>
      </c>
      <c r="K59" t="n">
        <v>10000</v>
      </c>
      <c r="L59" t="inlineStr">
        <is>
          <t>False</t>
        </is>
      </c>
      <c r="M59" t="inlineStr">
        <is>
          <t>False</t>
        </is>
      </c>
      <c r="N59" t="n">
        <v>-309</v>
      </c>
      <c r="O59" t="n">
        <v>6250</v>
      </c>
      <c r="P59" t="n">
        <v>16</v>
      </c>
      <c r="Q59" t="n">
        <v>5</v>
      </c>
      <c r="R59" t="n">
        <v>11</v>
      </c>
      <c r="S59" t="n">
        <v>6</v>
      </c>
      <c r="T59" t="n">
        <v>9</v>
      </c>
      <c r="U59" t="n">
        <v>10</v>
      </c>
      <c r="V59" t="n">
        <v>10</v>
      </c>
      <c r="W59" t="n">
        <v>10</v>
      </c>
      <c r="X59" t="n">
        <v>10</v>
      </c>
      <c r="Y59" t="n">
        <v>10</v>
      </c>
      <c r="Z59" t="n">
        <v>11</v>
      </c>
      <c r="AA59" t="n">
        <v>10</v>
      </c>
      <c r="AB59" t="n">
        <v>10</v>
      </c>
      <c r="AC59" t="n">
        <v>13</v>
      </c>
      <c r="AD59" t="n">
        <v>10</v>
      </c>
      <c r="AE59" t="inlineStr">
        <is>
          <t>$6</t>
        </is>
      </c>
      <c r="AF59" t="n">
        <v>5</v>
      </c>
      <c r="AG59" t="n">
        <v>20</v>
      </c>
      <c r="AH59" t="n">
        <v>14</v>
      </c>
      <c r="AI59" t="n">
        <v>12</v>
      </c>
      <c r="AJ59" t="n">
        <v>8</v>
      </c>
      <c r="AK59" t="n">
        <v>9</v>
      </c>
      <c r="AL59" t="n">
        <v>3</v>
      </c>
      <c r="AM59" t="n">
        <v>3</v>
      </c>
      <c r="AN59" t="n">
        <v>1</v>
      </c>
      <c r="AO59" t="n">
        <v>4</v>
      </c>
      <c r="AP59" t="n">
        <v>2</v>
      </c>
      <c r="AQ59" t="n">
        <v>4</v>
      </c>
      <c r="AR59" t="n">
        <v>1</v>
      </c>
      <c r="AS59" t="n">
        <v>3</v>
      </c>
      <c r="AT59" t="n">
        <v>3</v>
      </c>
      <c r="AU59" t="n">
        <v>3</v>
      </c>
      <c r="AV59" t="n">
        <v>1</v>
      </c>
      <c r="AW59" t="n">
        <v>3</v>
      </c>
      <c r="AX59" t="n">
        <v>12</v>
      </c>
      <c r="AY59" t="n">
        <v>6</v>
      </c>
      <c r="AZ59" t="n">
        <v>5</v>
      </c>
      <c r="BA59" t="n">
        <v>6</v>
      </c>
      <c r="BB59" t="n">
        <v>4</v>
      </c>
      <c r="BC59" t="n">
        <v>9</v>
      </c>
      <c r="BD59" t="n">
        <v>5</v>
      </c>
      <c r="BE59" t="n">
        <v>8</v>
      </c>
      <c r="BF59" t="n">
        <v>10</v>
      </c>
      <c r="BG59" t="n">
        <v>9</v>
      </c>
      <c r="BH59" t="n">
        <v>3</v>
      </c>
      <c r="BI59" t="n">
        <v>4</v>
      </c>
      <c r="BJ59" t="n">
        <v>5</v>
      </c>
      <c r="BK59" t="n">
        <v>7</v>
      </c>
      <c r="BL59" t="n">
        <v>3</v>
      </c>
      <c r="BM59" t="n">
        <v>6</v>
      </c>
      <c r="BN59" t="n">
        <v>10</v>
      </c>
      <c r="BO59" t="n">
        <v>8</v>
      </c>
      <c r="BP59" t="n">
        <v>4</v>
      </c>
      <c r="BQ59" t="n">
        <v>3</v>
      </c>
      <c r="BR59" t="n">
        <v>6</v>
      </c>
      <c r="BS59" t="n">
        <v>6</v>
      </c>
      <c r="BT59" t="n">
        <v>3</v>
      </c>
      <c r="BU59" t="n">
        <v>2</v>
      </c>
      <c r="BV59" t="n">
        <v>7</v>
      </c>
      <c r="BW59" t="n">
        <v>3</v>
      </c>
      <c r="BX59" t="n">
        <v>1</v>
      </c>
      <c r="BY59" t="n">
        <v>9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12</v>
      </c>
      <c r="CG59" t="n">
        <v>20</v>
      </c>
      <c r="CH59" t="n">
        <v>18</v>
      </c>
      <c r="CI59" t="inlineStr"/>
    </row>
    <row r="60">
      <c r="A60" t="n">
        <v>-1</v>
      </c>
      <c r="B60" t="inlineStr"/>
      <c r="C60" t="inlineStr">
        <is>
          <t>Rayhaan Khan</t>
        </is>
      </c>
      <c r="D60" t="inlineStr">
        <is>
          <t>D C</t>
        </is>
      </c>
      <c r="E60" t="inlineStr">
        <is>
          <t>England</t>
        </is>
      </c>
      <c r="F60" t="n">
        <v>49</v>
      </c>
      <c r="G60" t="n">
        <v>96</v>
      </c>
      <c r="H60" t="n">
        <v>20</v>
      </c>
      <c r="I60" t="n">
        <v>366</v>
      </c>
      <c r="J60" t="inlineStr">
        <is>
          <t>$0</t>
        </is>
      </c>
      <c r="K60" t="n">
        <v>10000</v>
      </c>
      <c r="L60" t="inlineStr">
        <is>
          <t>False</t>
        </is>
      </c>
      <c r="M60" t="inlineStr">
        <is>
          <t>False</t>
        </is>
      </c>
      <c r="N60" t="n">
        <v>-224</v>
      </c>
      <c r="O60" t="n">
        <v>7734</v>
      </c>
      <c r="P60" t="n">
        <v>15</v>
      </c>
      <c r="Q60" t="n">
        <v>15</v>
      </c>
      <c r="R60" t="n">
        <v>8</v>
      </c>
      <c r="S60" t="n">
        <v>9</v>
      </c>
      <c r="T60" t="n">
        <v>9</v>
      </c>
      <c r="U60" t="n">
        <v>10</v>
      </c>
      <c r="V60" t="n">
        <v>10</v>
      </c>
      <c r="W60" t="n">
        <v>10</v>
      </c>
      <c r="X60" t="n">
        <v>10</v>
      </c>
      <c r="Y60" t="n">
        <v>10</v>
      </c>
      <c r="Z60" t="n">
        <v>10</v>
      </c>
      <c r="AA60" t="n">
        <v>10</v>
      </c>
      <c r="AB60" t="n">
        <v>10</v>
      </c>
      <c r="AC60" t="n">
        <v>11</v>
      </c>
      <c r="AD60" t="n">
        <v>8</v>
      </c>
      <c r="AE60" t="inlineStr">
        <is>
          <t>$4</t>
        </is>
      </c>
      <c r="AF60" t="n">
        <v>7</v>
      </c>
      <c r="AG60" t="n">
        <v>12</v>
      </c>
      <c r="AH60" t="n">
        <v>12</v>
      </c>
      <c r="AI60" t="n">
        <v>10</v>
      </c>
      <c r="AJ60" t="n">
        <v>20</v>
      </c>
      <c r="AK60" t="n">
        <v>2</v>
      </c>
      <c r="AL60" t="n">
        <v>5</v>
      </c>
      <c r="AM60" t="n">
        <v>1</v>
      </c>
      <c r="AN60" t="n">
        <v>2</v>
      </c>
      <c r="AO60" t="n">
        <v>4</v>
      </c>
      <c r="AP60" t="n">
        <v>2</v>
      </c>
      <c r="AQ60" t="n">
        <v>3</v>
      </c>
      <c r="AR60" t="n">
        <v>4</v>
      </c>
      <c r="AS60" t="n">
        <v>1</v>
      </c>
      <c r="AT60" t="n">
        <v>3</v>
      </c>
      <c r="AU60" t="n">
        <v>2</v>
      </c>
      <c r="AV60" t="n">
        <v>3</v>
      </c>
      <c r="AW60" t="n">
        <v>3</v>
      </c>
      <c r="AX60" t="n">
        <v>6</v>
      </c>
      <c r="AY60" t="n">
        <v>6</v>
      </c>
      <c r="AZ60" t="n">
        <v>7</v>
      </c>
      <c r="BA60" t="n">
        <v>6</v>
      </c>
      <c r="BB60" t="n">
        <v>9</v>
      </c>
      <c r="BC60" t="n">
        <v>13</v>
      </c>
      <c r="BD60" t="n">
        <v>15</v>
      </c>
      <c r="BE60" t="n">
        <v>5</v>
      </c>
      <c r="BF60" t="n">
        <v>5</v>
      </c>
      <c r="BG60" t="n">
        <v>3</v>
      </c>
      <c r="BH60" t="n">
        <v>13</v>
      </c>
      <c r="BI60" t="n">
        <v>3</v>
      </c>
      <c r="BJ60" t="n">
        <v>1</v>
      </c>
      <c r="BK60" t="n">
        <v>4</v>
      </c>
      <c r="BL60" t="n">
        <v>1</v>
      </c>
      <c r="BM60" t="n">
        <v>1</v>
      </c>
      <c r="BN60" t="n">
        <v>1</v>
      </c>
      <c r="BO60" t="n">
        <v>1</v>
      </c>
      <c r="BP60" t="n">
        <v>4</v>
      </c>
      <c r="BQ60" t="n">
        <v>1</v>
      </c>
      <c r="BR60" t="n">
        <v>11</v>
      </c>
      <c r="BS60" t="n">
        <v>1</v>
      </c>
      <c r="BT60" t="n">
        <v>1</v>
      </c>
      <c r="BU60" t="n">
        <v>11</v>
      </c>
      <c r="BV60" t="n">
        <v>3</v>
      </c>
      <c r="BW60" t="n">
        <v>1</v>
      </c>
      <c r="BX60" t="n">
        <v>11</v>
      </c>
      <c r="BY60" t="n">
        <v>3</v>
      </c>
      <c r="BZ60" t="n">
        <v>1</v>
      </c>
      <c r="CA60" t="n">
        <v>1</v>
      </c>
      <c r="CB60" t="n">
        <v>20</v>
      </c>
      <c r="CC60" t="n">
        <v>3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inlineStr"/>
    </row>
    <row r="61">
      <c r="A61" t="n">
        <v>54</v>
      </c>
      <c r="B61" t="inlineStr"/>
      <c r="C61" t="inlineStr">
        <is>
          <t>Sam Lord</t>
        </is>
      </c>
      <c r="D61" t="inlineStr">
        <is>
          <t>M/AM L</t>
        </is>
      </c>
      <c r="E61" t="inlineStr">
        <is>
          <t>England</t>
        </is>
      </c>
      <c r="F61" t="n">
        <v>44</v>
      </c>
      <c r="G61" t="n">
        <v>67</v>
      </c>
      <c r="H61" t="n">
        <v>19</v>
      </c>
      <c r="I61" t="n">
        <v>2407</v>
      </c>
      <c r="J61" t="inlineStr">
        <is>
          <t>$0</t>
        </is>
      </c>
      <c r="K61" t="n">
        <v>10000</v>
      </c>
      <c r="L61" t="inlineStr">
        <is>
          <t>False</t>
        </is>
      </c>
      <c r="M61" t="inlineStr">
        <is>
          <t>False</t>
        </is>
      </c>
      <c r="N61" t="n">
        <v>-224</v>
      </c>
      <c r="O61" t="n">
        <v>6200</v>
      </c>
      <c r="P61" t="n">
        <v>12</v>
      </c>
      <c r="Q61" t="n">
        <v>11</v>
      </c>
      <c r="R61" t="n">
        <v>9</v>
      </c>
      <c r="S61" t="n">
        <v>6</v>
      </c>
      <c r="T61" t="n">
        <v>11</v>
      </c>
      <c r="U61" t="n">
        <v>10</v>
      </c>
      <c r="V61" t="n">
        <v>10</v>
      </c>
      <c r="W61" t="n">
        <v>10</v>
      </c>
      <c r="X61" t="n">
        <v>10</v>
      </c>
      <c r="Y61" t="n">
        <v>10</v>
      </c>
      <c r="Z61" t="n">
        <v>10</v>
      </c>
      <c r="AA61" t="n">
        <v>10</v>
      </c>
      <c r="AB61" t="n">
        <v>10</v>
      </c>
      <c r="AC61" t="n">
        <v>12</v>
      </c>
      <c r="AD61" t="n">
        <v>13</v>
      </c>
      <c r="AE61" t="inlineStr">
        <is>
          <t>$4</t>
        </is>
      </c>
      <c r="AF61" t="n">
        <v>9</v>
      </c>
      <c r="AG61" t="n">
        <v>20</v>
      </c>
      <c r="AH61" t="n">
        <v>14</v>
      </c>
      <c r="AI61" t="n">
        <v>12</v>
      </c>
      <c r="AJ61" t="n">
        <v>9</v>
      </c>
      <c r="AK61" t="n">
        <v>7</v>
      </c>
      <c r="AL61" t="n">
        <v>5</v>
      </c>
      <c r="AM61" t="n">
        <v>2</v>
      </c>
      <c r="AN61" t="n">
        <v>2</v>
      </c>
      <c r="AO61" t="n">
        <v>2</v>
      </c>
      <c r="AP61" t="n">
        <v>1</v>
      </c>
      <c r="AQ61" t="n">
        <v>1</v>
      </c>
      <c r="AR61" t="n">
        <v>3</v>
      </c>
      <c r="AS61" t="n">
        <v>4</v>
      </c>
      <c r="AT61" t="n">
        <v>2</v>
      </c>
      <c r="AU61" t="n">
        <v>2</v>
      </c>
      <c r="AV61" t="n">
        <v>3</v>
      </c>
      <c r="AW61" t="n">
        <v>3</v>
      </c>
      <c r="AX61" t="n">
        <v>8</v>
      </c>
      <c r="AY61" t="n">
        <v>6</v>
      </c>
      <c r="AZ61" t="n">
        <v>2</v>
      </c>
      <c r="BA61" t="n">
        <v>7</v>
      </c>
      <c r="BB61" t="n">
        <v>3</v>
      </c>
      <c r="BC61" t="n">
        <v>6</v>
      </c>
      <c r="BD61" t="n">
        <v>9</v>
      </c>
      <c r="BE61" t="n">
        <v>5</v>
      </c>
      <c r="BF61" t="n">
        <v>1</v>
      </c>
      <c r="BG61" t="n">
        <v>4</v>
      </c>
      <c r="BH61" t="n">
        <v>1</v>
      </c>
      <c r="BI61" t="n">
        <v>6</v>
      </c>
      <c r="BJ61" t="n">
        <v>6</v>
      </c>
      <c r="BK61" t="n">
        <v>11</v>
      </c>
      <c r="BL61" t="n">
        <v>3</v>
      </c>
      <c r="BM61" t="n">
        <v>10</v>
      </c>
      <c r="BN61" t="n">
        <v>8</v>
      </c>
      <c r="BO61" t="n">
        <v>1</v>
      </c>
      <c r="BP61" t="n">
        <v>8</v>
      </c>
      <c r="BQ61" t="n">
        <v>1</v>
      </c>
      <c r="BR61" t="n">
        <v>3</v>
      </c>
      <c r="BS61" t="n">
        <v>5</v>
      </c>
      <c r="BT61" t="n">
        <v>2</v>
      </c>
      <c r="BU61" t="n">
        <v>4</v>
      </c>
      <c r="BV61" t="n">
        <v>10</v>
      </c>
      <c r="BW61" t="n">
        <v>1</v>
      </c>
      <c r="BX61" t="n">
        <v>4</v>
      </c>
      <c r="BY61" t="n">
        <v>8</v>
      </c>
      <c r="BZ61" t="n">
        <v>1</v>
      </c>
      <c r="CA61" t="n">
        <v>1</v>
      </c>
      <c r="CB61" t="n">
        <v>1</v>
      </c>
      <c r="CC61" t="n">
        <v>4</v>
      </c>
      <c r="CD61" t="n">
        <v>1</v>
      </c>
      <c r="CE61" t="n">
        <v>1</v>
      </c>
      <c r="CF61" t="n">
        <v>1</v>
      </c>
      <c r="CG61" t="n">
        <v>16</v>
      </c>
      <c r="CH61" t="n">
        <v>1</v>
      </c>
      <c r="CI61" t="inlineStr"/>
    </row>
    <row r="62">
      <c r="A62" t="n">
        <v>-1</v>
      </c>
      <c r="B62" t="inlineStr"/>
      <c r="C62" t="inlineStr">
        <is>
          <t>Sean Costelloe</t>
        </is>
      </c>
      <c r="D62" t="inlineStr">
        <is>
          <t>M/AM C</t>
        </is>
      </c>
      <c r="E62" t="inlineStr">
        <is>
          <t>Republic of Ireland</t>
        </is>
      </c>
      <c r="F62" t="n">
        <v>49</v>
      </c>
      <c r="G62" t="n">
        <v>75</v>
      </c>
      <c r="H62" t="n">
        <v>20</v>
      </c>
      <c r="I62" t="n">
        <v>2469</v>
      </c>
      <c r="J62" t="inlineStr">
        <is>
          <t>$0</t>
        </is>
      </c>
      <c r="K62" t="n">
        <v>10000</v>
      </c>
      <c r="L62" t="inlineStr">
        <is>
          <t>False</t>
        </is>
      </c>
      <c r="M62" t="inlineStr">
        <is>
          <t>False</t>
        </is>
      </c>
      <c r="N62" t="n">
        <v>-224</v>
      </c>
      <c r="O62" t="n">
        <v>6050</v>
      </c>
      <c r="P62" t="n">
        <v>9</v>
      </c>
      <c r="Q62" t="n">
        <v>7</v>
      </c>
      <c r="R62" t="n">
        <v>13</v>
      </c>
      <c r="S62" t="n">
        <v>5</v>
      </c>
      <c r="T62" t="n">
        <v>12</v>
      </c>
      <c r="U62" t="n">
        <v>18</v>
      </c>
      <c r="V62" t="n">
        <v>12</v>
      </c>
      <c r="W62" t="n">
        <v>6</v>
      </c>
      <c r="X62" t="n">
        <v>9</v>
      </c>
      <c r="Y62" t="n">
        <v>10</v>
      </c>
      <c r="Z62" t="n">
        <v>9</v>
      </c>
      <c r="AA62" t="n">
        <v>13</v>
      </c>
      <c r="AB62" t="n">
        <v>14</v>
      </c>
      <c r="AC62" t="n">
        <v>13</v>
      </c>
      <c r="AD62" t="n">
        <v>13</v>
      </c>
      <c r="AE62" t="inlineStr">
        <is>
          <t>$6</t>
        </is>
      </c>
      <c r="AF62" t="n">
        <v>7</v>
      </c>
      <c r="AG62" t="n">
        <v>4</v>
      </c>
      <c r="AH62" t="n">
        <v>12</v>
      </c>
      <c r="AI62" t="n">
        <v>11</v>
      </c>
      <c r="AJ62" t="n">
        <v>20</v>
      </c>
      <c r="AK62" t="n">
        <v>8</v>
      </c>
      <c r="AL62" t="n">
        <v>3</v>
      </c>
      <c r="AM62" t="n">
        <v>2</v>
      </c>
      <c r="AN62" t="n">
        <v>2</v>
      </c>
      <c r="AO62" t="n">
        <v>2</v>
      </c>
      <c r="AP62" t="n">
        <v>3</v>
      </c>
      <c r="AQ62" t="n">
        <v>1</v>
      </c>
      <c r="AR62" t="n">
        <v>1</v>
      </c>
      <c r="AS62" t="n">
        <v>3</v>
      </c>
      <c r="AT62" t="n">
        <v>3</v>
      </c>
      <c r="AU62" t="n">
        <v>1</v>
      </c>
      <c r="AV62" t="n">
        <v>2</v>
      </c>
      <c r="AW62" t="n">
        <v>1</v>
      </c>
      <c r="AX62" t="n">
        <v>5</v>
      </c>
      <c r="AY62" t="n">
        <v>9</v>
      </c>
      <c r="AZ62" t="n">
        <v>3</v>
      </c>
      <c r="BA62" t="n">
        <v>10</v>
      </c>
      <c r="BB62" t="n">
        <v>4</v>
      </c>
      <c r="BC62" t="n">
        <v>6</v>
      </c>
      <c r="BD62" t="n">
        <v>13</v>
      </c>
      <c r="BE62" t="n">
        <v>10</v>
      </c>
      <c r="BF62" t="n">
        <v>10</v>
      </c>
      <c r="BG62" t="n">
        <v>8</v>
      </c>
      <c r="BH62" t="n">
        <v>6</v>
      </c>
      <c r="BI62" t="n">
        <v>6</v>
      </c>
      <c r="BJ62" t="n">
        <v>10</v>
      </c>
      <c r="BK62" t="n">
        <v>7</v>
      </c>
      <c r="BL62" t="n">
        <v>4</v>
      </c>
      <c r="BM62" t="n">
        <v>6</v>
      </c>
      <c r="BN62" t="n">
        <v>11</v>
      </c>
      <c r="BO62" t="n">
        <v>12</v>
      </c>
      <c r="BP62" t="n">
        <v>9</v>
      </c>
      <c r="BQ62" t="n">
        <v>4</v>
      </c>
      <c r="BR62" t="n">
        <v>7</v>
      </c>
      <c r="BS62" t="n">
        <v>7</v>
      </c>
      <c r="BT62" t="n">
        <v>1</v>
      </c>
      <c r="BU62" t="n">
        <v>3</v>
      </c>
      <c r="BV62" t="n">
        <v>10</v>
      </c>
      <c r="BW62" t="n">
        <v>2</v>
      </c>
      <c r="BX62" t="n">
        <v>6</v>
      </c>
      <c r="BY62" t="n">
        <v>10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13</v>
      </c>
      <c r="CF62" t="n">
        <v>18</v>
      </c>
      <c r="CG62" t="n">
        <v>1</v>
      </c>
      <c r="CH62" t="n">
        <v>14</v>
      </c>
      <c r="CI62" t="inlineStr"/>
    </row>
    <row r="63">
      <c r="A63" t="n">
        <v>40</v>
      </c>
      <c r="B63" t="inlineStr"/>
      <c r="C63" t="inlineStr">
        <is>
          <t>Teddy Lawrence</t>
        </is>
      </c>
      <c r="D63" t="inlineStr">
        <is>
          <t>M/AM LC</t>
        </is>
      </c>
      <c r="E63" t="inlineStr">
        <is>
          <t>Republic of Ireland,Scotland,England</t>
        </is>
      </c>
      <c r="F63" t="n">
        <v>52</v>
      </c>
      <c r="G63" t="n">
        <v>73</v>
      </c>
      <c r="H63" t="n">
        <v>21</v>
      </c>
      <c r="I63" t="n">
        <v>3385</v>
      </c>
      <c r="J63" t="inlineStr">
        <is>
          <t>$0</t>
        </is>
      </c>
      <c r="K63" t="n">
        <v>10000</v>
      </c>
      <c r="L63" t="inlineStr">
        <is>
          <t>False</t>
        </is>
      </c>
      <c r="M63" t="inlineStr">
        <is>
          <t>False</t>
        </is>
      </c>
      <c r="N63" t="n">
        <v>-310</v>
      </c>
      <c r="O63" t="n">
        <v>6150</v>
      </c>
      <c r="P63" t="n">
        <v>8</v>
      </c>
      <c r="Q63" t="n">
        <v>10</v>
      </c>
      <c r="R63" t="n">
        <v>6</v>
      </c>
      <c r="S63" t="n">
        <v>14</v>
      </c>
      <c r="T63" t="n">
        <v>10</v>
      </c>
      <c r="U63" t="n">
        <v>10</v>
      </c>
      <c r="V63" t="n">
        <v>10</v>
      </c>
      <c r="W63" t="n">
        <v>10</v>
      </c>
      <c r="X63" t="n">
        <v>10</v>
      </c>
      <c r="Y63" t="n">
        <v>10</v>
      </c>
      <c r="Z63" t="n">
        <v>10</v>
      </c>
      <c r="AA63" t="n">
        <v>10</v>
      </c>
      <c r="AB63" t="n">
        <v>10</v>
      </c>
      <c r="AC63" t="n">
        <v>13</v>
      </c>
      <c r="AD63" t="n">
        <v>11</v>
      </c>
      <c r="AE63" t="inlineStr">
        <is>
          <t>$6</t>
        </is>
      </c>
      <c r="AF63" t="n">
        <v>4</v>
      </c>
      <c r="AG63" t="n">
        <v>9</v>
      </c>
      <c r="AH63" t="n">
        <v>13</v>
      </c>
      <c r="AI63" t="n">
        <v>9</v>
      </c>
      <c r="AJ63" t="n">
        <v>20</v>
      </c>
      <c r="AK63" t="n">
        <v>10</v>
      </c>
      <c r="AL63" t="n">
        <v>1</v>
      </c>
      <c r="AM63" t="n">
        <v>2</v>
      </c>
      <c r="AN63" t="n">
        <v>4</v>
      </c>
      <c r="AO63" t="n">
        <v>2</v>
      </c>
      <c r="AP63" t="n">
        <v>3</v>
      </c>
      <c r="AQ63" t="n">
        <v>2</v>
      </c>
      <c r="AR63" t="n">
        <v>1</v>
      </c>
      <c r="AS63" t="n">
        <v>3</v>
      </c>
      <c r="AT63" t="n">
        <v>2</v>
      </c>
      <c r="AU63" t="n">
        <v>1</v>
      </c>
      <c r="AV63" t="n">
        <v>3</v>
      </c>
      <c r="AW63" t="n">
        <v>4</v>
      </c>
      <c r="AX63" t="n">
        <v>8</v>
      </c>
      <c r="AY63" t="n">
        <v>8</v>
      </c>
      <c r="AZ63" t="n">
        <v>6</v>
      </c>
      <c r="BA63" t="n">
        <v>6</v>
      </c>
      <c r="BB63" t="n">
        <v>5</v>
      </c>
      <c r="BC63" t="n">
        <v>10</v>
      </c>
      <c r="BD63" t="n">
        <v>14</v>
      </c>
      <c r="BE63" t="n">
        <v>9</v>
      </c>
      <c r="BF63" t="n">
        <v>7</v>
      </c>
      <c r="BG63" t="n">
        <v>9</v>
      </c>
      <c r="BH63" t="n">
        <v>5</v>
      </c>
      <c r="BI63" t="n">
        <v>6</v>
      </c>
      <c r="BJ63" t="n">
        <v>8</v>
      </c>
      <c r="BK63" t="n">
        <v>7</v>
      </c>
      <c r="BL63" t="n">
        <v>3</v>
      </c>
      <c r="BM63" t="n">
        <v>8</v>
      </c>
      <c r="BN63" t="n">
        <v>7</v>
      </c>
      <c r="BO63" t="n">
        <v>9</v>
      </c>
      <c r="BP63" t="n">
        <v>12</v>
      </c>
      <c r="BQ63" t="n">
        <v>1</v>
      </c>
      <c r="BR63" t="n">
        <v>5</v>
      </c>
      <c r="BS63" t="n">
        <v>6</v>
      </c>
      <c r="BT63" t="n">
        <v>3</v>
      </c>
      <c r="BU63" t="n">
        <v>3</v>
      </c>
      <c r="BV63" t="n">
        <v>7</v>
      </c>
      <c r="BW63" t="n">
        <v>3</v>
      </c>
      <c r="BX63" t="n">
        <v>4</v>
      </c>
      <c r="BY63" t="n">
        <v>11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16</v>
      </c>
      <c r="CG63" t="n">
        <v>20</v>
      </c>
      <c r="CH63" t="n">
        <v>1</v>
      </c>
      <c r="CI63" t="inlineStr"/>
    </row>
    <row r="64">
      <c r="A64" t="n">
        <v>10</v>
      </c>
      <c r="B64" t="inlineStr"/>
      <c r="C64" t="inlineStr">
        <is>
          <t>Tommy Taggert</t>
        </is>
      </c>
      <c r="D64" t="inlineStr">
        <is>
          <t>D R</t>
        </is>
      </c>
      <c r="E64" t="inlineStr">
        <is>
          <t>Northern Ireland</t>
        </is>
      </c>
      <c r="F64" t="n">
        <v>35</v>
      </c>
      <c r="G64" t="n">
        <v>74</v>
      </c>
      <c r="H64" t="n">
        <v>21</v>
      </c>
      <c r="I64" t="n">
        <v>510</v>
      </c>
      <c r="J64" t="inlineStr">
        <is>
          <t>$0</t>
        </is>
      </c>
      <c r="K64" t="n">
        <v>10000</v>
      </c>
      <c r="L64" t="inlineStr">
        <is>
          <t>False</t>
        </is>
      </c>
      <c r="M64" t="inlineStr">
        <is>
          <t>False</t>
        </is>
      </c>
      <c r="N64" t="n">
        <v>-312</v>
      </c>
      <c r="O64" t="n">
        <v>6050</v>
      </c>
      <c r="P64" t="n">
        <v>6</v>
      </c>
      <c r="Q64" t="n">
        <v>10</v>
      </c>
      <c r="R64" t="n">
        <v>13</v>
      </c>
      <c r="S64" t="n">
        <v>5</v>
      </c>
      <c r="T64" t="n">
        <v>9</v>
      </c>
      <c r="U64" t="n">
        <v>10</v>
      </c>
      <c r="V64" t="n">
        <v>10</v>
      </c>
      <c r="W64" t="n">
        <v>10</v>
      </c>
      <c r="X64" t="n">
        <v>10</v>
      </c>
      <c r="Y64" t="n">
        <v>10</v>
      </c>
      <c r="Z64" t="n">
        <v>10</v>
      </c>
      <c r="AA64" t="n">
        <v>10</v>
      </c>
      <c r="AB64" t="n">
        <v>10</v>
      </c>
      <c r="AC64" t="n">
        <v>13</v>
      </c>
      <c r="AD64" t="n">
        <v>13</v>
      </c>
      <c r="AE64" t="inlineStr">
        <is>
          <t>$6</t>
        </is>
      </c>
      <c r="AF64" t="n">
        <v>12</v>
      </c>
      <c r="AG64" t="n">
        <v>7</v>
      </c>
      <c r="AH64" t="n">
        <v>11</v>
      </c>
      <c r="AI64" t="n">
        <v>13</v>
      </c>
      <c r="AJ64" t="n">
        <v>20</v>
      </c>
      <c r="AK64" t="n">
        <v>6</v>
      </c>
      <c r="AL64" t="n">
        <v>5</v>
      </c>
      <c r="AM64" t="n">
        <v>2</v>
      </c>
      <c r="AN64" t="n">
        <v>1</v>
      </c>
      <c r="AO64" t="n">
        <v>2</v>
      </c>
      <c r="AP64" t="n">
        <v>1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3</v>
      </c>
      <c r="AX64" t="n">
        <v>10</v>
      </c>
      <c r="AY64" t="n">
        <v>9</v>
      </c>
      <c r="AZ64" t="n">
        <v>5</v>
      </c>
      <c r="BA64" t="n">
        <v>3</v>
      </c>
      <c r="BB64" t="n">
        <v>4</v>
      </c>
      <c r="BC64" t="n">
        <v>9</v>
      </c>
      <c r="BD64" t="n">
        <v>13</v>
      </c>
      <c r="BE64" t="n">
        <v>7</v>
      </c>
      <c r="BF64" t="n">
        <v>7</v>
      </c>
      <c r="BG64" t="n">
        <v>2</v>
      </c>
      <c r="BH64" t="n">
        <v>5</v>
      </c>
      <c r="BI64" t="n">
        <v>6</v>
      </c>
      <c r="BJ64" t="n">
        <v>2</v>
      </c>
      <c r="BK64" t="n">
        <v>5</v>
      </c>
      <c r="BL64" t="n">
        <v>4</v>
      </c>
      <c r="BM64" t="n">
        <v>10</v>
      </c>
      <c r="BN64" t="n">
        <v>3</v>
      </c>
      <c r="BO64" t="n">
        <v>1</v>
      </c>
      <c r="BP64" t="n">
        <v>5</v>
      </c>
      <c r="BQ64" t="n">
        <v>1</v>
      </c>
      <c r="BR64" t="n">
        <v>6</v>
      </c>
      <c r="BS64" t="n">
        <v>3</v>
      </c>
      <c r="BT64" t="n">
        <v>4</v>
      </c>
      <c r="BU64" t="n">
        <v>5</v>
      </c>
      <c r="BV64" t="n">
        <v>6</v>
      </c>
      <c r="BW64" t="n">
        <v>1</v>
      </c>
      <c r="BX64" t="n">
        <v>8</v>
      </c>
      <c r="BY64" t="n">
        <v>7</v>
      </c>
      <c r="BZ64" t="n">
        <v>1</v>
      </c>
      <c r="CA64" t="n">
        <v>20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inlineStr"/>
    </row>
    <row r="65">
      <c r="A65" t="n">
        <v>-1</v>
      </c>
      <c r="B65" t="inlineStr"/>
      <c r="C65" t="inlineStr">
        <is>
          <t>Will St Clair-Burton</t>
        </is>
      </c>
      <c r="D65" t="inlineStr">
        <is>
          <t>M C</t>
        </is>
      </c>
      <c r="E65" t="inlineStr">
        <is>
          <t>England</t>
        </is>
      </c>
      <c r="F65" t="n">
        <v>31</v>
      </c>
      <c r="G65" t="n">
        <v>75</v>
      </c>
      <c r="H65" t="n">
        <v>21</v>
      </c>
      <c r="I65" t="n">
        <v>1696</v>
      </c>
      <c r="J65" t="inlineStr">
        <is>
          <t>$0</t>
        </is>
      </c>
      <c r="K65" t="n">
        <v>10000</v>
      </c>
      <c r="L65" t="inlineStr">
        <is>
          <t>False</t>
        </is>
      </c>
      <c r="M65" t="inlineStr">
        <is>
          <t>False</t>
        </is>
      </c>
      <c r="N65" t="n">
        <v>-310</v>
      </c>
      <c r="O65" t="n">
        <v>6200</v>
      </c>
      <c r="P65" t="n">
        <v>12</v>
      </c>
      <c r="Q65" t="n">
        <v>6</v>
      </c>
      <c r="R65" t="n">
        <v>3</v>
      </c>
      <c r="S65" t="n">
        <v>5</v>
      </c>
      <c r="T65" t="n">
        <v>13</v>
      </c>
      <c r="U65" t="n">
        <v>10</v>
      </c>
      <c r="V65" t="n">
        <v>10</v>
      </c>
      <c r="W65" t="n">
        <v>9</v>
      </c>
      <c r="X65" t="n">
        <v>10</v>
      </c>
      <c r="Y65" t="n">
        <v>10</v>
      </c>
      <c r="Z65" t="n">
        <v>10</v>
      </c>
      <c r="AA65" t="n">
        <v>10</v>
      </c>
      <c r="AB65" t="n">
        <v>10</v>
      </c>
      <c r="AC65" t="n">
        <v>11</v>
      </c>
      <c r="AD65" t="n">
        <v>7</v>
      </c>
      <c r="AE65" t="inlineStr">
        <is>
          <t>$4</t>
        </is>
      </c>
      <c r="AF65" t="n">
        <v>11</v>
      </c>
      <c r="AG65" t="n">
        <v>15</v>
      </c>
      <c r="AH65" t="n">
        <v>14</v>
      </c>
      <c r="AI65" t="n">
        <v>11</v>
      </c>
      <c r="AJ65" t="n">
        <v>20</v>
      </c>
      <c r="AK65" t="n">
        <v>4</v>
      </c>
      <c r="AL65" t="n">
        <v>3</v>
      </c>
      <c r="AM65" t="n">
        <v>2</v>
      </c>
      <c r="AN65" t="n">
        <v>2</v>
      </c>
      <c r="AO65" t="n">
        <v>2</v>
      </c>
      <c r="AP65" t="n">
        <v>2</v>
      </c>
      <c r="AQ65" t="n">
        <v>1</v>
      </c>
      <c r="AR65" t="n">
        <v>3</v>
      </c>
      <c r="AS65" t="n">
        <v>3</v>
      </c>
      <c r="AT65" t="n">
        <v>1</v>
      </c>
      <c r="AU65" t="n">
        <v>1</v>
      </c>
      <c r="AV65" t="n">
        <v>2</v>
      </c>
      <c r="AW65" t="n">
        <v>2</v>
      </c>
      <c r="AX65" t="n">
        <v>9</v>
      </c>
      <c r="AY65" t="n">
        <v>5</v>
      </c>
      <c r="AZ65" t="n">
        <v>4</v>
      </c>
      <c r="BA65" t="n">
        <v>2</v>
      </c>
      <c r="BB65" t="n">
        <v>2</v>
      </c>
      <c r="BC65" t="n">
        <v>10</v>
      </c>
      <c r="BD65" t="n">
        <v>15</v>
      </c>
      <c r="BE65" t="n">
        <v>8</v>
      </c>
      <c r="BF65" t="n">
        <v>5</v>
      </c>
      <c r="BG65" t="n">
        <v>4</v>
      </c>
      <c r="BH65" t="n">
        <v>4</v>
      </c>
      <c r="BI65" t="n">
        <v>5</v>
      </c>
      <c r="BJ65" t="n">
        <v>11</v>
      </c>
      <c r="BK65" t="n">
        <v>9</v>
      </c>
      <c r="BL65" t="n">
        <v>3</v>
      </c>
      <c r="BM65" t="n">
        <v>3</v>
      </c>
      <c r="BN65" t="n">
        <v>1</v>
      </c>
      <c r="BO65" t="n">
        <v>1</v>
      </c>
      <c r="BP65" t="n">
        <v>8</v>
      </c>
      <c r="BQ65" t="n">
        <v>3</v>
      </c>
      <c r="BR65" t="n">
        <v>1</v>
      </c>
      <c r="BS65" t="n">
        <v>5</v>
      </c>
      <c r="BT65" t="n">
        <v>1</v>
      </c>
      <c r="BU65" t="n">
        <v>3</v>
      </c>
      <c r="BV65" t="n">
        <v>12</v>
      </c>
      <c r="BW65" t="n">
        <v>1</v>
      </c>
      <c r="BX65" t="n">
        <v>7</v>
      </c>
      <c r="BY65" t="n">
        <v>6</v>
      </c>
      <c r="BZ65" t="n">
        <v>1</v>
      </c>
      <c r="CA65" t="n">
        <v>1</v>
      </c>
      <c r="CB65" t="n">
        <v>1</v>
      </c>
      <c r="CC65" t="n">
        <v>1</v>
      </c>
      <c r="CD65" t="n">
        <v>14</v>
      </c>
      <c r="CE65" t="n">
        <v>1</v>
      </c>
      <c r="CF65" t="n">
        <v>1</v>
      </c>
      <c r="CG65" t="n">
        <v>1</v>
      </c>
      <c r="CH65" t="n">
        <v>1</v>
      </c>
      <c r="CI65" t="inlineStr"/>
    </row>
    <row r="66">
      <c r="A66" t="n">
        <v>48</v>
      </c>
      <c r="B66" t="inlineStr"/>
      <c r="C66" t="inlineStr">
        <is>
          <t>Zac Ford</t>
        </is>
      </c>
      <c r="D66" t="inlineStr">
        <is>
          <t>D C</t>
        </is>
      </c>
      <c r="E66" t="inlineStr">
        <is>
          <t>England</t>
        </is>
      </c>
      <c r="F66" t="n">
        <v>38</v>
      </c>
      <c r="G66" t="n">
        <v>83</v>
      </c>
      <c r="H66" t="n">
        <v>21</v>
      </c>
      <c r="I66" t="n">
        <v>454</v>
      </c>
      <c r="J66" t="inlineStr">
        <is>
          <t>$0</t>
        </is>
      </c>
      <c r="K66" t="n">
        <v>10000</v>
      </c>
      <c r="L66" t="inlineStr">
        <is>
          <t>False</t>
        </is>
      </c>
      <c r="M66" t="inlineStr">
        <is>
          <t>False</t>
        </is>
      </c>
      <c r="N66" t="n">
        <v>-309</v>
      </c>
      <c r="O66" t="n">
        <v>6150</v>
      </c>
      <c r="P66" t="n">
        <v>9</v>
      </c>
      <c r="Q66" t="n">
        <v>13</v>
      </c>
      <c r="R66" t="n">
        <v>10</v>
      </c>
      <c r="S66" t="n">
        <v>6</v>
      </c>
      <c r="T66" t="n">
        <v>9</v>
      </c>
      <c r="U66" t="n">
        <v>10</v>
      </c>
      <c r="V66" t="n">
        <v>10</v>
      </c>
      <c r="W66" t="n">
        <v>10</v>
      </c>
      <c r="X66" t="n">
        <v>11</v>
      </c>
      <c r="Y66" t="n">
        <v>11</v>
      </c>
      <c r="Z66" t="n">
        <v>10</v>
      </c>
      <c r="AA66" t="n">
        <v>10</v>
      </c>
      <c r="AB66" t="n">
        <v>10</v>
      </c>
      <c r="AC66" t="n">
        <v>2</v>
      </c>
      <c r="AD66" t="n">
        <v>4</v>
      </c>
      <c r="AE66" t="inlineStr">
        <is>
          <t>$5</t>
        </is>
      </c>
      <c r="AF66" t="n">
        <v>16</v>
      </c>
      <c r="AG66" t="n">
        <v>14</v>
      </c>
      <c r="AH66" t="n">
        <v>13</v>
      </c>
      <c r="AI66" t="n">
        <v>5</v>
      </c>
      <c r="AJ66" t="n">
        <v>20</v>
      </c>
      <c r="AK66" t="n">
        <v>4</v>
      </c>
      <c r="AL66" t="n">
        <v>5</v>
      </c>
      <c r="AM66" t="n">
        <v>1</v>
      </c>
      <c r="AN66" t="n">
        <v>1</v>
      </c>
      <c r="AO66" t="n">
        <v>3</v>
      </c>
      <c r="AP66" t="n">
        <v>3</v>
      </c>
      <c r="AQ66" t="n">
        <v>3</v>
      </c>
      <c r="AR66" t="n">
        <v>3</v>
      </c>
      <c r="AS66" t="n">
        <v>2</v>
      </c>
      <c r="AT66" t="n">
        <v>2</v>
      </c>
      <c r="AU66" t="n">
        <v>2</v>
      </c>
      <c r="AV66" t="n">
        <v>3</v>
      </c>
      <c r="AW66" t="n">
        <v>3</v>
      </c>
      <c r="AX66" t="n">
        <v>15</v>
      </c>
      <c r="AY66" t="n">
        <v>4</v>
      </c>
      <c r="AZ66" t="n">
        <v>8</v>
      </c>
      <c r="BA66" t="n">
        <v>2</v>
      </c>
      <c r="BB66" t="n">
        <v>7</v>
      </c>
      <c r="BC66" t="n">
        <v>12</v>
      </c>
      <c r="BD66" t="n">
        <v>5</v>
      </c>
      <c r="BE66" t="n">
        <v>5</v>
      </c>
      <c r="BF66" t="n">
        <v>6</v>
      </c>
      <c r="BG66" t="n">
        <v>2</v>
      </c>
      <c r="BH66" t="n">
        <v>9</v>
      </c>
      <c r="BI66" t="n">
        <v>3</v>
      </c>
      <c r="BJ66" t="n">
        <v>5</v>
      </c>
      <c r="BK66" t="n">
        <v>4</v>
      </c>
      <c r="BL66" t="n">
        <v>1</v>
      </c>
      <c r="BM66" t="n">
        <v>1</v>
      </c>
      <c r="BN66" t="n">
        <v>1</v>
      </c>
      <c r="BO66" t="n">
        <v>1</v>
      </c>
      <c r="BP66" t="n">
        <v>4</v>
      </c>
      <c r="BQ66" t="n">
        <v>1</v>
      </c>
      <c r="BR66" t="n">
        <v>10</v>
      </c>
      <c r="BS66" t="n">
        <v>1</v>
      </c>
      <c r="BT66" t="n">
        <v>2</v>
      </c>
      <c r="BU66" t="n">
        <v>10</v>
      </c>
      <c r="BV66" t="n">
        <v>7</v>
      </c>
      <c r="BW66" t="n">
        <v>1</v>
      </c>
      <c r="BX66" t="n">
        <v>12</v>
      </c>
      <c r="BY66" t="n">
        <v>7</v>
      </c>
      <c r="BZ66" t="n">
        <v>1</v>
      </c>
      <c r="CA66" t="n">
        <v>1</v>
      </c>
      <c r="CB66" t="n">
        <v>20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inlineStr"/>
    </row>
    <row r="67">
      <c r="A67" t="n">
        <v>55</v>
      </c>
      <c r="B67" t="inlineStr"/>
      <c r="C67" t="inlineStr">
        <is>
          <t>Ashley Nicholls</t>
        </is>
      </c>
      <c r="D67" t="inlineStr">
        <is>
          <t xml:space="preserve">ST </t>
        </is>
      </c>
      <c r="E67" t="inlineStr">
        <is>
          <t>England</t>
        </is>
      </c>
      <c r="F67" t="n">
        <v>16</v>
      </c>
      <c r="G67" t="n">
        <v>61</v>
      </c>
      <c r="H67" t="n">
        <v>17</v>
      </c>
      <c r="I67" t="n">
        <v>726</v>
      </c>
      <c r="J67" t="inlineStr">
        <is>
          <t>$1,716</t>
        </is>
      </c>
      <c r="K67" t="n">
        <v>9391</v>
      </c>
      <c r="L67" t="inlineStr">
        <is>
          <t>False</t>
        </is>
      </c>
      <c r="M67" t="inlineStr">
        <is>
          <t>False</t>
        </is>
      </c>
      <c r="N67" t="n">
        <v>35</v>
      </c>
      <c r="O67" t="n">
        <v>9300</v>
      </c>
      <c r="P67" t="n">
        <v>6</v>
      </c>
      <c r="Q67" t="n">
        <v>10</v>
      </c>
      <c r="R67" t="n">
        <v>7</v>
      </c>
      <c r="S67" t="n">
        <v>6</v>
      </c>
      <c r="T67" t="n">
        <v>8</v>
      </c>
      <c r="U67" t="n">
        <v>5</v>
      </c>
      <c r="V67" t="n">
        <v>14</v>
      </c>
      <c r="W67" t="n">
        <v>8</v>
      </c>
      <c r="X67" t="n">
        <v>5</v>
      </c>
      <c r="Y67" t="n">
        <v>9</v>
      </c>
      <c r="Z67" t="n">
        <v>12</v>
      </c>
      <c r="AA67" t="n">
        <v>12</v>
      </c>
      <c r="AB67" t="n">
        <v>11</v>
      </c>
      <c r="AC67" t="n">
        <v>10</v>
      </c>
      <c r="AD67" t="n">
        <v>10</v>
      </c>
      <c r="AE67" t="inlineStr">
        <is>
          <t>$3</t>
        </is>
      </c>
      <c r="AF67" t="n">
        <v>8</v>
      </c>
      <c r="AG67" t="n">
        <v>9</v>
      </c>
      <c r="AH67" t="n">
        <v>12</v>
      </c>
      <c r="AI67" t="n">
        <v>11</v>
      </c>
      <c r="AJ67" t="n">
        <v>20</v>
      </c>
      <c r="AK67" t="n">
        <v>5</v>
      </c>
      <c r="AL67" t="n">
        <v>1</v>
      </c>
      <c r="AM67" t="n">
        <v>1</v>
      </c>
      <c r="AN67" t="n">
        <v>3</v>
      </c>
      <c r="AO67" t="n">
        <v>3</v>
      </c>
      <c r="AP67" t="n">
        <v>1</v>
      </c>
      <c r="AQ67" t="n">
        <v>4</v>
      </c>
      <c r="AR67" t="n">
        <v>1</v>
      </c>
      <c r="AS67" t="n">
        <v>1</v>
      </c>
      <c r="AT67" t="n">
        <v>1</v>
      </c>
      <c r="AU67" t="n">
        <v>1</v>
      </c>
      <c r="AV67" t="n">
        <v>4</v>
      </c>
      <c r="AW67" t="n">
        <v>1</v>
      </c>
      <c r="AX67" t="n">
        <v>8</v>
      </c>
      <c r="AY67" t="n">
        <v>5</v>
      </c>
      <c r="AZ67" t="n">
        <v>7</v>
      </c>
      <c r="BA67" t="n">
        <v>8</v>
      </c>
      <c r="BB67" t="n">
        <v>2</v>
      </c>
      <c r="BC67" t="n">
        <v>4</v>
      </c>
      <c r="BD67" t="n">
        <v>13</v>
      </c>
      <c r="BE67" t="n">
        <v>11</v>
      </c>
      <c r="BF67" t="n">
        <v>10</v>
      </c>
      <c r="BG67" t="n">
        <v>6</v>
      </c>
      <c r="BH67" t="n">
        <v>1</v>
      </c>
      <c r="BI67" t="n">
        <v>4</v>
      </c>
      <c r="BJ67" t="n">
        <v>2</v>
      </c>
      <c r="BK67" t="n">
        <v>3</v>
      </c>
      <c r="BL67" t="n">
        <v>1</v>
      </c>
      <c r="BM67" t="n">
        <v>2</v>
      </c>
      <c r="BN67" t="n">
        <v>7</v>
      </c>
      <c r="BO67" t="n">
        <v>12</v>
      </c>
      <c r="BP67" t="n">
        <v>5</v>
      </c>
      <c r="BQ67" t="n">
        <v>2</v>
      </c>
      <c r="BR67" t="n">
        <v>4</v>
      </c>
      <c r="BS67" t="n">
        <v>2</v>
      </c>
      <c r="BT67" t="n">
        <v>1</v>
      </c>
      <c r="BU67" t="n">
        <v>1</v>
      </c>
      <c r="BV67" t="n">
        <v>1</v>
      </c>
      <c r="BW67" t="n">
        <v>4</v>
      </c>
      <c r="BX67" t="n">
        <v>1</v>
      </c>
      <c r="BY67" t="n">
        <v>10</v>
      </c>
      <c r="BZ67" t="n">
        <v>1</v>
      </c>
      <c r="CA67" t="n">
        <v>1</v>
      </c>
      <c r="CB67" t="n">
        <v>1</v>
      </c>
      <c r="CC67" t="n">
        <v>1</v>
      </c>
      <c r="CD67" t="n">
        <v>8</v>
      </c>
      <c r="CE67" t="n">
        <v>1</v>
      </c>
      <c r="CF67" t="n">
        <v>1</v>
      </c>
      <c r="CG67" t="n">
        <v>1</v>
      </c>
      <c r="CH67" t="n">
        <v>20</v>
      </c>
      <c r="CI67" t="inlineStr"/>
    </row>
    <row r="68">
      <c r="A68" t="n">
        <v>3</v>
      </c>
      <c r="B68" t="inlineStr"/>
      <c r="C68" t="inlineStr">
        <is>
          <t>Baillie Talmash</t>
        </is>
      </c>
      <c r="D68" t="inlineStr">
        <is>
          <t>D/WB/AM R</t>
        </is>
      </c>
      <c r="E68" t="inlineStr">
        <is>
          <t>England</t>
        </is>
      </c>
      <c r="F68" t="n">
        <v>55</v>
      </c>
      <c r="G68" t="n">
        <v>77</v>
      </c>
      <c r="H68" t="n">
        <v>16</v>
      </c>
      <c r="I68" t="n">
        <v>1106</v>
      </c>
      <c r="J68" t="inlineStr">
        <is>
          <t>$2,052</t>
        </is>
      </c>
      <c r="K68" t="n">
        <v>8747</v>
      </c>
      <c r="L68" t="inlineStr">
        <is>
          <t>False</t>
        </is>
      </c>
      <c r="M68" t="inlineStr">
        <is>
          <t>False</t>
        </is>
      </c>
      <c r="N68" t="n">
        <v>97</v>
      </c>
      <c r="O68" t="n">
        <v>9000</v>
      </c>
      <c r="P68" t="n">
        <v>7</v>
      </c>
      <c r="Q68" t="n">
        <v>11</v>
      </c>
      <c r="R68" t="n">
        <v>9</v>
      </c>
      <c r="S68" t="n">
        <v>12</v>
      </c>
      <c r="T68" t="n">
        <v>10</v>
      </c>
      <c r="U68" t="n">
        <v>10</v>
      </c>
      <c r="V68" t="n">
        <v>17</v>
      </c>
      <c r="W68" t="n">
        <v>10</v>
      </c>
      <c r="X68" t="n">
        <v>18</v>
      </c>
      <c r="Y68" t="n">
        <v>17</v>
      </c>
      <c r="Z68" t="n">
        <v>18</v>
      </c>
      <c r="AA68" t="n">
        <v>17</v>
      </c>
      <c r="AB68" t="n">
        <v>19</v>
      </c>
      <c r="AC68" t="n">
        <v>11</v>
      </c>
      <c r="AD68" t="n">
        <v>9</v>
      </c>
      <c r="AE68" t="inlineStr">
        <is>
          <t>$6</t>
        </is>
      </c>
      <c r="AF68" t="n">
        <v>10</v>
      </c>
      <c r="AG68" t="n">
        <v>13</v>
      </c>
      <c r="AH68" t="n">
        <v>15</v>
      </c>
      <c r="AI68" t="n">
        <v>9</v>
      </c>
      <c r="AJ68" t="n">
        <v>20</v>
      </c>
      <c r="AK68" t="n">
        <v>12</v>
      </c>
      <c r="AL68" t="n">
        <v>7</v>
      </c>
      <c r="AM68" t="n">
        <v>2</v>
      </c>
      <c r="AN68" t="n">
        <v>1</v>
      </c>
      <c r="AO68" t="n">
        <v>2</v>
      </c>
      <c r="AP68" t="n">
        <v>1</v>
      </c>
      <c r="AQ68" t="n">
        <v>3</v>
      </c>
      <c r="AR68" t="n">
        <v>2</v>
      </c>
      <c r="AS68" t="n">
        <v>1</v>
      </c>
      <c r="AT68" t="n">
        <v>3</v>
      </c>
      <c r="AU68" t="n">
        <v>2</v>
      </c>
      <c r="AV68" t="n">
        <v>3</v>
      </c>
      <c r="AW68" t="n">
        <v>3</v>
      </c>
      <c r="AX68" t="n">
        <v>10</v>
      </c>
      <c r="AY68" t="n">
        <v>7</v>
      </c>
      <c r="AZ68" t="n">
        <v>18</v>
      </c>
      <c r="BA68" t="n">
        <v>5</v>
      </c>
      <c r="BB68" t="n">
        <v>4</v>
      </c>
      <c r="BC68" t="n">
        <v>7</v>
      </c>
      <c r="BD68" t="n">
        <v>9</v>
      </c>
      <c r="BE68" t="n">
        <v>7</v>
      </c>
      <c r="BF68" t="n">
        <v>5</v>
      </c>
      <c r="BG68" t="n">
        <v>4</v>
      </c>
      <c r="BH68" t="n">
        <v>8</v>
      </c>
      <c r="BI68" t="n">
        <v>16</v>
      </c>
      <c r="BJ68" t="n">
        <v>7</v>
      </c>
      <c r="BK68" t="n">
        <v>16</v>
      </c>
      <c r="BL68" t="n">
        <v>5</v>
      </c>
      <c r="BM68" t="n">
        <v>5</v>
      </c>
      <c r="BN68" t="n">
        <v>6</v>
      </c>
      <c r="BO68" t="n">
        <v>1</v>
      </c>
      <c r="BP68" t="n">
        <v>6</v>
      </c>
      <c r="BQ68" t="n">
        <v>6</v>
      </c>
      <c r="BR68" t="n">
        <v>9</v>
      </c>
      <c r="BS68" t="n">
        <v>2</v>
      </c>
      <c r="BT68" t="n">
        <v>3</v>
      </c>
      <c r="BU68" t="n">
        <v>6</v>
      </c>
      <c r="BV68" t="n">
        <v>5</v>
      </c>
      <c r="BW68" t="n">
        <v>4</v>
      </c>
      <c r="BX68" t="n">
        <v>4</v>
      </c>
      <c r="BY68" t="n">
        <v>9</v>
      </c>
      <c r="BZ68" t="n">
        <v>1</v>
      </c>
      <c r="CA68" t="n">
        <v>20</v>
      </c>
      <c r="CB68" t="n">
        <v>1</v>
      </c>
      <c r="CC68" t="n">
        <v>5</v>
      </c>
      <c r="CD68" t="n">
        <v>1</v>
      </c>
      <c r="CE68" t="n">
        <v>16</v>
      </c>
      <c r="CF68" t="n">
        <v>1</v>
      </c>
      <c r="CG68" t="n">
        <v>1</v>
      </c>
      <c r="CH68" t="n">
        <v>1</v>
      </c>
      <c r="CI68" t="inlineStr"/>
    </row>
    <row r="69">
      <c r="A69" t="n">
        <v>59</v>
      </c>
      <c r="B69" t="inlineStr"/>
      <c r="C69" t="inlineStr">
        <is>
          <t>Cris Suker</t>
        </is>
      </c>
      <c r="D69" t="inlineStr">
        <is>
          <t>DM/M/AM RC</t>
        </is>
      </c>
      <c r="E69" t="inlineStr">
        <is>
          <t>England</t>
        </is>
      </c>
      <c r="F69" t="n">
        <v>38</v>
      </c>
      <c r="G69" t="n">
        <v>69</v>
      </c>
      <c r="H69" t="n">
        <v>16</v>
      </c>
      <c r="I69" t="n">
        <v>774</v>
      </c>
      <c r="J69" t="inlineStr">
        <is>
          <t>$1,737</t>
        </is>
      </c>
      <c r="K69" t="n">
        <v>9083</v>
      </c>
      <c r="L69" t="inlineStr">
        <is>
          <t>False</t>
        </is>
      </c>
      <c r="M69" t="inlineStr">
        <is>
          <t>False</t>
        </is>
      </c>
      <c r="N69" t="n">
        <v>89</v>
      </c>
      <c r="O69" t="n">
        <v>10000</v>
      </c>
      <c r="P69" t="n">
        <v>5</v>
      </c>
      <c r="Q69" t="n">
        <v>10</v>
      </c>
      <c r="R69" t="n">
        <v>14</v>
      </c>
      <c r="S69" t="n">
        <v>7</v>
      </c>
      <c r="T69" t="n">
        <v>5</v>
      </c>
      <c r="U69" t="n">
        <v>14</v>
      </c>
      <c r="V69" t="n">
        <v>16</v>
      </c>
      <c r="W69" t="n">
        <v>11</v>
      </c>
      <c r="X69" t="n">
        <v>4</v>
      </c>
      <c r="Y69" t="n">
        <v>12</v>
      </c>
      <c r="Z69" t="n">
        <v>14</v>
      </c>
      <c r="AA69" t="n">
        <v>12</v>
      </c>
      <c r="AB69" t="n">
        <v>12</v>
      </c>
      <c r="AC69" t="n">
        <v>10</v>
      </c>
      <c r="AD69" t="n">
        <v>10</v>
      </c>
      <c r="AE69" t="inlineStr">
        <is>
          <t>$8</t>
        </is>
      </c>
      <c r="AF69" t="n">
        <v>7</v>
      </c>
      <c r="AG69" t="n">
        <v>8</v>
      </c>
      <c r="AH69" t="n">
        <v>4</v>
      </c>
      <c r="AI69" t="n">
        <v>9</v>
      </c>
      <c r="AJ69" t="n">
        <v>20</v>
      </c>
      <c r="AK69" t="n">
        <v>9</v>
      </c>
      <c r="AL69" t="n">
        <v>4</v>
      </c>
      <c r="AM69" t="n">
        <v>2</v>
      </c>
      <c r="AN69" t="n">
        <v>3</v>
      </c>
      <c r="AO69" t="n">
        <v>1</v>
      </c>
      <c r="AP69" t="n">
        <v>3</v>
      </c>
      <c r="AQ69" t="n">
        <v>2</v>
      </c>
      <c r="AR69" t="n">
        <v>2</v>
      </c>
      <c r="AS69" t="n">
        <v>3</v>
      </c>
      <c r="AT69" t="n">
        <v>1</v>
      </c>
      <c r="AU69" t="n">
        <v>1</v>
      </c>
      <c r="AV69" t="n">
        <v>2</v>
      </c>
      <c r="AW69" t="n">
        <v>4</v>
      </c>
      <c r="AX69" t="n">
        <v>16</v>
      </c>
      <c r="AY69" t="n">
        <v>6</v>
      </c>
      <c r="AZ69" t="n">
        <v>6</v>
      </c>
      <c r="BA69" t="n">
        <v>6</v>
      </c>
      <c r="BB69" t="n">
        <v>5</v>
      </c>
      <c r="BC69" t="n">
        <v>9</v>
      </c>
      <c r="BD69" t="n">
        <v>15</v>
      </c>
      <c r="BE69" t="n">
        <v>13</v>
      </c>
      <c r="BF69" t="n">
        <v>14</v>
      </c>
      <c r="BG69" t="n">
        <v>11</v>
      </c>
      <c r="BH69" t="n">
        <v>5</v>
      </c>
      <c r="BI69" t="n">
        <v>12</v>
      </c>
      <c r="BJ69" t="n">
        <v>6</v>
      </c>
      <c r="BK69" t="n">
        <v>13</v>
      </c>
      <c r="BL69" t="n">
        <v>5</v>
      </c>
      <c r="BM69" t="n">
        <v>6</v>
      </c>
      <c r="BN69" t="n">
        <v>6</v>
      </c>
      <c r="BO69" t="n">
        <v>7</v>
      </c>
      <c r="BP69" t="n">
        <v>6</v>
      </c>
      <c r="BQ69" t="n">
        <v>9</v>
      </c>
      <c r="BR69" t="n">
        <v>3</v>
      </c>
      <c r="BS69" t="n">
        <v>5</v>
      </c>
      <c r="BT69" t="n">
        <v>3</v>
      </c>
      <c r="BU69" t="n">
        <v>5</v>
      </c>
      <c r="BV69" t="n">
        <v>11</v>
      </c>
      <c r="BW69" t="n">
        <v>3</v>
      </c>
      <c r="BX69" t="n">
        <v>3</v>
      </c>
      <c r="BY69" t="n">
        <v>6</v>
      </c>
      <c r="BZ69" t="n">
        <v>1</v>
      </c>
      <c r="CA69" t="n">
        <v>1</v>
      </c>
      <c r="CB69" t="n">
        <v>1</v>
      </c>
      <c r="CC69" t="n">
        <v>1</v>
      </c>
      <c r="CD69" t="n">
        <v>16</v>
      </c>
      <c r="CE69" t="n">
        <v>14</v>
      </c>
      <c r="CF69" t="n">
        <v>16</v>
      </c>
      <c r="CG69" t="n">
        <v>1</v>
      </c>
      <c r="CH69" t="n">
        <v>1</v>
      </c>
      <c r="CI69" t="inlineStr"/>
    </row>
    <row r="70">
      <c r="A70" t="n">
        <v>58</v>
      </c>
      <c r="B70" t="inlineStr"/>
      <c r="C70" t="inlineStr">
        <is>
          <t>Danny Stewart</t>
        </is>
      </c>
      <c r="D70" t="inlineStr">
        <is>
          <t>AM/ST RC</t>
        </is>
      </c>
      <c r="E70" t="inlineStr">
        <is>
          <t>England,Northern Ireland</t>
        </is>
      </c>
      <c r="F70" t="n">
        <v>31</v>
      </c>
      <c r="G70" t="n">
        <v>73</v>
      </c>
      <c r="H70" t="n">
        <v>16</v>
      </c>
      <c r="I70" t="n">
        <v>610</v>
      </c>
      <c r="J70" t="inlineStr">
        <is>
          <t>$1,441</t>
        </is>
      </c>
      <c r="K70" t="n">
        <v>9237</v>
      </c>
      <c r="L70" t="inlineStr">
        <is>
          <t>False</t>
        </is>
      </c>
      <c r="M70" t="inlineStr">
        <is>
          <t>False</t>
        </is>
      </c>
      <c r="N70" t="n">
        <v>88</v>
      </c>
      <c r="O70" t="n">
        <v>9800</v>
      </c>
      <c r="P70" t="n">
        <v>4</v>
      </c>
      <c r="Q70" t="n">
        <v>13</v>
      </c>
      <c r="R70" t="n">
        <v>9</v>
      </c>
      <c r="S70" t="n">
        <v>9</v>
      </c>
      <c r="T70" t="n">
        <v>9</v>
      </c>
      <c r="U70" t="n">
        <v>6</v>
      </c>
      <c r="V70" t="n">
        <v>5</v>
      </c>
      <c r="W70" t="n">
        <v>9</v>
      </c>
      <c r="X70" t="n">
        <v>14</v>
      </c>
      <c r="Y70" t="n">
        <v>11</v>
      </c>
      <c r="Z70" t="n">
        <v>12</v>
      </c>
      <c r="AA70" t="n">
        <v>13</v>
      </c>
      <c r="AB70" t="n">
        <v>11</v>
      </c>
      <c r="AC70" t="n">
        <v>14</v>
      </c>
      <c r="AD70" t="n">
        <v>11</v>
      </c>
      <c r="AE70" t="inlineStr">
        <is>
          <t>$7</t>
        </is>
      </c>
      <c r="AF70" t="n">
        <v>4</v>
      </c>
      <c r="AG70" t="n">
        <v>8</v>
      </c>
      <c r="AH70" t="n">
        <v>13</v>
      </c>
      <c r="AI70" t="n">
        <v>11</v>
      </c>
      <c r="AJ70" t="n">
        <v>20</v>
      </c>
      <c r="AK70" t="n">
        <v>7</v>
      </c>
      <c r="AL70" t="n">
        <v>2</v>
      </c>
      <c r="AM70" t="n">
        <v>3</v>
      </c>
      <c r="AN70" t="n">
        <v>2</v>
      </c>
      <c r="AO70" t="n">
        <v>2</v>
      </c>
      <c r="AP70" t="n">
        <v>3</v>
      </c>
      <c r="AQ70" t="n">
        <v>1</v>
      </c>
      <c r="AR70" t="n">
        <v>2</v>
      </c>
      <c r="AS70" t="n">
        <v>4</v>
      </c>
      <c r="AT70" t="n">
        <v>3</v>
      </c>
      <c r="AU70" t="n">
        <v>1</v>
      </c>
      <c r="AV70" t="n">
        <v>3</v>
      </c>
      <c r="AW70" t="n">
        <v>1</v>
      </c>
      <c r="AX70" t="n">
        <v>10</v>
      </c>
      <c r="AY70" t="n">
        <v>2</v>
      </c>
      <c r="AZ70" t="n">
        <v>18</v>
      </c>
      <c r="BA70" t="n">
        <v>4</v>
      </c>
      <c r="BB70" t="n">
        <v>2</v>
      </c>
      <c r="BC70" t="n">
        <v>5</v>
      </c>
      <c r="BD70" t="n">
        <v>3</v>
      </c>
      <c r="BE70" t="n">
        <v>8</v>
      </c>
      <c r="BF70" t="n">
        <v>4</v>
      </c>
      <c r="BG70" t="n">
        <v>7</v>
      </c>
      <c r="BH70" t="n">
        <v>1</v>
      </c>
      <c r="BI70" t="n">
        <v>14</v>
      </c>
      <c r="BJ70" t="n">
        <v>3</v>
      </c>
      <c r="BK70" t="n">
        <v>10</v>
      </c>
      <c r="BL70" t="n">
        <v>3</v>
      </c>
      <c r="BM70" t="n">
        <v>7</v>
      </c>
      <c r="BN70" t="n">
        <v>3</v>
      </c>
      <c r="BO70" t="n">
        <v>5</v>
      </c>
      <c r="BP70" t="n">
        <v>3</v>
      </c>
      <c r="BQ70" t="n">
        <v>1</v>
      </c>
      <c r="BR70" t="n">
        <v>4</v>
      </c>
      <c r="BS70" t="n">
        <v>2</v>
      </c>
      <c r="BT70" t="n">
        <v>1</v>
      </c>
      <c r="BU70" t="n">
        <v>5</v>
      </c>
      <c r="BV70" t="n">
        <v>7</v>
      </c>
      <c r="BW70" t="n">
        <v>4</v>
      </c>
      <c r="BX70" t="n">
        <v>1</v>
      </c>
      <c r="BY70" t="n">
        <v>8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16</v>
      </c>
      <c r="CF70" t="n">
        <v>16</v>
      </c>
      <c r="CG70" t="n">
        <v>1</v>
      </c>
      <c r="CH70" t="n">
        <v>20</v>
      </c>
      <c r="CI70" t="inlineStr"/>
    </row>
    <row r="71">
      <c r="A71" t="n">
        <v>-1</v>
      </c>
      <c r="B71" t="inlineStr"/>
      <c r="C71" t="inlineStr">
        <is>
          <t>Erdal Peker</t>
        </is>
      </c>
      <c r="D71" t="inlineStr">
        <is>
          <t>AM R</t>
        </is>
      </c>
      <c r="E71" t="inlineStr">
        <is>
          <t>England,Turkey</t>
        </is>
      </c>
      <c r="F71" t="n">
        <v>57</v>
      </c>
      <c r="G71" t="n">
        <v>98</v>
      </c>
      <c r="H71" t="n">
        <v>17</v>
      </c>
      <c r="I71" t="n">
        <v>1055</v>
      </c>
      <c r="J71" t="inlineStr">
        <is>
          <t>$3,415</t>
        </is>
      </c>
      <c r="K71" t="n">
        <v>9538</v>
      </c>
      <c r="L71" t="inlineStr">
        <is>
          <t>False</t>
        </is>
      </c>
      <c r="M71" t="inlineStr">
        <is>
          <t>False</t>
        </is>
      </c>
      <c r="N71" t="n">
        <v>35</v>
      </c>
      <c r="O71" t="n">
        <v>10000</v>
      </c>
      <c r="P71" t="n">
        <v>6</v>
      </c>
      <c r="Q71" t="n">
        <v>12</v>
      </c>
      <c r="R71" t="n">
        <v>12</v>
      </c>
      <c r="S71" t="n">
        <v>3</v>
      </c>
      <c r="T71" t="n">
        <v>11</v>
      </c>
      <c r="U71" t="n">
        <v>5</v>
      </c>
      <c r="V71" t="n">
        <v>10</v>
      </c>
      <c r="W71" t="n">
        <v>11</v>
      </c>
      <c r="X71" t="n">
        <v>10</v>
      </c>
      <c r="Y71" t="n">
        <v>12</v>
      </c>
      <c r="Z71" t="n">
        <v>11</v>
      </c>
      <c r="AA71" t="n">
        <v>9</v>
      </c>
      <c r="AB71" t="n">
        <v>10</v>
      </c>
      <c r="AC71" t="n">
        <v>15</v>
      </c>
      <c r="AD71" t="n">
        <v>13</v>
      </c>
      <c r="AE71" t="inlineStr">
        <is>
          <t>$13</t>
        </is>
      </c>
      <c r="AF71" t="n">
        <v>4</v>
      </c>
      <c r="AG71" t="n">
        <v>10</v>
      </c>
      <c r="AH71" t="n">
        <v>13</v>
      </c>
      <c r="AI71" t="n">
        <v>13</v>
      </c>
      <c r="AJ71" t="n">
        <v>20</v>
      </c>
      <c r="AK71" t="n">
        <v>9</v>
      </c>
      <c r="AL71" t="n">
        <v>2</v>
      </c>
      <c r="AM71" t="n">
        <v>3</v>
      </c>
      <c r="AN71" t="n">
        <v>3</v>
      </c>
      <c r="AO71" t="n">
        <v>2</v>
      </c>
      <c r="AP71" t="n">
        <v>2</v>
      </c>
      <c r="AQ71" t="n">
        <v>3</v>
      </c>
      <c r="AR71" t="n">
        <v>3</v>
      </c>
      <c r="AS71" t="n">
        <v>1</v>
      </c>
      <c r="AT71" t="n">
        <v>1</v>
      </c>
      <c r="AU71" t="n">
        <v>1</v>
      </c>
      <c r="AV71" t="n">
        <v>2</v>
      </c>
      <c r="AW71" t="n">
        <v>1</v>
      </c>
      <c r="AX71" t="n">
        <v>9</v>
      </c>
      <c r="AY71" t="n">
        <v>5</v>
      </c>
      <c r="AZ71" t="n">
        <v>8</v>
      </c>
      <c r="BA71" t="n">
        <v>5</v>
      </c>
      <c r="BB71" t="n">
        <v>3</v>
      </c>
      <c r="BC71" t="n">
        <v>6</v>
      </c>
      <c r="BD71" t="n">
        <v>8</v>
      </c>
      <c r="BE71" t="n">
        <v>12</v>
      </c>
      <c r="BF71" t="n">
        <v>6</v>
      </c>
      <c r="BG71" t="n">
        <v>7</v>
      </c>
      <c r="BH71" t="n">
        <v>1</v>
      </c>
      <c r="BI71" t="n">
        <v>2</v>
      </c>
      <c r="BJ71" t="n">
        <v>7</v>
      </c>
      <c r="BK71" t="n">
        <v>7</v>
      </c>
      <c r="BL71" t="n">
        <v>3</v>
      </c>
      <c r="BM71" t="n">
        <v>6</v>
      </c>
      <c r="BN71" t="n">
        <v>5</v>
      </c>
      <c r="BO71" t="n">
        <v>6</v>
      </c>
      <c r="BP71" t="n">
        <v>13</v>
      </c>
      <c r="BQ71" t="n">
        <v>1</v>
      </c>
      <c r="BR71" t="n">
        <v>1</v>
      </c>
      <c r="BS71" t="n">
        <v>2</v>
      </c>
      <c r="BT71" t="n">
        <v>3</v>
      </c>
      <c r="BU71" t="n">
        <v>2</v>
      </c>
      <c r="BV71" t="n">
        <v>7</v>
      </c>
      <c r="BW71" t="n">
        <v>2</v>
      </c>
      <c r="BX71" t="n">
        <v>1</v>
      </c>
      <c r="BY71" t="n">
        <v>11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20</v>
      </c>
      <c r="CF71" t="n">
        <v>10</v>
      </c>
      <c r="CG71" t="n">
        <v>1</v>
      </c>
      <c r="CH71" t="n">
        <v>1</v>
      </c>
      <c r="CI71" t="inlineStr">
        <is>
          <t>Mousehole AFC</t>
        </is>
      </c>
    </row>
    <row r="72">
      <c r="A72" t="n">
        <v>61</v>
      </c>
      <c r="B72" t="inlineStr"/>
      <c r="C72" t="inlineStr">
        <is>
          <t>Henry Gregory</t>
        </is>
      </c>
      <c r="D72" t="inlineStr">
        <is>
          <t>M/AM L</t>
        </is>
      </c>
      <c r="E72" t="inlineStr">
        <is>
          <t>England</t>
        </is>
      </c>
      <c r="F72" t="n">
        <v>61</v>
      </c>
      <c r="G72" t="n">
        <v>90</v>
      </c>
      <c r="H72" t="n">
        <v>16</v>
      </c>
      <c r="I72" t="n">
        <v>1117</v>
      </c>
      <c r="J72" t="inlineStr">
        <is>
          <t>$2,298</t>
        </is>
      </c>
      <c r="K72" t="n">
        <v>10000</v>
      </c>
      <c r="L72" t="inlineStr">
        <is>
          <t>False</t>
        </is>
      </c>
      <c r="M72" t="inlineStr">
        <is>
          <t>False</t>
        </is>
      </c>
      <c r="N72" t="n">
        <v>73</v>
      </c>
      <c r="O72" t="n">
        <v>6600</v>
      </c>
      <c r="P72" t="n">
        <v>7</v>
      </c>
      <c r="Q72" t="n">
        <v>16</v>
      </c>
      <c r="R72" t="n">
        <v>12</v>
      </c>
      <c r="S72" t="n">
        <v>9</v>
      </c>
      <c r="T72" t="n">
        <v>9</v>
      </c>
      <c r="U72" t="n">
        <v>7</v>
      </c>
      <c r="V72" t="n">
        <v>17</v>
      </c>
      <c r="W72" t="n">
        <v>12</v>
      </c>
      <c r="X72" t="n">
        <v>17</v>
      </c>
      <c r="Y72" t="n">
        <v>18</v>
      </c>
      <c r="Z72" t="n">
        <v>17</v>
      </c>
      <c r="AA72" t="n">
        <v>17</v>
      </c>
      <c r="AB72" t="n">
        <v>17</v>
      </c>
      <c r="AC72" t="n">
        <v>13</v>
      </c>
      <c r="AD72" t="n">
        <v>14</v>
      </c>
      <c r="AE72" t="inlineStr">
        <is>
          <t>$7</t>
        </is>
      </c>
      <c r="AF72" t="n">
        <v>1</v>
      </c>
      <c r="AG72" t="n">
        <v>9</v>
      </c>
      <c r="AH72" t="n">
        <v>14</v>
      </c>
      <c r="AI72" t="n">
        <v>12</v>
      </c>
      <c r="AJ72" t="n">
        <v>20</v>
      </c>
      <c r="AK72" t="n">
        <v>12</v>
      </c>
      <c r="AL72" t="n">
        <v>3</v>
      </c>
      <c r="AM72" t="n">
        <v>3</v>
      </c>
      <c r="AN72" t="n">
        <v>2</v>
      </c>
      <c r="AO72" t="n">
        <v>3</v>
      </c>
      <c r="AP72" t="n">
        <v>2</v>
      </c>
      <c r="AQ72" t="n">
        <v>2</v>
      </c>
      <c r="AR72" t="n">
        <v>3</v>
      </c>
      <c r="AS72" t="n">
        <v>1</v>
      </c>
      <c r="AT72" t="n">
        <v>2</v>
      </c>
      <c r="AU72" t="n">
        <v>2</v>
      </c>
      <c r="AV72" t="n">
        <v>1</v>
      </c>
      <c r="AW72" t="n">
        <v>4</v>
      </c>
      <c r="AX72" t="n">
        <v>11</v>
      </c>
      <c r="AY72" t="n">
        <v>6</v>
      </c>
      <c r="AZ72" t="n">
        <v>8</v>
      </c>
      <c r="BA72" t="n">
        <v>6</v>
      </c>
      <c r="BB72" t="n">
        <v>3</v>
      </c>
      <c r="BC72" t="n">
        <v>6</v>
      </c>
      <c r="BD72" t="n">
        <v>8</v>
      </c>
      <c r="BE72" t="n">
        <v>14</v>
      </c>
      <c r="BF72" t="n">
        <v>4</v>
      </c>
      <c r="BG72" t="n">
        <v>7</v>
      </c>
      <c r="BH72" t="n">
        <v>2</v>
      </c>
      <c r="BI72" t="n">
        <v>7</v>
      </c>
      <c r="BJ72" t="n">
        <v>7</v>
      </c>
      <c r="BK72" t="n">
        <v>6</v>
      </c>
      <c r="BL72" t="n">
        <v>4</v>
      </c>
      <c r="BM72" t="n">
        <v>9</v>
      </c>
      <c r="BN72" t="n">
        <v>8</v>
      </c>
      <c r="BO72" t="n">
        <v>5</v>
      </c>
      <c r="BP72" t="n">
        <v>9</v>
      </c>
      <c r="BQ72" t="n">
        <v>8</v>
      </c>
      <c r="BR72" t="n">
        <v>9</v>
      </c>
      <c r="BS72" t="n">
        <v>3</v>
      </c>
      <c r="BT72" t="n">
        <v>1</v>
      </c>
      <c r="BU72" t="n">
        <v>5</v>
      </c>
      <c r="BV72" t="n">
        <v>6</v>
      </c>
      <c r="BW72" t="n">
        <v>4</v>
      </c>
      <c r="BX72" t="n">
        <v>2</v>
      </c>
      <c r="BY72" t="n">
        <v>13</v>
      </c>
      <c r="BZ72" t="n">
        <v>1</v>
      </c>
      <c r="CA72" t="n">
        <v>2</v>
      </c>
      <c r="CB72" t="n">
        <v>1</v>
      </c>
      <c r="CC72" t="n">
        <v>2</v>
      </c>
      <c r="CD72" t="n">
        <v>1</v>
      </c>
      <c r="CE72" t="n">
        <v>1</v>
      </c>
      <c r="CF72" t="n">
        <v>1</v>
      </c>
      <c r="CG72" t="n">
        <v>16</v>
      </c>
      <c r="CH72" t="n">
        <v>1</v>
      </c>
      <c r="CI72" t="inlineStr"/>
    </row>
    <row r="73">
      <c r="A73" t="n">
        <v>51</v>
      </c>
      <c r="B73" t="inlineStr"/>
      <c r="C73" t="inlineStr">
        <is>
          <t>Jowan Purnell</t>
        </is>
      </c>
      <c r="D73" t="inlineStr">
        <is>
          <t>DM/M/AM C</t>
        </is>
      </c>
      <c r="E73" t="inlineStr">
        <is>
          <t>England,Northern Ireland</t>
        </is>
      </c>
      <c r="F73" t="n">
        <v>63</v>
      </c>
      <c r="G73" t="n">
        <v>95</v>
      </c>
      <c r="H73" t="n">
        <v>16</v>
      </c>
      <c r="I73" t="n">
        <v>1134</v>
      </c>
      <c r="J73" t="inlineStr">
        <is>
          <t>$2,306</t>
        </is>
      </c>
      <c r="K73" t="n">
        <v>5880</v>
      </c>
      <c r="L73" t="inlineStr">
        <is>
          <t>False</t>
        </is>
      </c>
      <c r="M73" t="inlineStr">
        <is>
          <t>False</t>
        </is>
      </c>
      <c r="N73" t="n">
        <v>175</v>
      </c>
      <c r="O73" t="n">
        <v>10000</v>
      </c>
      <c r="P73" t="n">
        <v>6</v>
      </c>
      <c r="Q73" t="n">
        <v>6</v>
      </c>
      <c r="R73" t="n">
        <v>13</v>
      </c>
      <c r="S73" t="n">
        <v>11</v>
      </c>
      <c r="T73" t="n">
        <v>9</v>
      </c>
      <c r="U73" t="n">
        <v>12</v>
      </c>
      <c r="V73" t="n">
        <v>15</v>
      </c>
      <c r="W73" t="n">
        <v>4</v>
      </c>
      <c r="X73" t="n">
        <v>19</v>
      </c>
      <c r="Y73" t="n">
        <v>18</v>
      </c>
      <c r="Z73" t="n">
        <v>18</v>
      </c>
      <c r="AA73" t="n">
        <v>19</v>
      </c>
      <c r="AB73" t="n">
        <v>18</v>
      </c>
      <c r="AC73" t="n">
        <v>9</v>
      </c>
      <c r="AD73" t="n">
        <v>10</v>
      </c>
      <c r="AE73" t="inlineStr">
        <is>
          <t>$12</t>
        </is>
      </c>
      <c r="AF73" t="n">
        <v>8</v>
      </c>
      <c r="AG73" t="n">
        <v>9</v>
      </c>
      <c r="AH73" t="n">
        <v>4</v>
      </c>
      <c r="AI73" t="n">
        <v>9</v>
      </c>
      <c r="AJ73" t="n">
        <v>20</v>
      </c>
      <c r="AK73" t="n">
        <v>12</v>
      </c>
      <c r="AL73" t="n">
        <v>5</v>
      </c>
      <c r="AM73" t="n">
        <v>1</v>
      </c>
      <c r="AN73" t="n">
        <v>4</v>
      </c>
      <c r="AO73" t="n">
        <v>3</v>
      </c>
      <c r="AP73" t="n">
        <v>3</v>
      </c>
      <c r="AQ73" t="n">
        <v>1</v>
      </c>
      <c r="AR73" t="n">
        <v>2</v>
      </c>
      <c r="AS73" t="n">
        <v>2</v>
      </c>
      <c r="AT73" t="n">
        <v>2</v>
      </c>
      <c r="AU73" t="n">
        <v>1</v>
      </c>
      <c r="AV73" t="n">
        <v>1</v>
      </c>
      <c r="AW73" t="n">
        <v>3</v>
      </c>
      <c r="AX73" t="n">
        <v>12</v>
      </c>
      <c r="AY73" t="n">
        <v>6</v>
      </c>
      <c r="AZ73" t="n">
        <v>5</v>
      </c>
      <c r="BA73" t="n">
        <v>8</v>
      </c>
      <c r="BB73" t="n">
        <v>6</v>
      </c>
      <c r="BC73" t="n">
        <v>13</v>
      </c>
      <c r="BD73" t="n">
        <v>3</v>
      </c>
      <c r="BE73" t="n">
        <v>9</v>
      </c>
      <c r="BF73" t="n">
        <v>7</v>
      </c>
      <c r="BG73" t="n">
        <v>9</v>
      </c>
      <c r="BH73" t="n">
        <v>10</v>
      </c>
      <c r="BI73" t="n">
        <v>8</v>
      </c>
      <c r="BJ73" t="n">
        <v>11</v>
      </c>
      <c r="BK73" t="n">
        <v>6</v>
      </c>
      <c r="BL73" t="n">
        <v>8</v>
      </c>
      <c r="BM73" t="n">
        <v>6</v>
      </c>
      <c r="BN73" t="n">
        <v>5</v>
      </c>
      <c r="BO73" t="n">
        <v>5</v>
      </c>
      <c r="BP73" t="n">
        <v>11</v>
      </c>
      <c r="BQ73" t="n">
        <v>4</v>
      </c>
      <c r="BR73" t="n">
        <v>1</v>
      </c>
      <c r="BS73" t="n">
        <v>6</v>
      </c>
      <c r="BT73" t="n">
        <v>4</v>
      </c>
      <c r="BU73" t="n">
        <v>8</v>
      </c>
      <c r="BV73" t="n">
        <v>14</v>
      </c>
      <c r="BW73" t="n">
        <v>6</v>
      </c>
      <c r="BX73" t="n">
        <v>8</v>
      </c>
      <c r="BY73" t="n">
        <v>6</v>
      </c>
      <c r="BZ73" t="n">
        <v>1</v>
      </c>
      <c r="CA73" t="n">
        <v>1</v>
      </c>
      <c r="CB73" t="n">
        <v>1</v>
      </c>
      <c r="CC73" t="n">
        <v>1</v>
      </c>
      <c r="CD73" t="n">
        <v>20</v>
      </c>
      <c r="CE73" t="n">
        <v>1</v>
      </c>
      <c r="CF73" t="n">
        <v>16</v>
      </c>
      <c r="CG73" t="n">
        <v>1</v>
      </c>
      <c r="CH73" t="n">
        <v>1</v>
      </c>
      <c r="CI73" t="inlineStr"/>
    </row>
    <row r="74">
      <c r="A74" t="n">
        <v>60</v>
      </c>
      <c r="B74" t="inlineStr"/>
      <c r="C74" t="inlineStr">
        <is>
          <t>Mamadou Kanté</t>
        </is>
      </c>
      <c r="D74" t="inlineStr">
        <is>
          <t>D RL</t>
        </is>
      </c>
      <c r="E74" t="inlineStr">
        <is>
          <t>England,Guinea</t>
        </is>
      </c>
      <c r="F74" t="n">
        <v>44</v>
      </c>
      <c r="G74" t="n">
        <v>63</v>
      </c>
      <c r="H74" t="n">
        <v>16</v>
      </c>
      <c r="I74" t="n">
        <v>998</v>
      </c>
      <c r="J74" t="inlineStr">
        <is>
          <t>$2,005</t>
        </is>
      </c>
      <c r="K74" t="n">
        <v>9150</v>
      </c>
      <c r="L74" t="inlineStr">
        <is>
          <t>False</t>
        </is>
      </c>
      <c r="M74" t="inlineStr">
        <is>
          <t>False</t>
        </is>
      </c>
      <c r="N74" t="n">
        <v>87</v>
      </c>
      <c r="O74" t="n">
        <v>9200</v>
      </c>
      <c r="P74" t="n">
        <v>6</v>
      </c>
      <c r="Q74" t="n">
        <v>11</v>
      </c>
      <c r="R74" t="n">
        <v>7</v>
      </c>
      <c r="S74" t="n">
        <v>7</v>
      </c>
      <c r="T74" t="n">
        <v>12</v>
      </c>
      <c r="U74" t="n">
        <v>12</v>
      </c>
      <c r="V74" t="n">
        <v>3</v>
      </c>
      <c r="W74" t="n">
        <v>8</v>
      </c>
      <c r="X74" t="n">
        <v>13</v>
      </c>
      <c r="Y74" t="n">
        <v>8</v>
      </c>
      <c r="Z74" t="n">
        <v>11</v>
      </c>
      <c r="AA74" t="n">
        <v>11</v>
      </c>
      <c r="AB74" t="n">
        <v>12</v>
      </c>
      <c r="AC74" t="n">
        <v>11</v>
      </c>
      <c r="AD74" t="n">
        <v>9</v>
      </c>
      <c r="AE74" t="inlineStr">
        <is>
          <t>$8</t>
        </is>
      </c>
      <c r="AF74" t="n">
        <v>9</v>
      </c>
      <c r="AG74" t="n">
        <v>20</v>
      </c>
      <c r="AH74" t="n">
        <v>11</v>
      </c>
      <c r="AI74" t="n">
        <v>10</v>
      </c>
      <c r="AJ74" t="n">
        <v>7</v>
      </c>
      <c r="AK74" t="n">
        <v>12</v>
      </c>
      <c r="AL74" t="n">
        <v>4</v>
      </c>
      <c r="AM74" t="n">
        <v>3</v>
      </c>
      <c r="AN74" t="n">
        <v>2</v>
      </c>
      <c r="AO74" t="n">
        <v>3</v>
      </c>
      <c r="AP74" t="n">
        <v>3</v>
      </c>
      <c r="AQ74" t="n">
        <v>3</v>
      </c>
      <c r="AR74" t="n">
        <v>3</v>
      </c>
      <c r="AS74" t="n">
        <v>1</v>
      </c>
      <c r="AT74" t="n">
        <v>1</v>
      </c>
      <c r="AU74" t="n">
        <v>3</v>
      </c>
      <c r="AV74" t="n">
        <v>2</v>
      </c>
      <c r="AW74" t="n">
        <v>3</v>
      </c>
      <c r="AX74" t="n">
        <v>10</v>
      </c>
      <c r="AY74" t="n">
        <v>8</v>
      </c>
      <c r="AZ74" t="n">
        <v>10</v>
      </c>
      <c r="BA74" t="n">
        <v>5</v>
      </c>
      <c r="BB74" t="n">
        <v>9</v>
      </c>
      <c r="BC74" t="n">
        <v>11</v>
      </c>
      <c r="BD74" t="n">
        <v>3</v>
      </c>
      <c r="BE74" t="n">
        <v>5</v>
      </c>
      <c r="BF74" t="n">
        <v>14</v>
      </c>
      <c r="BG74" t="n">
        <v>7</v>
      </c>
      <c r="BH74" t="n">
        <v>9</v>
      </c>
      <c r="BI74" t="n">
        <v>13</v>
      </c>
      <c r="BJ74" t="n">
        <v>5</v>
      </c>
      <c r="BK74" t="n">
        <v>8</v>
      </c>
      <c r="BL74" t="n">
        <v>5</v>
      </c>
      <c r="BM74" t="n">
        <v>7</v>
      </c>
      <c r="BN74" t="n">
        <v>7</v>
      </c>
      <c r="BO74" t="n">
        <v>1</v>
      </c>
      <c r="BP74" t="n">
        <v>6</v>
      </c>
      <c r="BQ74" t="n">
        <v>3</v>
      </c>
      <c r="BR74" t="n">
        <v>4</v>
      </c>
      <c r="BS74" t="n">
        <v>4</v>
      </c>
      <c r="BT74" t="n">
        <v>4</v>
      </c>
      <c r="BU74" t="n">
        <v>5</v>
      </c>
      <c r="BV74" t="n">
        <v>5</v>
      </c>
      <c r="BW74" t="n">
        <v>2</v>
      </c>
      <c r="BX74" t="n">
        <v>7</v>
      </c>
      <c r="BY74" t="n">
        <v>6</v>
      </c>
      <c r="BZ74" t="n">
        <v>1</v>
      </c>
      <c r="CA74" t="n">
        <v>16</v>
      </c>
      <c r="CB74" t="n">
        <v>1</v>
      </c>
      <c r="CC74" t="n">
        <v>20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inlineStr"/>
    </row>
    <row r="75">
      <c r="A75" t="n">
        <v>23</v>
      </c>
      <c r="B75" t="inlineStr"/>
      <c r="C75" t="inlineStr">
        <is>
          <t>Nathan Vaughan</t>
        </is>
      </c>
      <c r="D75" t="inlineStr">
        <is>
          <t>M/AM R</t>
        </is>
      </c>
      <c r="E75" t="inlineStr">
        <is>
          <t>England</t>
        </is>
      </c>
      <c r="F75" t="n">
        <v>37</v>
      </c>
      <c r="G75" t="n">
        <v>97</v>
      </c>
      <c r="H75" t="n">
        <v>16</v>
      </c>
      <c r="I75" t="n">
        <v>790</v>
      </c>
      <c r="J75" t="inlineStr">
        <is>
          <t>$1,774</t>
        </is>
      </c>
      <c r="K75" t="n">
        <v>9601</v>
      </c>
      <c r="L75" t="inlineStr">
        <is>
          <t>False</t>
        </is>
      </c>
      <c r="M75" t="inlineStr">
        <is>
          <t>False</t>
        </is>
      </c>
      <c r="N75" t="n">
        <v>82</v>
      </c>
      <c r="O75" t="n">
        <v>10000</v>
      </c>
      <c r="P75" t="n">
        <v>6</v>
      </c>
      <c r="Q75" t="n">
        <v>15</v>
      </c>
      <c r="R75" t="n">
        <v>10</v>
      </c>
      <c r="S75" t="n">
        <v>9</v>
      </c>
      <c r="T75" t="n">
        <v>14</v>
      </c>
      <c r="U75" t="n">
        <v>12</v>
      </c>
      <c r="V75" t="n">
        <v>16</v>
      </c>
      <c r="W75" t="n">
        <v>9</v>
      </c>
      <c r="X75" t="n">
        <v>18</v>
      </c>
      <c r="Y75" t="n">
        <v>16</v>
      </c>
      <c r="Z75" t="n">
        <v>17</v>
      </c>
      <c r="AA75" t="n">
        <v>17</v>
      </c>
      <c r="AB75" t="n">
        <v>18</v>
      </c>
      <c r="AC75" t="n">
        <v>11</v>
      </c>
      <c r="AD75" t="n">
        <v>8</v>
      </c>
      <c r="AE75" t="inlineStr">
        <is>
          <t>$13</t>
        </is>
      </c>
      <c r="AF75" t="n">
        <v>9</v>
      </c>
      <c r="AG75" t="n">
        <v>9</v>
      </c>
      <c r="AH75" t="n">
        <v>15</v>
      </c>
      <c r="AI75" t="n">
        <v>8</v>
      </c>
      <c r="AJ75" t="n">
        <v>20</v>
      </c>
      <c r="AK75" t="n">
        <v>11</v>
      </c>
      <c r="AL75" t="n">
        <v>7</v>
      </c>
      <c r="AM75" t="n">
        <v>3</v>
      </c>
      <c r="AN75" t="n">
        <v>2</v>
      </c>
      <c r="AO75" t="n">
        <v>2</v>
      </c>
      <c r="AP75" t="n">
        <v>1</v>
      </c>
      <c r="AQ75" t="n">
        <v>2</v>
      </c>
      <c r="AR75" t="n">
        <v>1</v>
      </c>
      <c r="AS75" t="n">
        <v>3</v>
      </c>
      <c r="AT75" t="n">
        <v>1</v>
      </c>
      <c r="AU75" t="n">
        <v>1</v>
      </c>
      <c r="AV75" t="n">
        <v>1</v>
      </c>
      <c r="AW75" t="n">
        <v>4</v>
      </c>
      <c r="AX75" t="n">
        <v>18</v>
      </c>
      <c r="AY75" t="n">
        <v>7</v>
      </c>
      <c r="AZ75" t="n">
        <v>5</v>
      </c>
      <c r="BA75" t="n">
        <v>6</v>
      </c>
      <c r="BB75" t="n">
        <v>4</v>
      </c>
      <c r="BC75" t="n">
        <v>5</v>
      </c>
      <c r="BD75" t="n">
        <v>5</v>
      </c>
      <c r="BE75" t="n">
        <v>10</v>
      </c>
      <c r="BF75" t="n">
        <v>6</v>
      </c>
      <c r="BG75" t="n">
        <v>5</v>
      </c>
      <c r="BH75" t="n">
        <v>4</v>
      </c>
      <c r="BI75" t="n">
        <v>10</v>
      </c>
      <c r="BJ75" t="n">
        <v>4</v>
      </c>
      <c r="BK75" t="n">
        <v>7</v>
      </c>
      <c r="BL75" t="n">
        <v>7</v>
      </c>
      <c r="BM75" t="n">
        <v>12</v>
      </c>
      <c r="BN75" t="n">
        <v>7</v>
      </c>
      <c r="BO75" t="n">
        <v>4</v>
      </c>
      <c r="BP75" t="n">
        <v>5</v>
      </c>
      <c r="BQ75" t="n">
        <v>11</v>
      </c>
      <c r="BR75" t="n">
        <v>1</v>
      </c>
      <c r="BS75" t="n">
        <v>3</v>
      </c>
      <c r="BT75" t="n">
        <v>3</v>
      </c>
      <c r="BU75" t="n">
        <v>3</v>
      </c>
      <c r="BV75" t="n">
        <v>8</v>
      </c>
      <c r="BW75" t="n">
        <v>6</v>
      </c>
      <c r="BX75" t="n">
        <v>3</v>
      </c>
      <c r="BY75" t="n">
        <v>7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16</v>
      </c>
      <c r="CF75" t="n">
        <v>1</v>
      </c>
      <c r="CG75" t="n">
        <v>1</v>
      </c>
      <c r="CH75" t="n">
        <v>1</v>
      </c>
      <c r="CI75" t="inlineStr"/>
    </row>
    <row r="76">
      <c r="A76" t="n">
        <v>32</v>
      </c>
      <c r="B76" t="inlineStr"/>
      <c r="C76" t="inlineStr">
        <is>
          <t>Paul Jarvis</t>
        </is>
      </c>
      <c r="D76" t="inlineStr">
        <is>
          <t>M/AM RL</t>
        </is>
      </c>
      <c r="E76" t="inlineStr">
        <is>
          <t>Wales,England</t>
        </is>
      </c>
      <c r="F76" t="n">
        <v>64</v>
      </c>
      <c r="G76" t="n">
        <v>86</v>
      </c>
      <c r="H76" t="n">
        <v>17</v>
      </c>
      <c r="I76" t="n">
        <v>924</v>
      </c>
      <c r="J76" t="inlineStr">
        <is>
          <t>$0</t>
        </is>
      </c>
      <c r="K76" t="n">
        <v>8614</v>
      </c>
      <c r="L76" t="inlineStr">
        <is>
          <t>False</t>
        </is>
      </c>
      <c r="M76" t="inlineStr">
        <is>
          <t>False</t>
        </is>
      </c>
      <c r="N76" t="n">
        <v>41</v>
      </c>
      <c r="O76" t="n">
        <v>10000</v>
      </c>
      <c r="P76" t="n">
        <v>6</v>
      </c>
      <c r="Q76" t="n">
        <v>10</v>
      </c>
      <c r="R76" t="n">
        <v>9</v>
      </c>
      <c r="S76" t="n">
        <v>12</v>
      </c>
      <c r="T76" t="n">
        <v>9</v>
      </c>
      <c r="U76" t="n">
        <v>17</v>
      </c>
      <c r="V76" t="n">
        <v>6</v>
      </c>
      <c r="W76" t="n">
        <v>6</v>
      </c>
      <c r="X76" t="n">
        <v>11</v>
      </c>
      <c r="Y76" t="n">
        <v>9</v>
      </c>
      <c r="Z76" t="n">
        <v>14</v>
      </c>
      <c r="AA76" t="n">
        <v>11</v>
      </c>
      <c r="AB76" t="n">
        <v>11</v>
      </c>
      <c r="AC76" t="n">
        <v>11</v>
      </c>
      <c r="AD76" t="n">
        <v>14</v>
      </c>
      <c r="AE76" t="inlineStr">
        <is>
          <t>$10</t>
        </is>
      </c>
      <c r="AF76" t="n">
        <v>3</v>
      </c>
      <c r="AG76" t="n">
        <v>20</v>
      </c>
      <c r="AH76" t="n">
        <v>7</v>
      </c>
      <c r="AI76" t="n">
        <v>14</v>
      </c>
      <c r="AJ76" t="n">
        <v>8</v>
      </c>
      <c r="AK76" t="n">
        <v>12</v>
      </c>
      <c r="AL76" t="n">
        <v>5</v>
      </c>
      <c r="AM76" t="n">
        <v>2</v>
      </c>
      <c r="AN76" t="n">
        <v>3</v>
      </c>
      <c r="AO76" t="n">
        <v>1</v>
      </c>
      <c r="AP76" t="n">
        <v>2</v>
      </c>
      <c r="AQ76" t="n">
        <v>3</v>
      </c>
      <c r="AR76" t="n">
        <v>3</v>
      </c>
      <c r="AS76" t="n">
        <v>1</v>
      </c>
      <c r="AT76" t="n">
        <v>3</v>
      </c>
      <c r="AU76" t="n">
        <v>2</v>
      </c>
      <c r="AV76" t="n">
        <v>1</v>
      </c>
      <c r="AW76" t="n">
        <v>2</v>
      </c>
      <c r="AX76" t="n">
        <v>12</v>
      </c>
      <c r="AY76" t="n">
        <v>7</v>
      </c>
      <c r="AZ76" t="n">
        <v>8</v>
      </c>
      <c r="BA76" t="n">
        <v>5</v>
      </c>
      <c r="BB76" t="n">
        <v>3</v>
      </c>
      <c r="BC76" t="n">
        <v>7</v>
      </c>
      <c r="BD76" t="n">
        <v>4</v>
      </c>
      <c r="BE76" t="n">
        <v>9</v>
      </c>
      <c r="BF76" t="n">
        <v>7</v>
      </c>
      <c r="BG76" t="n">
        <v>8</v>
      </c>
      <c r="BH76" t="n">
        <v>1</v>
      </c>
      <c r="BI76" t="n">
        <v>9</v>
      </c>
      <c r="BJ76" t="n">
        <v>5</v>
      </c>
      <c r="BK76" t="n">
        <v>14</v>
      </c>
      <c r="BL76" t="n">
        <v>4</v>
      </c>
      <c r="BM76" t="n">
        <v>9</v>
      </c>
      <c r="BN76" t="n">
        <v>11</v>
      </c>
      <c r="BO76" t="n">
        <v>5</v>
      </c>
      <c r="BP76" t="n">
        <v>7</v>
      </c>
      <c r="BQ76" t="n">
        <v>8</v>
      </c>
      <c r="BR76" t="n">
        <v>1</v>
      </c>
      <c r="BS76" t="n">
        <v>4</v>
      </c>
      <c r="BT76" t="n">
        <v>3</v>
      </c>
      <c r="BU76" t="n">
        <v>2</v>
      </c>
      <c r="BV76" t="n">
        <v>6</v>
      </c>
      <c r="BW76" t="n">
        <v>1</v>
      </c>
      <c r="BX76" t="n">
        <v>3</v>
      </c>
      <c r="BY76" t="n">
        <v>8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4</v>
      </c>
      <c r="CF76" t="n">
        <v>3</v>
      </c>
      <c r="CG76" t="n">
        <v>20</v>
      </c>
      <c r="CH76" t="n">
        <v>1</v>
      </c>
      <c r="CI76" t="inlineStr"/>
    </row>
    <row r="77">
      <c r="A77" t="n">
        <v>-1</v>
      </c>
      <c r="B77" t="inlineStr"/>
      <c r="C77" t="inlineStr">
        <is>
          <t>Scott Aldridge</t>
        </is>
      </c>
      <c r="D77" t="inlineStr">
        <is>
          <t>M/AM RL</t>
        </is>
      </c>
      <c r="E77" t="inlineStr">
        <is>
          <t>England</t>
        </is>
      </c>
      <c r="F77" t="n">
        <v>54</v>
      </c>
      <c r="G77" t="n">
        <v>59</v>
      </c>
      <c r="H77" t="n">
        <v>17</v>
      </c>
      <c r="I77" t="n">
        <v>1215</v>
      </c>
      <c r="J77" t="inlineStr">
        <is>
          <t>$3,337</t>
        </is>
      </c>
      <c r="K77" t="n">
        <v>9369</v>
      </c>
      <c r="L77" t="inlineStr">
        <is>
          <t>False</t>
        </is>
      </c>
      <c r="M77" t="inlineStr">
        <is>
          <t>False</t>
        </is>
      </c>
      <c r="N77" t="n">
        <v>27</v>
      </c>
      <c r="O77" t="n">
        <v>9900</v>
      </c>
      <c r="P77" t="n">
        <v>9</v>
      </c>
      <c r="Q77" t="n">
        <v>5</v>
      </c>
      <c r="R77" t="n">
        <v>13</v>
      </c>
      <c r="S77" t="n">
        <v>2</v>
      </c>
      <c r="T77" t="n">
        <v>13</v>
      </c>
      <c r="U77" t="n">
        <v>14</v>
      </c>
      <c r="V77" t="n">
        <v>8</v>
      </c>
      <c r="W77" t="n">
        <v>10</v>
      </c>
      <c r="X77" t="n">
        <v>11</v>
      </c>
      <c r="Y77" t="n">
        <v>12</v>
      </c>
      <c r="Z77" t="n">
        <v>3</v>
      </c>
      <c r="AA77" t="n">
        <v>12</v>
      </c>
      <c r="AB77" t="n">
        <v>13</v>
      </c>
      <c r="AC77" t="n">
        <v>15</v>
      </c>
      <c r="AD77" t="n">
        <v>11</v>
      </c>
      <c r="AE77" t="inlineStr">
        <is>
          <t>$6</t>
        </is>
      </c>
      <c r="AF77" t="n">
        <v>5</v>
      </c>
      <c r="AG77" t="n">
        <v>11</v>
      </c>
      <c r="AH77" t="n">
        <v>16</v>
      </c>
      <c r="AI77" t="n">
        <v>13</v>
      </c>
      <c r="AJ77" t="n">
        <v>20</v>
      </c>
      <c r="AK77" t="n">
        <v>10</v>
      </c>
      <c r="AL77" t="n">
        <v>3</v>
      </c>
      <c r="AM77" t="n">
        <v>3</v>
      </c>
      <c r="AN77" t="n">
        <v>3</v>
      </c>
      <c r="AO77" t="n">
        <v>1</v>
      </c>
      <c r="AP77" t="n">
        <v>3</v>
      </c>
      <c r="AQ77" t="n">
        <v>2</v>
      </c>
      <c r="AR77" t="n">
        <v>3</v>
      </c>
      <c r="AS77" t="n">
        <v>1</v>
      </c>
      <c r="AT77" t="n">
        <v>3</v>
      </c>
      <c r="AU77" t="n">
        <v>1</v>
      </c>
      <c r="AV77" t="n">
        <v>3</v>
      </c>
      <c r="AW77" t="n">
        <v>1</v>
      </c>
      <c r="AX77" t="n">
        <v>8</v>
      </c>
      <c r="AY77" t="n">
        <v>4</v>
      </c>
      <c r="AZ77" t="n">
        <v>4</v>
      </c>
      <c r="BA77" t="n">
        <v>5</v>
      </c>
      <c r="BB77" t="n">
        <v>3</v>
      </c>
      <c r="BC77" t="n">
        <v>5</v>
      </c>
      <c r="BD77" t="n">
        <v>4</v>
      </c>
      <c r="BE77" t="n">
        <v>6</v>
      </c>
      <c r="BF77" t="n">
        <v>9</v>
      </c>
      <c r="BG77" t="n">
        <v>6</v>
      </c>
      <c r="BH77" t="n">
        <v>3</v>
      </c>
      <c r="BI77" t="n">
        <v>6</v>
      </c>
      <c r="BJ77" t="n">
        <v>6</v>
      </c>
      <c r="BK77" t="n">
        <v>5</v>
      </c>
      <c r="BL77" t="n">
        <v>4</v>
      </c>
      <c r="BM77" t="n">
        <v>8</v>
      </c>
      <c r="BN77" t="n">
        <v>8</v>
      </c>
      <c r="BO77" t="n">
        <v>4</v>
      </c>
      <c r="BP77" t="n">
        <v>7</v>
      </c>
      <c r="BQ77" t="n">
        <v>4</v>
      </c>
      <c r="BR77" t="n">
        <v>5</v>
      </c>
      <c r="BS77" t="n">
        <v>5</v>
      </c>
      <c r="BT77" t="n">
        <v>3</v>
      </c>
      <c r="BU77" t="n">
        <v>3</v>
      </c>
      <c r="BV77" t="n">
        <v>6</v>
      </c>
      <c r="BW77" t="n">
        <v>1</v>
      </c>
      <c r="BX77" t="n">
        <v>4</v>
      </c>
      <c r="BY77" t="n">
        <v>10</v>
      </c>
      <c r="BZ77" t="n">
        <v>1</v>
      </c>
      <c r="CA77" t="n">
        <v>2</v>
      </c>
      <c r="CB77" t="n">
        <v>1</v>
      </c>
      <c r="CC77" t="n">
        <v>1</v>
      </c>
      <c r="CD77" t="n">
        <v>1</v>
      </c>
      <c r="CE77" t="n">
        <v>20</v>
      </c>
      <c r="CF77" t="n">
        <v>1</v>
      </c>
      <c r="CG77" t="n">
        <v>13</v>
      </c>
      <c r="CH77" t="n">
        <v>1</v>
      </c>
      <c r="CI77" t="inlineStr">
        <is>
          <t>Tonbridge Angels</t>
        </is>
      </c>
    </row>
    <row r="78">
      <c r="A78" t="n">
        <v>5</v>
      </c>
      <c r="B78" t="inlineStr"/>
      <c r="C78" t="inlineStr">
        <is>
          <t>Tyler Stalley</t>
        </is>
      </c>
      <c r="D78" t="inlineStr">
        <is>
          <t>D RC</t>
        </is>
      </c>
      <c r="E78" t="inlineStr">
        <is>
          <t>England</t>
        </is>
      </c>
      <c r="F78" t="n">
        <v>65</v>
      </c>
      <c r="G78" t="n">
        <v>91</v>
      </c>
      <c r="H78" t="n">
        <v>16</v>
      </c>
      <c r="I78" t="n">
        <v>1120</v>
      </c>
      <c r="J78" t="inlineStr">
        <is>
          <t>$2,178</t>
        </is>
      </c>
      <c r="K78" t="n">
        <v>6430</v>
      </c>
      <c r="L78" t="inlineStr">
        <is>
          <t>False</t>
        </is>
      </c>
      <c r="M78" t="inlineStr">
        <is>
          <t>False</t>
        </is>
      </c>
      <c r="N78" t="n">
        <v>158</v>
      </c>
      <c r="O78" t="n">
        <v>10000</v>
      </c>
      <c r="P78" t="n">
        <v>15</v>
      </c>
      <c r="Q78" t="n">
        <v>13</v>
      </c>
      <c r="R78" t="n">
        <v>12</v>
      </c>
      <c r="S78" t="n">
        <v>2</v>
      </c>
      <c r="T78" t="n">
        <v>11</v>
      </c>
      <c r="U78" t="n">
        <v>13</v>
      </c>
      <c r="V78" t="n">
        <v>17</v>
      </c>
      <c r="W78" t="n">
        <v>8</v>
      </c>
      <c r="X78" t="n">
        <v>17</v>
      </c>
      <c r="Y78" t="n">
        <v>17</v>
      </c>
      <c r="Z78" t="n">
        <v>17</v>
      </c>
      <c r="AA78" t="n">
        <v>18</v>
      </c>
      <c r="AB78" t="n">
        <v>18</v>
      </c>
      <c r="AC78" t="n">
        <v>7</v>
      </c>
      <c r="AD78" t="n">
        <v>8</v>
      </c>
      <c r="AE78" t="inlineStr">
        <is>
          <t>$13</t>
        </is>
      </c>
      <c r="AF78" t="n">
        <v>12</v>
      </c>
      <c r="AG78" t="n">
        <v>9</v>
      </c>
      <c r="AH78" t="n">
        <v>9</v>
      </c>
      <c r="AI78" t="n">
        <v>10</v>
      </c>
      <c r="AJ78" t="n">
        <v>20</v>
      </c>
      <c r="AK78" t="n">
        <v>7</v>
      </c>
      <c r="AL78" t="n">
        <v>9</v>
      </c>
      <c r="AM78" t="n">
        <v>2</v>
      </c>
      <c r="AN78" t="n">
        <v>2</v>
      </c>
      <c r="AO78" t="n">
        <v>3</v>
      </c>
      <c r="AP78" t="n">
        <v>3</v>
      </c>
      <c r="AQ78" t="n">
        <v>1</v>
      </c>
      <c r="AR78" t="n">
        <v>2</v>
      </c>
      <c r="AS78" t="n">
        <v>3</v>
      </c>
      <c r="AT78" t="n">
        <v>3</v>
      </c>
      <c r="AU78" t="n">
        <v>1</v>
      </c>
      <c r="AV78" t="n">
        <v>3</v>
      </c>
      <c r="AW78" t="n">
        <v>1</v>
      </c>
      <c r="AX78" t="n">
        <v>11</v>
      </c>
      <c r="AY78" t="n">
        <v>11</v>
      </c>
      <c r="AZ78" t="n">
        <v>7</v>
      </c>
      <c r="BA78" t="n">
        <v>3</v>
      </c>
      <c r="BB78" t="n">
        <v>10</v>
      </c>
      <c r="BC78" t="n">
        <v>8</v>
      </c>
      <c r="BD78" t="n">
        <v>11</v>
      </c>
      <c r="BE78" t="n">
        <v>8</v>
      </c>
      <c r="BF78" t="n">
        <v>8</v>
      </c>
      <c r="BG78" t="n">
        <v>6</v>
      </c>
      <c r="BH78" t="n">
        <v>12</v>
      </c>
      <c r="BI78" t="n">
        <v>7</v>
      </c>
      <c r="BJ78" t="n">
        <v>6</v>
      </c>
      <c r="BK78" t="n">
        <v>6</v>
      </c>
      <c r="BL78" t="n">
        <v>4</v>
      </c>
      <c r="BM78" t="n">
        <v>8</v>
      </c>
      <c r="BN78" t="n">
        <v>3</v>
      </c>
      <c r="BO78" t="n">
        <v>5</v>
      </c>
      <c r="BP78" t="n">
        <v>8</v>
      </c>
      <c r="BQ78" t="n">
        <v>5</v>
      </c>
      <c r="BR78" t="n">
        <v>12</v>
      </c>
      <c r="BS78" t="n">
        <v>4</v>
      </c>
      <c r="BT78" t="n">
        <v>2</v>
      </c>
      <c r="BU78" t="n">
        <v>15</v>
      </c>
      <c r="BV78" t="n">
        <v>6</v>
      </c>
      <c r="BW78" t="n">
        <v>2</v>
      </c>
      <c r="BX78" t="n">
        <v>10</v>
      </c>
      <c r="BY78" t="n">
        <v>5</v>
      </c>
      <c r="BZ78" t="n">
        <v>1</v>
      </c>
      <c r="CA78" t="n">
        <v>19</v>
      </c>
      <c r="CB78" t="n">
        <v>20</v>
      </c>
      <c r="CC78" t="n">
        <v>5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G101" sqref="A101:XFD1072"/>
    </sheetView>
  </sheetViews>
  <sheetFormatPr baseColWidth="8" defaultColWidth="8.7109375" defaultRowHeight="15"/>
  <cols>
    <col width="24.5703125" bestFit="1" customWidth="1" style="46" min="1" max="1"/>
    <col width="16.28515625" bestFit="1" customWidth="1" style="46" min="2" max="2"/>
    <col width="8.42578125" bestFit="1" customWidth="1" style="45" min="3" max="3"/>
    <col width="7.7109375" bestFit="1" customWidth="1" style="45" min="4" max="5"/>
    <col width="40.5703125" bestFit="1" customWidth="1" style="46" min="6" max="6"/>
    <col width="9.28515625" bestFit="1" customWidth="1" style="46" min="7" max="7"/>
    <col width="15.5703125" bestFit="1" customWidth="1" style="45" min="8" max="8"/>
    <col width="13.140625" bestFit="1" customWidth="1" style="46" min="9" max="9"/>
    <col width="11.140625" bestFit="1" customWidth="1" style="45" min="10" max="10"/>
    <col width="10.28515625" bestFit="1" customWidth="1" style="45" min="11" max="11"/>
    <col width="10.5703125" bestFit="1" customWidth="1" style="45" min="12" max="12"/>
    <col width="10.42578125" bestFit="1" customWidth="1" style="45" min="13" max="13"/>
    <col width="10.28515625" bestFit="1" customWidth="1" style="45" min="14" max="14"/>
    <col width="10.5703125" bestFit="1" customWidth="1" style="45" min="15" max="15"/>
    <col width="9.28515625" bestFit="1" customWidth="1" style="45" min="16" max="16"/>
    <col width="10.7109375" bestFit="1" customWidth="1" style="45" min="17" max="17"/>
    <col width="7.85546875" bestFit="1" customWidth="1" style="45" min="18" max="18"/>
    <col width="8.7109375" customWidth="1" style="3" min="19" max="26"/>
    <col width="8.7109375" customWidth="1" style="4" min="27" max="37"/>
    <col width="8.7109375" customWidth="1" style="5" min="38" max="51"/>
    <col width="8.7109375" customWidth="1" style="6" min="52" max="61"/>
    <col width="8.7109375" customWidth="1" style="13" min="62" max="65"/>
  </cols>
  <sheetData>
    <row r="1" ht="15" customFormat="1" customHeight="1" s="7" thickBot="1">
      <c r="A1" s="7" t="inlineStr">
        <is>
          <t>Name</t>
        </is>
      </c>
      <c r="B1" s="7" t="inlineStr">
        <is>
          <t>Best Position</t>
        </is>
      </c>
      <c r="C1" s="7" t="inlineStr">
        <is>
          <t>Age</t>
        </is>
      </c>
      <c r="D1" s="7" t="inlineStr">
        <is>
          <t>CA</t>
        </is>
      </c>
      <c r="E1" s="7" t="inlineStr">
        <is>
          <t>PA</t>
        </is>
      </c>
      <c r="F1" s="7" t="inlineStr">
        <is>
          <t>Nationalities</t>
        </is>
      </c>
      <c r="G1" s="7" t="inlineStr">
        <is>
          <t>Club</t>
        </is>
      </c>
      <c r="H1" s="7" t="inlineStr">
        <is>
          <t>Asking Price</t>
        </is>
      </c>
      <c r="I1" s="7" t="inlineStr">
        <is>
          <t>Positions</t>
        </is>
      </c>
      <c r="J1" s="7" t="inlineStr">
        <is>
          <t>Striker</t>
        </is>
      </c>
      <c r="K1" s="7" t="inlineStr">
        <is>
          <t>AM(L)</t>
        </is>
      </c>
      <c r="L1" s="7" t="inlineStr">
        <is>
          <t>AM(C)</t>
        </is>
      </c>
      <c r="M1" s="7" t="inlineStr">
        <is>
          <t>AM(R)</t>
        </is>
      </c>
      <c r="N1" s="7" t="inlineStr">
        <is>
          <t>DM(L)</t>
        </is>
      </c>
      <c r="O1" s="7" t="inlineStr">
        <is>
          <t>DM(R)</t>
        </is>
      </c>
      <c r="P1" s="7" t="inlineStr">
        <is>
          <t>D(C)</t>
        </is>
      </c>
      <c r="Q1" s="7" t="inlineStr">
        <is>
          <t>D(R/L)</t>
        </is>
      </c>
      <c r="R1" s="7" t="inlineStr">
        <is>
          <t>GK</t>
        </is>
      </c>
      <c r="S1" s="8" t="inlineStr">
        <is>
          <t>Acceleration</t>
        </is>
      </c>
      <c r="T1" s="8" t="inlineStr">
        <is>
          <t>Agility</t>
        </is>
      </c>
      <c r="U1" s="8" t="inlineStr">
        <is>
          <t>Balance</t>
        </is>
      </c>
      <c r="V1" s="8" t="inlineStr">
        <is>
          <t>Jumping</t>
        </is>
      </c>
      <c r="W1" s="8" t="inlineStr">
        <is>
          <t>Natural Fitness</t>
        </is>
      </c>
      <c r="X1" s="8" t="inlineStr">
        <is>
          <t>Pace</t>
        </is>
      </c>
      <c r="Y1" s="8" t="inlineStr">
        <is>
          <t>Stamina</t>
        </is>
      </c>
      <c r="Z1" s="8" t="inlineStr">
        <is>
          <t>Strength</t>
        </is>
      </c>
      <c r="AA1" s="9" t="inlineStr">
        <is>
          <t>Aerial Ability</t>
        </is>
      </c>
      <c r="AB1" s="9" t="inlineStr">
        <is>
          <t>Command of Area</t>
        </is>
      </c>
      <c r="AC1" s="9" t="inlineStr">
        <is>
          <t>Communication</t>
        </is>
      </c>
      <c r="AD1" s="9" t="inlineStr">
        <is>
          <t>Eccentricity</t>
        </is>
      </c>
      <c r="AE1" s="9" t="inlineStr">
        <is>
          <t>Handling</t>
        </is>
      </c>
      <c r="AF1" s="9" t="inlineStr">
        <is>
          <t>Kicking</t>
        </is>
      </c>
      <c r="AG1" s="9" t="inlineStr">
        <is>
          <t>One on Ones</t>
        </is>
      </c>
      <c r="AH1" s="9" t="inlineStr">
        <is>
          <t>Tendency to Punch</t>
        </is>
      </c>
      <c r="AI1" s="9" t="inlineStr">
        <is>
          <t>Reflexes</t>
        </is>
      </c>
      <c r="AJ1" s="9" t="inlineStr">
        <is>
          <t>Rushing Out</t>
        </is>
      </c>
      <c r="AK1" s="9" t="inlineStr">
        <is>
          <t>Throwing</t>
        </is>
      </c>
      <c r="AL1" s="10" t="inlineStr">
        <is>
          <t>Aggression</t>
        </is>
      </c>
      <c r="AM1" s="10" t="inlineStr">
        <is>
          <t>Anticipation</t>
        </is>
      </c>
      <c r="AN1" s="10" t="inlineStr">
        <is>
          <t>Bravery</t>
        </is>
      </c>
      <c r="AO1" s="10" t="inlineStr">
        <is>
          <t>Composure</t>
        </is>
      </c>
      <c r="AP1" s="10" t="inlineStr">
        <is>
          <t>Concentration</t>
        </is>
      </c>
      <c r="AQ1" s="10" t="inlineStr">
        <is>
          <t>Decisions</t>
        </is>
      </c>
      <c r="AR1" s="10" t="inlineStr">
        <is>
          <t>Determination</t>
        </is>
      </c>
      <c r="AS1" s="10" t="inlineStr">
        <is>
          <t>Flair</t>
        </is>
      </c>
      <c r="AT1" s="10" t="inlineStr">
        <is>
          <t>Leadership</t>
        </is>
      </c>
      <c r="AU1" s="10" t="inlineStr">
        <is>
          <t>Off The Ball</t>
        </is>
      </c>
      <c r="AV1" s="10" t="inlineStr">
        <is>
          <t>Positioning</t>
        </is>
      </c>
      <c r="AW1" s="10" t="inlineStr">
        <is>
          <t>Teamwork</t>
        </is>
      </c>
      <c r="AX1" s="10" t="inlineStr">
        <is>
          <t>Vision</t>
        </is>
      </c>
      <c r="AY1" s="10" t="inlineStr">
        <is>
          <t>Work Rate</t>
        </is>
      </c>
      <c r="AZ1" s="11" t="inlineStr">
        <is>
          <t>Crossing</t>
        </is>
      </c>
      <c r="BA1" s="11" t="inlineStr">
        <is>
          <t>Dribbling</t>
        </is>
      </c>
      <c r="BB1" s="11" t="inlineStr">
        <is>
          <t>Finishing</t>
        </is>
      </c>
      <c r="BC1" s="11" t="inlineStr">
        <is>
          <t>First Touch</t>
        </is>
      </c>
      <c r="BD1" s="11" t="inlineStr">
        <is>
          <t>Heading</t>
        </is>
      </c>
      <c r="BE1" s="11" t="inlineStr">
        <is>
          <t>Long Shots</t>
        </is>
      </c>
      <c r="BF1" s="11" t="inlineStr">
        <is>
          <t>Marking</t>
        </is>
      </c>
      <c r="BG1" s="11" t="inlineStr">
        <is>
          <t>Passing</t>
        </is>
      </c>
      <c r="BH1" s="11" t="inlineStr">
        <is>
          <t>Tackling</t>
        </is>
      </c>
      <c r="BI1" s="11" t="inlineStr">
        <is>
          <t>Technique</t>
        </is>
      </c>
      <c r="BJ1" s="12" t="inlineStr">
        <is>
          <t>Corners</t>
        </is>
      </c>
      <c r="BK1" s="12" t="inlineStr">
        <is>
          <t>Free Kicks</t>
        </is>
      </c>
      <c r="BL1" s="12" t="inlineStr">
        <is>
          <t>Long Throws</t>
        </is>
      </c>
      <c r="BM1" s="12" t="inlineStr">
        <is>
          <t>Penalty Taking</t>
        </is>
      </c>
    </row>
    <row r="2">
      <c r="A2">
        <f>IF(ISBLANK('Paste Full'!C2),"",'Paste Full'!C2)</f>
        <v/>
      </c>
      <c r="B2">
        <f>INDEX($J$1:$R$1, MATCH(MAX($J2:$R2), $J2:$R2, 0))</f>
        <v/>
      </c>
      <c r="C2" s="45">
        <f>IF(ISBLANK('Paste Full'!H2),"",'Paste Full'!H2)</f>
        <v/>
      </c>
      <c r="D2" s="45">
        <f>IF(ISBLANK('Paste Full'!F2),"",'Paste Full'!F2)</f>
        <v/>
      </c>
      <c r="E2" s="45">
        <f>IF(ISBLANK('Paste Full'!G2),"",'Paste Full'!G2)</f>
        <v/>
      </c>
      <c r="F2" s="21">
        <f>IF(ISBLANK('Paste Full'!E2),"",'Paste Full'!E2)</f>
        <v/>
      </c>
      <c r="G2">
        <f>IF(ISBLANK('Paste Full'!CI2),"",'Paste Full'!CI2)</f>
        <v/>
      </c>
      <c r="H2" s="21">
        <f>IF(ISBLANK('Paste Full'!J2),"",'Paste Full'!J2)</f>
        <v/>
      </c>
      <c r="I2" s="21">
        <f>IF(ISBLANK('Paste Full'!D2),"",'Paste Full'!D2)</f>
        <v/>
      </c>
      <c r="J2" s="14">
        <f>AVERAGE(SUMPRODUCT($S2:$BM2,AttWeights!$C$10:$AW$10)/SUM(AttWeights!$C$10:$AW$10),SUMPRODUCT($S2:$BM2,AttWeights!$C$17:$AW$17)/SUM(AttWeights!$C$17:$AW$17))*10</f>
        <v/>
      </c>
      <c r="K2" s="14">
        <f>AVERAGE(SUMPRODUCT($S2:$BM2,AttWeights!$C$7:$AW$7)/SUM(AttWeights!$C$7:$AW$7),SUMPRODUCT($S2:$BM2,AttWeights!$C$15:$AW$15)/SUM(AttWeights!$C$15:$AW$15))*10</f>
        <v/>
      </c>
      <c r="L2" s="14">
        <f>AVERAGE(SUMPRODUCT($S2:$BM2,AttWeights!$C$8:$AW$8)/SUM(AttWeights!$C$8:$AW$8),SUMPRODUCT($S2:$BM2,AttWeights!$C$16:$AW$16)/SUM(AttWeights!$C$16:$AW$16))*10</f>
        <v/>
      </c>
      <c r="M2" s="14">
        <f>AVERAGE(SUMPRODUCT($S2:$BM2,AttWeights!$C$9:$AW$9)/SUM(AttWeights!$C$9:$AW$9),SUMPRODUCT($S2:$BM2,AttWeights!$C$15:$AW$15)/SUM(AttWeights!$C$15:$AW$15))*10</f>
        <v/>
      </c>
      <c r="N2" s="14">
        <f>AVERAGE(SUMPRODUCT($S2:$BM2,AttWeights!$C$6:$AW$6)/SUM(AttWeights!$C$6:$AW$6),SUMPRODUCT($S2:$BM2,AttWeights!$C$14:$AW$14)/SUM(AttWeights!$C$14:$AW$14))*10</f>
        <v/>
      </c>
      <c r="O2" s="14">
        <f>AVERAGE(SUMPRODUCT($S2:$BM2,AttWeights!$C$5:$AW$5)/SUM(AttWeights!$C$5:$AW$5),SUMPRODUCT($S2:$BM2,AttWeights!$C$14:$AW$14)/SUM(AttWeights!$C$14:$AW$14))*10</f>
        <v/>
      </c>
      <c r="P2" s="14">
        <f>AVERAGE(SUMPRODUCT($S2:$BM2,AttWeights!$C$4:$AW$4)/SUM(AttWeights!$C$4:$AW$4),SUMPRODUCT($S2:$BM2,AttWeights!$C$13:$AW$13)/SUM(AttWeights!$C$13:$AW$13))*10</f>
        <v/>
      </c>
      <c r="Q2" s="14">
        <f>AVERAGE(SUMPRODUCT($S2:$BM2,AttWeights!$C$3:$AW$3)/SUM(AttWeights!$C$3:$AW$3),SUMPRODUCT($S2:$BM2,AttWeights!$C$12:$AW$12)/SUM(AttWeights!$C$12:$AW$12))*10</f>
        <v/>
      </c>
      <c r="R2" s="14">
        <f>AVERAGE(SUMPRODUCT($S2:$BM2,AttWeights!$C$2:$AW$2)/SUM(AttWeights!$C$2:$AW$2),SUMPRODUCT($S2:$BM2,AttWeights!$C$11:$AW$11)/SUM(AttWeights!$C$11:$AW$11))*10</f>
        <v/>
      </c>
      <c r="S2" s="3">
        <f>IF(ISBLANK('Paste Full'!AC2),"",'Paste Full'!AC2)</f>
        <v/>
      </c>
      <c r="T2" s="3">
        <f>IF(ISBLANK('Paste Full'!AD2),"",'Paste Full'!AD2)</f>
        <v/>
      </c>
      <c r="U2" s="3">
        <f>IF(ISBLANK('Paste Full'!AE2),"",'Paste Full'!AE2)</f>
        <v/>
      </c>
      <c r="V2" s="3">
        <f>IF(ISBLANK('Paste Full'!AF2),"",'Paste Full'!AF2)</f>
        <v/>
      </c>
      <c r="W2" s="3">
        <f>IF(ISBLANK('Paste Full'!AH2),"",'Paste Full'!AH2)</f>
        <v/>
      </c>
      <c r="X2" s="3">
        <f>IF(ISBLANK('Paste Full'!AI2),"",'Paste Full'!AI2)</f>
        <v/>
      </c>
      <c r="Y2" s="3">
        <f>IF(ISBLANK('Paste Full'!AK2),"",'Paste Full'!AK2)</f>
        <v/>
      </c>
      <c r="Z2" s="3">
        <f>IF(ISBLANK('Paste Full'!AL2),"",'Paste Full'!AL2)</f>
        <v/>
      </c>
      <c r="AA2" s="4">
        <f>IF(ISBLANK('Paste Full'!AM2),"",'Paste Full'!AM2)</f>
        <v/>
      </c>
      <c r="AB2" s="4">
        <f>IF(ISBLANK('Paste Full'!AN2),"",'Paste Full'!AN2)</f>
        <v/>
      </c>
      <c r="AC2" s="4">
        <f>IF(ISBLANK('Paste Full'!AO2),"",'Paste Full'!AO2)</f>
        <v/>
      </c>
      <c r="AD2" s="4">
        <f>IF(ISBLANK('Paste Full'!AP2),"",'Paste Full'!AP2)</f>
        <v/>
      </c>
      <c r="AE2" s="4">
        <f>IF(ISBLANK('Paste Full'!AQ2),"",'Paste Full'!AQ2)</f>
        <v/>
      </c>
      <c r="AF2" s="4">
        <f>IF(ISBLANK('Paste Full'!AR2),"",'Paste Full'!AR2)</f>
        <v/>
      </c>
      <c r="AG2" s="4">
        <f>IF(ISBLANK('Paste Full'!AS2),"",'Paste Full'!AS2)</f>
        <v/>
      </c>
      <c r="AH2" s="4">
        <f>IF(ISBLANK('Paste Full'!AV2),"",'Paste Full'!AV2)</f>
        <v/>
      </c>
      <c r="AI2" s="4">
        <f>IF(ISBLANK('Paste Full'!AT2),"",'Paste Full'!AT2)</f>
        <v/>
      </c>
      <c r="AJ2" s="4">
        <f>IF(ISBLANK('Paste Full'!AU2),"",'Paste Full'!AU2)</f>
        <v/>
      </c>
      <c r="AK2" s="4">
        <f>IF(ISBLANK('Paste Full'!AW2),"",'Paste Full'!AW2)</f>
        <v/>
      </c>
      <c r="AL2" s="5">
        <f>IF(ISBLANK('Paste Full'!AX2),"",'Paste Full'!AX2)</f>
        <v/>
      </c>
      <c r="AM2" s="5">
        <f>IF(ISBLANK('Paste Full'!AY2),"",'Paste Full'!AY2)</f>
        <v/>
      </c>
      <c r="AN2" s="5">
        <f>IF(ISBLANK('Paste Full'!AZ2),"",'Paste Full'!AZ2)</f>
        <v/>
      </c>
      <c r="AO2" s="5">
        <f>IF(ISBLANK('Paste Full'!BA2),"",'Paste Full'!BA2)</f>
        <v/>
      </c>
      <c r="AP2" s="5">
        <f>IF(ISBLANK('Paste Full'!BB2),"",'Paste Full'!BB2)</f>
        <v/>
      </c>
      <c r="AQ2" s="5">
        <f>IF(ISBLANK('Paste Full'!BC2),"",'Paste Full'!BC2)</f>
        <v/>
      </c>
      <c r="AR2" s="5">
        <f>IF(ISBLANK('Paste Full'!BD2),"",'Paste Full'!BD2)</f>
        <v/>
      </c>
      <c r="AS2" s="5">
        <f>IF(ISBLANK('Paste Full'!BE2),"",'Paste Full'!BE2)</f>
        <v/>
      </c>
      <c r="AT2" s="5">
        <f>IF(ISBLANK('Paste Full'!BF2),"",'Paste Full'!BF2)</f>
        <v/>
      </c>
      <c r="AU2" s="5">
        <f>IF(ISBLANK('Paste Full'!BG2),"",'Paste Full'!BG2)</f>
        <v/>
      </c>
      <c r="AV2" s="5">
        <f>IF(ISBLANK('Paste Full'!BH2),"",'Paste Full'!BH2)</f>
        <v/>
      </c>
      <c r="AW2" s="5">
        <f>IF(ISBLANK('Paste Full'!BI2),"",'Paste Full'!BI2)</f>
        <v/>
      </c>
      <c r="AX2" s="5">
        <f>IF(ISBLANK('Paste Full'!BJ2),"",'Paste Full'!BJ2)</f>
        <v/>
      </c>
      <c r="AY2" s="5">
        <f>IF(ISBLANK('Paste Full'!BK2),"",'Paste Full'!BK2)</f>
        <v/>
      </c>
      <c r="AZ2" s="6">
        <f>IF(ISBLANK('Paste Full'!BM2),"",'Paste Full'!BM2)</f>
        <v/>
      </c>
      <c r="BA2" s="6">
        <f>IF(ISBLANK('Paste Full'!BN2),"",'Paste Full'!BN2)</f>
        <v/>
      </c>
      <c r="BB2" s="6">
        <f>IF(ISBLANK('Paste Full'!BO2),"",'Paste Full'!BO2)</f>
        <v/>
      </c>
      <c r="BC2" s="6">
        <f>IF(ISBLANK('Paste Full'!BP2),"",'Paste Full'!BP2)</f>
        <v/>
      </c>
      <c r="BD2" s="6">
        <f>IF(ISBLANK('Paste Full'!BR2),"",'Paste Full'!BR2)</f>
        <v/>
      </c>
      <c r="BE2" s="6">
        <f>IF(ISBLANK('Paste Full'!BS2),"",'Paste Full'!BS2)</f>
        <v/>
      </c>
      <c r="BF2" s="6">
        <f>IF(ISBLANK('Paste Full'!BU2),"",'Paste Full'!BU2)</f>
        <v/>
      </c>
      <c r="BG2" s="6">
        <f>IF(ISBLANK('Paste Full'!BV2),"",'Paste Full'!BV2)</f>
        <v/>
      </c>
      <c r="BH2" s="6">
        <f>IF(ISBLANK('Paste Full'!BX2),"",'Paste Full'!BX2)</f>
        <v/>
      </c>
      <c r="BI2" s="6">
        <f>IF(ISBLANK('Paste Full'!BY2),"",'Paste Full'!BY2)</f>
        <v/>
      </c>
      <c r="BJ2" s="13">
        <f>IF(ISBLANK('Paste Full'!BL2),"",'Paste Full'!BL2)</f>
        <v/>
      </c>
      <c r="BK2" s="13">
        <f>IF(ISBLANK('Paste Full'!BQ2),"",'Paste Full'!BQ2)</f>
        <v/>
      </c>
      <c r="BL2" s="13">
        <f>IF(ISBLANK('Paste Full'!BT2),"",'Paste Full'!BT2)</f>
        <v/>
      </c>
      <c r="BM2" s="13">
        <f>IF(ISBLANK('Paste Full'!BW2),"",'Paste Full'!BW2)</f>
        <v/>
      </c>
    </row>
    <row r="3">
      <c r="A3">
        <f>IF(ISBLANK('Paste Full'!C3),"",'Paste Full'!C3)</f>
        <v/>
      </c>
      <c r="B3">
        <f>INDEX($J$1:$R$1, MATCH(MAX($J3:$R3), $J3:$R3, 0))</f>
        <v/>
      </c>
      <c r="C3" s="45">
        <f>IF(ISBLANK('Paste Full'!H3),"",'Paste Full'!H3)</f>
        <v/>
      </c>
      <c r="D3" s="45">
        <f>IF(ISBLANK('Paste Full'!F3),"",'Paste Full'!F3)</f>
        <v/>
      </c>
      <c r="E3" s="45">
        <f>IF(ISBLANK('Paste Full'!G3),"",'Paste Full'!G3)</f>
        <v/>
      </c>
      <c r="F3" s="21">
        <f>IF(ISBLANK('Paste Full'!E3),"",'Paste Full'!E3)</f>
        <v/>
      </c>
      <c r="G3">
        <f>IF(ISBLANK('Paste Full'!CI3),"",'Paste Full'!CI3)</f>
        <v/>
      </c>
      <c r="H3" s="21">
        <f>IF(ISBLANK('Paste Full'!J3),"",'Paste Full'!J3)</f>
        <v/>
      </c>
      <c r="I3" s="21">
        <f>IF(ISBLANK('Paste Full'!D3),"",'Paste Full'!D3)</f>
        <v/>
      </c>
      <c r="J3" s="14">
        <f>AVERAGE(SUMPRODUCT($S3:$BM3,AttWeights!$C$10:$AW$10)/SUM(AttWeights!$C$10:$AW$10),SUMPRODUCT($S3:$BM3,AttWeights!$C$17:$AW$17)/SUM(AttWeights!$C$17:$AW$17))*10</f>
        <v/>
      </c>
      <c r="K3" s="14">
        <f>AVERAGE(SUMPRODUCT($S3:$BM3,AttWeights!$C$7:$AW$7)/SUM(AttWeights!$C$7:$AW$7),SUMPRODUCT($S3:$BM3,AttWeights!$C$15:$AW$15)/SUM(AttWeights!$C$15:$AW$15))*10</f>
        <v/>
      </c>
      <c r="L3" s="14">
        <f>AVERAGE(SUMPRODUCT($S3:$BM3,AttWeights!$C$8:$AW$8)/SUM(AttWeights!$C$8:$AW$8),SUMPRODUCT($S3:$BM3,AttWeights!$C$16:$AW$16)/SUM(AttWeights!$C$16:$AW$16))*10</f>
        <v/>
      </c>
      <c r="M3" s="14">
        <f>AVERAGE(SUMPRODUCT($S3:$BM3,AttWeights!$C$9:$AW$9)/SUM(AttWeights!$C$9:$AW$9),SUMPRODUCT($S3:$BM3,AttWeights!$C$15:$AW$15)/SUM(AttWeights!$C$15:$AW$15))*10</f>
        <v/>
      </c>
      <c r="N3" s="14">
        <f>AVERAGE(SUMPRODUCT($S3:$BM3,AttWeights!$C$6:$AW$6)/SUM(AttWeights!$C$6:$AW$6),SUMPRODUCT($S3:$BM3,AttWeights!$C$14:$AW$14)/SUM(AttWeights!$C$14:$AW$14))*10</f>
        <v/>
      </c>
      <c r="O3" s="14">
        <f>AVERAGE(SUMPRODUCT($S3:$BM3,AttWeights!$C$5:$AW$5)/SUM(AttWeights!$C$5:$AW$5),SUMPRODUCT($S3:$BM3,AttWeights!$C$14:$AW$14)/SUM(AttWeights!$C$14:$AW$14))*10</f>
        <v/>
      </c>
      <c r="P3" s="14">
        <f>AVERAGE(SUMPRODUCT($S3:$BM3,AttWeights!$C$4:$AW$4)/SUM(AttWeights!$C$4:$AW$4),SUMPRODUCT($S3:$BM3,AttWeights!$C$13:$AW$13)/SUM(AttWeights!$C$13:$AW$13))*10</f>
        <v/>
      </c>
      <c r="Q3" s="14">
        <f>AVERAGE(SUMPRODUCT($S3:$BM3,AttWeights!$C$3:$AW$3)/SUM(AttWeights!$C$3:$AW$3),SUMPRODUCT($S3:$BM3,AttWeights!$C$12:$AW$12)/SUM(AttWeights!$C$12:$AW$12))*10</f>
        <v/>
      </c>
      <c r="R3" s="14">
        <f>AVERAGE(SUMPRODUCT($S3:$BM3,AttWeights!$C$2:$AW$2)/SUM(AttWeights!$C$2:$AW$2),SUMPRODUCT($S3:$BM3,AttWeights!$C$11:$AW$11)/SUM(AttWeights!$C$11:$AW$11))*10</f>
        <v/>
      </c>
      <c r="S3" s="3">
        <f>IF(ISBLANK('Paste Full'!AC3),"",'Paste Full'!AC3)</f>
        <v/>
      </c>
      <c r="T3" s="3">
        <f>IF(ISBLANK('Paste Full'!AD3),"",'Paste Full'!AD3)</f>
        <v/>
      </c>
      <c r="U3" s="3">
        <f>IF(ISBLANK('Paste Full'!AE3),"",'Paste Full'!AE3)</f>
        <v/>
      </c>
      <c r="V3" s="3">
        <f>IF(ISBLANK('Paste Full'!AF3),"",'Paste Full'!AF3)</f>
        <v/>
      </c>
      <c r="W3" s="3">
        <f>IF(ISBLANK('Paste Full'!AH3),"",'Paste Full'!AH3)</f>
        <v/>
      </c>
      <c r="X3" s="3">
        <f>IF(ISBLANK('Paste Full'!AI3),"",'Paste Full'!AI3)</f>
        <v/>
      </c>
      <c r="Y3" s="3">
        <f>IF(ISBLANK('Paste Full'!AK3),"",'Paste Full'!AK3)</f>
        <v/>
      </c>
      <c r="Z3" s="3">
        <f>IF(ISBLANK('Paste Full'!AL3),"",'Paste Full'!AL3)</f>
        <v/>
      </c>
      <c r="AA3" s="4">
        <f>IF(ISBLANK('Paste Full'!AM3),"",'Paste Full'!AM3)</f>
        <v/>
      </c>
      <c r="AB3" s="4">
        <f>IF(ISBLANK('Paste Full'!AN3),"",'Paste Full'!AN3)</f>
        <v/>
      </c>
      <c r="AC3" s="4">
        <f>IF(ISBLANK('Paste Full'!AO3),"",'Paste Full'!AO3)</f>
        <v/>
      </c>
      <c r="AD3" s="4">
        <f>IF(ISBLANK('Paste Full'!AP3),"",'Paste Full'!AP3)</f>
        <v/>
      </c>
      <c r="AE3" s="4">
        <f>IF(ISBLANK('Paste Full'!AQ3),"",'Paste Full'!AQ3)</f>
        <v/>
      </c>
      <c r="AF3" s="4">
        <f>IF(ISBLANK('Paste Full'!AR3),"",'Paste Full'!AR3)</f>
        <v/>
      </c>
      <c r="AG3" s="4">
        <f>IF(ISBLANK('Paste Full'!AS3),"",'Paste Full'!AS3)</f>
        <v/>
      </c>
      <c r="AH3" s="4">
        <f>IF(ISBLANK('Paste Full'!AV3),"",'Paste Full'!AV3)</f>
        <v/>
      </c>
      <c r="AI3" s="4">
        <f>IF(ISBLANK('Paste Full'!AT3),"",'Paste Full'!AT3)</f>
        <v/>
      </c>
      <c r="AJ3" s="4">
        <f>IF(ISBLANK('Paste Full'!AU3),"",'Paste Full'!AU3)</f>
        <v/>
      </c>
      <c r="AK3" s="4">
        <f>IF(ISBLANK('Paste Full'!AW3),"",'Paste Full'!AW3)</f>
        <v/>
      </c>
      <c r="AL3" s="5">
        <f>IF(ISBLANK('Paste Full'!AX3),"",'Paste Full'!AX3)</f>
        <v/>
      </c>
      <c r="AM3" s="5">
        <f>IF(ISBLANK('Paste Full'!AY3),"",'Paste Full'!AY3)</f>
        <v/>
      </c>
      <c r="AN3" s="5">
        <f>IF(ISBLANK('Paste Full'!AZ3),"",'Paste Full'!AZ3)</f>
        <v/>
      </c>
      <c r="AO3" s="5">
        <f>IF(ISBLANK('Paste Full'!BA3),"",'Paste Full'!BA3)</f>
        <v/>
      </c>
      <c r="AP3" s="5">
        <f>IF(ISBLANK('Paste Full'!BB3),"",'Paste Full'!BB3)</f>
        <v/>
      </c>
      <c r="AQ3" s="5">
        <f>IF(ISBLANK('Paste Full'!BC3),"",'Paste Full'!BC3)</f>
        <v/>
      </c>
      <c r="AR3" s="5">
        <f>IF(ISBLANK('Paste Full'!BD3),"",'Paste Full'!BD3)</f>
        <v/>
      </c>
      <c r="AS3" s="5">
        <f>IF(ISBLANK('Paste Full'!BE3),"",'Paste Full'!BE3)</f>
        <v/>
      </c>
      <c r="AT3" s="5">
        <f>IF(ISBLANK('Paste Full'!BF3),"",'Paste Full'!BF3)</f>
        <v/>
      </c>
      <c r="AU3" s="5">
        <f>IF(ISBLANK('Paste Full'!BG3),"",'Paste Full'!BG3)</f>
        <v/>
      </c>
      <c r="AV3" s="5">
        <f>IF(ISBLANK('Paste Full'!BH3),"",'Paste Full'!BH3)</f>
        <v/>
      </c>
      <c r="AW3" s="5">
        <f>IF(ISBLANK('Paste Full'!BI3),"",'Paste Full'!BI3)</f>
        <v/>
      </c>
      <c r="AX3" s="5">
        <f>IF(ISBLANK('Paste Full'!BJ3),"",'Paste Full'!BJ3)</f>
        <v/>
      </c>
      <c r="AY3" s="5">
        <f>IF(ISBLANK('Paste Full'!BK3),"",'Paste Full'!BK3)</f>
        <v/>
      </c>
      <c r="AZ3" s="6">
        <f>IF(ISBLANK('Paste Full'!BM3),"",'Paste Full'!BM3)</f>
        <v/>
      </c>
      <c r="BA3" s="6">
        <f>IF(ISBLANK('Paste Full'!BN3),"",'Paste Full'!BN3)</f>
        <v/>
      </c>
      <c r="BB3" s="6">
        <f>IF(ISBLANK('Paste Full'!BO3),"",'Paste Full'!BO3)</f>
        <v/>
      </c>
      <c r="BC3" s="6">
        <f>IF(ISBLANK('Paste Full'!BP3),"",'Paste Full'!BP3)</f>
        <v/>
      </c>
      <c r="BD3" s="6">
        <f>IF(ISBLANK('Paste Full'!BR3),"",'Paste Full'!BR3)</f>
        <v/>
      </c>
      <c r="BE3" s="6">
        <f>IF(ISBLANK('Paste Full'!BS3),"",'Paste Full'!BS3)</f>
        <v/>
      </c>
      <c r="BF3" s="6">
        <f>IF(ISBLANK('Paste Full'!BU3),"",'Paste Full'!BU3)</f>
        <v/>
      </c>
      <c r="BG3" s="6">
        <f>IF(ISBLANK('Paste Full'!BV3),"",'Paste Full'!BV3)</f>
        <v/>
      </c>
      <c r="BH3" s="6">
        <f>IF(ISBLANK('Paste Full'!BX3),"",'Paste Full'!BX3)</f>
        <v/>
      </c>
      <c r="BI3" s="6">
        <f>IF(ISBLANK('Paste Full'!BY3),"",'Paste Full'!BY3)</f>
        <v/>
      </c>
      <c r="BJ3" s="13">
        <f>IF(ISBLANK('Paste Full'!BL3),"",'Paste Full'!BL3)</f>
        <v/>
      </c>
      <c r="BK3" s="13">
        <f>IF(ISBLANK('Paste Full'!BQ3),"",'Paste Full'!BQ3)</f>
        <v/>
      </c>
      <c r="BL3" s="13">
        <f>IF(ISBLANK('Paste Full'!BT3),"",'Paste Full'!BT3)</f>
        <v/>
      </c>
      <c r="BM3" s="13">
        <f>IF(ISBLANK('Paste Full'!BW3),"",'Paste Full'!BW3)</f>
        <v/>
      </c>
    </row>
    <row r="4">
      <c r="A4">
        <f>IF(ISBLANK('Paste Full'!C4),"",'Paste Full'!C4)</f>
        <v/>
      </c>
      <c r="B4">
        <f>INDEX($J$1:$R$1, MATCH(MAX($J4:$R4), $J4:$R4, 0))</f>
        <v/>
      </c>
      <c r="C4" s="45">
        <f>IF(ISBLANK('Paste Full'!H4),"",'Paste Full'!H4)</f>
        <v/>
      </c>
      <c r="D4" s="45">
        <f>IF(ISBLANK('Paste Full'!F4),"",'Paste Full'!F4)</f>
        <v/>
      </c>
      <c r="E4" s="45">
        <f>IF(ISBLANK('Paste Full'!G4),"",'Paste Full'!G4)</f>
        <v/>
      </c>
      <c r="F4" s="21">
        <f>IF(ISBLANK('Paste Full'!E4),"",'Paste Full'!E4)</f>
        <v/>
      </c>
      <c r="G4">
        <f>IF(ISBLANK('Paste Full'!CI4),"",'Paste Full'!CI4)</f>
        <v/>
      </c>
      <c r="H4" s="21">
        <f>IF(ISBLANK('Paste Full'!J4),"",'Paste Full'!J4)</f>
        <v/>
      </c>
      <c r="I4" s="21">
        <f>IF(ISBLANK('Paste Full'!D4),"",'Paste Full'!D4)</f>
        <v/>
      </c>
      <c r="J4" s="14">
        <f>AVERAGE(SUMPRODUCT($S4:$BM4,AttWeights!$C$10:$AW$10)/SUM(AttWeights!$C$10:$AW$10),SUMPRODUCT($S4:$BM4,AttWeights!$C$17:$AW$17)/SUM(AttWeights!$C$17:$AW$17))*10</f>
        <v/>
      </c>
      <c r="K4" s="14">
        <f>AVERAGE(SUMPRODUCT($S4:$BM4,AttWeights!$C$7:$AW$7)/SUM(AttWeights!$C$7:$AW$7),SUMPRODUCT($S4:$BM4,AttWeights!$C$15:$AW$15)/SUM(AttWeights!$C$15:$AW$15))*10</f>
        <v/>
      </c>
      <c r="L4" s="14">
        <f>AVERAGE(SUMPRODUCT($S4:$BM4,AttWeights!$C$8:$AW$8)/SUM(AttWeights!$C$8:$AW$8),SUMPRODUCT($S4:$BM4,AttWeights!$C$16:$AW$16)/SUM(AttWeights!$C$16:$AW$16))*10</f>
        <v/>
      </c>
      <c r="M4" s="14">
        <f>AVERAGE(SUMPRODUCT($S4:$BM4,AttWeights!$C$9:$AW$9)/SUM(AttWeights!$C$9:$AW$9),SUMPRODUCT($S4:$BM4,AttWeights!$C$15:$AW$15)/SUM(AttWeights!$C$15:$AW$15))*10</f>
        <v/>
      </c>
      <c r="N4" s="14">
        <f>AVERAGE(SUMPRODUCT($S4:$BM4,AttWeights!$C$6:$AW$6)/SUM(AttWeights!$C$6:$AW$6),SUMPRODUCT($S4:$BM4,AttWeights!$C$14:$AW$14)/SUM(AttWeights!$C$14:$AW$14))*10</f>
        <v/>
      </c>
      <c r="O4" s="14">
        <f>AVERAGE(SUMPRODUCT($S4:$BM4,AttWeights!$C$5:$AW$5)/SUM(AttWeights!$C$5:$AW$5),SUMPRODUCT($S4:$BM4,AttWeights!$C$14:$AW$14)/SUM(AttWeights!$C$14:$AW$14))*10</f>
        <v/>
      </c>
      <c r="P4" s="14">
        <f>AVERAGE(SUMPRODUCT($S4:$BM4,AttWeights!$C$4:$AW$4)/SUM(AttWeights!$C$4:$AW$4),SUMPRODUCT($S4:$BM4,AttWeights!$C$13:$AW$13)/SUM(AttWeights!$C$13:$AW$13))*10</f>
        <v/>
      </c>
      <c r="Q4" s="14">
        <f>AVERAGE(SUMPRODUCT($S4:$BM4,AttWeights!$C$3:$AW$3)/SUM(AttWeights!$C$3:$AW$3),SUMPRODUCT($S4:$BM4,AttWeights!$C$12:$AW$12)/SUM(AttWeights!$C$12:$AW$12))*10</f>
        <v/>
      </c>
      <c r="R4" s="14">
        <f>AVERAGE(SUMPRODUCT($S4:$BM4,AttWeights!$C$2:$AW$2)/SUM(AttWeights!$C$2:$AW$2),SUMPRODUCT($S4:$BM4,AttWeights!$C$11:$AW$11)/SUM(AttWeights!$C$11:$AW$11))*10</f>
        <v/>
      </c>
      <c r="S4" s="3">
        <f>IF(ISBLANK('Paste Full'!AC4),"",'Paste Full'!AC4)</f>
        <v/>
      </c>
      <c r="T4" s="3">
        <f>IF(ISBLANK('Paste Full'!AD4),"",'Paste Full'!AD4)</f>
        <v/>
      </c>
      <c r="U4" s="3">
        <f>IF(ISBLANK('Paste Full'!AE4),"",'Paste Full'!AE4)</f>
        <v/>
      </c>
      <c r="V4" s="3">
        <f>IF(ISBLANK('Paste Full'!AF4),"",'Paste Full'!AF4)</f>
        <v/>
      </c>
      <c r="W4" s="3">
        <f>IF(ISBLANK('Paste Full'!AH4),"",'Paste Full'!AH4)</f>
        <v/>
      </c>
      <c r="X4" s="3">
        <f>IF(ISBLANK('Paste Full'!AI4),"",'Paste Full'!AI4)</f>
        <v/>
      </c>
      <c r="Y4" s="3">
        <f>IF(ISBLANK('Paste Full'!AK4),"",'Paste Full'!AK4)</f>
        <v/>
      </c>
      <c r="Z4" s="3">
        <f>IF(ISBLANK('Paste Full'!AL4),"",'Paste Full'!AL4)</f>
        <v/>
      </c>
      <c r="AA4" s="4">
        <f>IF(ISBLANK('Paste Full'!AM4),"",'Paste Full'!AM4)</f>
        <v/>
      </c>
      <c r="AB4" s="4">
        <f>IF(ISBLANK('Paste Full'!AN4),"",'Paste Full'!AN4)</f>
        <v/>
      </c>
      <c r="AC4" s="4">
        <f>IF(ISBLANK('Paste Full'!AO4),"",'Paste Full'!AO4)</f>
        <v/>
      </c>
      <c r="AD4" s="4">
        <f>IF(ISBLANK('Paste Full'!AP4),"",'Paste Full'!AP4)</f>
        <v/>
      </c>
      <c r="AE4" s="4">
        <f>IF(ISBLANK('Paste Full'!AQ4),"",'Paste Full'!AQ4)</f>
        <v/>
      </c>
      <c r="AF4" s="4">
        <f>IF(ISBLANK('Paste Full'!AR4),"",'Paste Full'!AR4)</f>
        <v/>
      </c>
      <c r="AG4" s="4">
        <f>IF(ISBLANK('Paste Full'!AS4),"",'Paste Full'!AS4)</f>
        <v/>
      </c>
      <c r="AH4" s="4">
        <f>IF(ISBLANK('Paste Full'!AV4),"",'Paste Full'!AV4)</f>
        <v/>
      </c>
      <c r="AI4" s="4">
        <f>IF(ISBLANK('Paste Full'!AT4),"",'Paste Full'!AT4)</f>
        <v/>
      </c>
      <c r="AJ4" s="4">
        <f>IF(ISBLANK('Paste Full'!AU4),"",'Paste Full'!AU4)</f>
        <v/>
      </c>
      <c r="AK4" s="4">
        <f>IF(ISBLANK('Paste Full'!AW4),"",'Paste Full'!AW4)</f>
        <v/>
      </c>
      <c r="AL4" s="5">
        <f>IF(ISBLANK('Paste Full'!AX4),"",'Paste Full'!AX4)</f>
        <v/>
      </c>
      <c r="AM4" s="5">
        <f>IF(ISBLANK('Paste Full'!AY4),"",'Paste Full'!AY4)</f>
        <v/>
      </c>
      <c r="AN4" s="5">
        <f>IF(ISBLANK('Paste Full'!AZ4),"",'Paste Full'!AZ4)</f>
        <v/>
      </c>
      <c r="AO4" s="5">
        <f>IF(ISBLANK('Paste Full'!BA4),"",'Paste Full'!BA4)</f>
        <v/>
      </c>
      <c r="AP4" s="5">
        <f>IF(ISBLANK('Paste Full'!BB4),"",'Paste Full'!BB4)</f>
        <v/>
      </c>
      <c r="AQ4" s="5">
        <f>IF(ISBLANK('Paste Full'!BC4),"",'Paste Full'!BC4)</f>
        <v/>
      </c>
      <c r="AR4" s="5">
        <f>IF(ISBLANK('Paste Full'!BD4),"",'Paste Full'!BD4)</f>
        <v/>
      </c>
      <c r="AS4" s="5">
        <f>IF(ISBLANK('Paste Full'!BE4),"",'Paste Full'!BE4)</f>
        <v/>
      </c>
      <c r="AT4" s="5">
        <f>IF(ISBLANK('Paste Full'!BF4),"",'Paste Full'!BF4)</f>
        <v/>
      </c>
      <c r="AU4" s="5">
        <f>IF(ISBLANK('Paste Full'!BG4),"",'Paste Full'!BG4)</f>
        <v/>
      </c>
      <c r="AV4" s="5">
        <f>IF(ISBLANK('Paste Full'!BH4),"",'Paste Full'!BH4)</f>
        <v/>
      </c>
      <c r="AW4" s="5">
        <f>IF(ISBLANK('Paste Full'!BI4),"",'Paste Full'!BI4)</f>
        <v/>
      </c>
      <c r="AX4" s="5">
        <f>IF(ISBLANK('Paste Full'!BJ4),"",'Paste Full'!BJ4)</f>
        <v/>
      </c>
      <c r="AY4" s="5">
        <f>IF(ISBLANK('Paste Full'!BK4),"",'Paste Full'!BK4)</f>
        <v/>
      </c>
      <c r="AZ4" s="6">
        <f>IF(ISBLANK('Paste Full'!BM4),"",'Paste Full'!BM4)</f>
        <v/>
      </c>
      <c r="BA4" s="6">
        <f>IF(ISBLANK('Paste Full'!BN4),"",'Paste Full'!BN4)</f>
        <v/>
      </c>
      <c r="BB4" s="6">
        <f>IF(ISBLANK('Paste Full'!BO4),"",'Paste Full'!BO4)</f>
        <v/>
      </c>
      <c r="BC4" s="6">
        <f>IF(ISBLANK('Paste Full'!BP4),"",'Paste Full'!BP4)</f>
        <v/>
      </c>
      <c r="BD4" s="6">
        <f>IF(ISBLANK('Paste Full'!BR4),"",'Paste Full'!BR4)</f>
        <v/>
      </c>
      <c r="BE4" s="6">
        <f>IF(ISBLANK('Paste Full'!BS4),"",'Paste Full'!BS4)</f>
        <v/>
      </c>
      <c r="BF4" s="6">
        <f>IF(ISBLANK('Paste Full'!BU4),"",'Paste Full'!BU4)</f>
        <v/>
      </c>
      <c r="BG4" s="6">
        <f>IF(ISBLANK('Paste Full'!BV4),"",'Paste Full'!BV4)</f>
        <v/>
      </c>
      <c r="BH4" s="6">
        <f>IF(ISBLANK('Paste Full'!BX4),"",'Paste Full'!BX4)</f>
        <v/>
      </c>
      <c r="BI4" s="6">
        <f>IF(ISBLANK('Paste Full'!BY4),"",'Paste Full'!BY4)</f>
        <v/>
      </c>
      <c r="BJ4" s="13">
        <f>IF(ISBLANK('Paste Full'!BL4),"",'Paste Full'!BL4)</f>
        <v/>
      </c>
      <c r="BK4" s="13">
        <f>IF(ISBLANK('Paste Full'!BQ4),"",'Paste Full'!BQ4)</f>
        <v/>
      </c>
      <c r="BL4" s="13">
        <f>IF(ISBLANK('Paste Full'!BT4),"",'Paste Full'!BT4)</f>
        <v/>
      </c>
      <c r="BM4" s="13">
        <f>IF(ISBLANK('Paste Full'!BW4),"",'Paste Full'!BW4)</f>
        <v/>
      </c>
    </row>
    <row r="5">
      <c r="A5">
        <f>IF(ISBLANK('Paste Full'!C5),"",'Paste Full'!C5)</f>
        <v/>
      </c>
      <c r="B5">
        <f>INDEX($J$1:$R$1, MATCH(MAX($J5:$R5), $J5:$R5, 0))</f>
        <v/>
      </c>
      <c r="C5" s="45">
        <f>IF(ISBLANK('Paste Full'!H5),"",'Paste Full'!H5)</f>
        <v/>
      </c>
      <c r="D5" s="45">
        <f>IF(ISBLANK('Paste Full'!F5),"",'Paste Full'!F5)</f>
        <v/>
      </c>
      <c r="E5" s="45">
        <f>IF(ISBLANK('Paste Full'!G5),"",'Paste Full'!G5)</f>
        <v/>
      </c>
      <c r="F5" s="21">
        <f>IF(ISBLANK('Paste Full'!E5),"",'Paste Full'!E5)</f>
        <v/>
      </c>
      <c r="G5">
        <f>IF(ISBLANK('Paste Full'!CI5),"",'Paste Full'!CI5)</f>
        <v/>
      </c>
      <c r="H5" s="21">
        <f>IF(ISBLANK('Paste Full'!J5),"",'Paste Full'!J5)</f>
        <v/>
      </c>
      <c r="I5" s="21">
        <f>IF(ISBLANK('Paste Full'!D5),"",'Paste Full'!D5)</f>
        <v/>
      </c>
      <c r="J5" s="14">
        <f>AVERAGE(SUMPRODUCT($S5:$BM5,AttWeights!$C$10:$AW$10)/SUM(AttWeights!$C$10:$AW$10),SUMPRODUCT($S5:$BM5,AttWeights!$C$17:$AW$17)/SUM(AttWeights!$C$17:$AW$17))*10</f>
        <v/>
      </c>
      <c r="K5" s="14">
        <f>AVERAGE(SUMPRODUCT($S5:$BM5,AttWeights!$C$7:$AW$7)/SUM(AttWeights!$C$7:$AW$7),SUMPRODUCT($S5:$BM5,AttWeights!$C$15:$AW$15)/SUM(AttWeights!$C$15:$AW$15))*10</f>
        <v/>
      </c>
      <c r="L5" s="14">
        <f>AVERAGE(SUMPRODUCT($S5:$BM5,AttWeights!$C$8:$AW$8)/SUM(AttWeights!$C$8:$AW$8),SUMPRODUCT($S5:$BM5,AttWeights!$C$16:$AW$16)/SUM(AttWeights!$C$16:$AW$16))*10</f>
        <v/>
      </c>
      <c r="M5" s="14">
        <f>AVERAGE(SUMPRODUCT($S5:$BM5,AttWeights!$C$9:$AW$9)/SUM(AttWeights!$C$9:$AW$9),SUMPRODUCT($S5:$BM5,AttWeights!$C$15:$AW$15)/SUM(AttWeights!$C$15:$AW$15))*10</f>
        <v/>
      </c>
      <c r="N5" s="14">
        <f>AVERAGE(SUMPRODUCT($S5:$BM5,AttWeights!$C$6:$AW$6)/SUM(AttWeights!$C$6:$AW$6),SUMPRODUCT($S5:$BM5,AttWeights!$C$14:$AW$14)/SUM(AttWeights!$C$14:$AW$14))*10</f>
        <v/>
      </c>
      <c r="O5" s="14">
        <f>AVERAGE(SUMPRODUCT($S5:$BM5,AttWeights!$C$5:$AW$5)/SUM(AttWeights!$C$5:$AW$5),SUMPRODUCT($S5:$BM5,AttWeights!$C$14:$AW$14)/SUM(AttWeights!$C$14:$AW$14))*10</f>
        <v/>
      </c>
      <c r="P5" s="14">
        <f>AVERAGE(SUMPRODUCT($S5:$BM5,AttWeights!$C$4:$AW$4)/SUM(AttWeights!$C$4:$AW$4),SUMPRODUCT($S5:$BM5,AttWeights!$C$13:$AW$13)/SUM(AttWeights!$C$13:$AW$13))*10</f>
        <v/>
      </c>
      <c r="Q5" s="14">
        <f>AVERAGE(SUMPRODUCT($S5:$BM5,AttWeights!$C$3:$AW$3)/SUM(AttWeights!$C$3:$AW$3),SUMPRODUCT($S5:$BM5,AttWeights!$C$12:$AW$12)/SUM(AttWeights!$C$12:$AW$12))*10</f>
        <v/>
      </c>
      <c r="R5" s="14">
        <f>AVERAGE(SUMPRODUCT($S5:$BM5,AttWeights!$C$2:$AW$2)/SUM(AttWeights!$C$2:$AW$2),SUMPRODUCT($S5:$BM5,AttWeights!$C$11:$AW$11)/SUM(AttWeights!$C$11:$AW$11))*10</f>
        <v/>
      </c>
      <c r="S5" s="3">
        <f>IF(ISBLANK('Paste Full'!AC5),"",'Paste Full'!AC5)</f>
        <v/>
      </c>
      <c r="T5" s="3">
        <f>IF(ISBLANK('Paste Full'!AD5),"",'Paste Full'!AD5)</f>
        <v/>
      </c>
      <c r="U5" s="3">
        <f>IF(ISBLANK('Paste Full'!AE5),"",'Paste Full'!AE5)</f>
        <v/>
      </c>
      <c r="V5" s="3">
        <f>IF(ISBLANK('Paste Full'!AF5),"",'Paste Full'!AF5)</f>
        <v/>
      </c>
      <c r="W5" s="3">
        <f>IF(ISBLANK('Paste Full'!AH5),"",'Paste Full'!AH5)</f>
        <v/>
      </c>
      <c r="X5" s="3">
        <f>IF(ISBLANK('Paste Full'!AI5),"",'Paste Full'!AI5)</f>
        <v/>
      </c>
      <c r="Y5" s="3">
        <f>IF(ISBLANK('Paste Full'!AK5),"",'Paste Full'!AK5)</f>
        <v/>
      </c>
      <c r="Z5" s="3">
        <f>IF(ISBLANK('Paste Full'!AL5),"",'Paste Full'!AL5)</f>
        <v/>
      </c>
      <c r="AA5" s="4">
        <f>IF(ISBLANK('Paste Full'!AM5),"",'Paste Full'!AM5)</f>
        <v/>
      </c>
      <c r="AB5" s="4">
        <f>IF(ISBLANK('Paste Full'!AN5),"",'Paste Full'!AN5)</f>
        <v/>
      </c>
      <c r="AC5" s="4">
        <f>IF(ISBLANK('Paste Full'!AO5),"",'Paste Full'!AO5)</f>
        <v/>
      </c>
      <c r="AD5" s="4">
        <f>IF(ISBLANK('Paste Full'!AP5),"",'Paste Full'!AP5)</f>
        <v/>
      </c>
      <c r="AE5" s="4">
        <f>IF(ISBLANK('Paste Full'!AQ5),"",'Paste Full'!AQ5)</f>
        <v/>
      </c>
      <c r="AF5" s="4">
        <f>IF(ISBLANK('Paste Full'!AR5),"",'Paste Full'!AR5)</f>
        <v/>
      </c>
      <c r="AG5" s="4">
        <f>IF(ISBLANK('Paste Full'!AS5),"",'Paste Full'!AS5)</f>
        <v/>
      </c>
      <c r="AH5" s="4">
        <f>IF(ISBLANK('Paste Full'!AV5),"",'Paste Full'!AV5)</f>
        <v/>
      </c>
      <c r="AI5" s="4">
        <f>IF(ISBLANK('Paste Full'!AT5),"",'Paste Full'!AT5)</f>
        <v/>
      </c>
      <c r="AJ5" s="4">
        <f>IF(ISBLANK('Paste Full'!AU5),"",'Paste Full'!AU5)</f>
        <v/>
      </c>
      <c r="AK5" s="4">
        <f>IF(ISBLANK('Paste Full'!AW5),"",'Paste Full'!AW5)</f>
        <v/>
      </c>
      <c r="AL5" s="5">
        <f>IF(ISBLANK('Paste Full'!AX5),"",'Paste Full'!AX5)</f>
        <v/>
      </c>
      <c r="AM5" s="5">
        <f>IF(ISBLANK('Paste Full'!AY5),"",'Paste Full'!AY5)</f>
        <v/>
      </c>
      <c r="AN5" s="5">
        <f>IF(ISBLANK('Paste Full'!AZ5),"",'Paste Full'!AZ5)</f>
        <v/>
      </c>
      <c r="AO5" s="5">
        <f>IF(ISBLANK('Paste Full'!BA5),"",'Paste Full'!BA5)</f>
        <v/>
      </c>
      <c r="AP5" s="5">
        <f>IF(ISBLANK('Paste Full'!BB5),"",'Paste Full'!BB5)</f>
        <v/>
      </c>
      <c r="AQ5" s="5">
        <f>IF(ISBLANK('Paste Full'!BC5),"",'Paste Full'!BC5)</f>
        <v/>
      </c>
      <c r="AR5" s="5">
        <f>IF(ISBLANK('Paste Full'!BD5),"",'Paste Full'!BD5)</f>
        <v/>
      </c>
      <c r="AS5" s="5">
        <f>IF(ISBLANK('Paste Full'!BE5),"",'Paste Full'!BE5)</f>
        <v/>
      </c>
      <c r="AT5" s="5">
        <f>IF(ISBLANK('Paste Full'!BF5),"",'Paste Full'!BF5)</f>
        <v/>
      </c>
      <c r="AU5" s="5">
        <f>IF(ISBLANK('Paste Full'!BG5),"",'Paste Full'!BG5)</f>
        <v/>
      </c>
      <c r="AV5" s="5">
        <f>IF(ISBLANK('Paste Full'!BH5),"",'Paste Full'!BH5)</f>
        <v/>
      </c>
      <c r="AW5" s="5">
        <f>IF(ISBLANK('Paste Full'!BI5),"",'Paste Full'!BI5)</f>
        <v/>
      </c>
      <c r="AX5" s="5">
        <f>IF(ISBLANK('Paste Full'!BJ5),"",'Paste Full'!BJ5)</f>
        <v/>
      </c>
      <c r="AY5" s="5">
        <f>IF(ISBLANK('Paste Full'!BK5),"",'Paste Full'!BK5)</f>
        <v/>
      </c>
      <c r="AZ5" s="6">
        <f>IF(ISBLANK('Paste Full'!BM5),"",'Paste Full'!BM5)</f>
        <v/>
      </c>
      <c r="BA5" s="6">
        <f>IF(ISBLANK('Paste Full'!BN5),"",'Paste Full'!BN5)</f>
        <v/>
      </c>
      <c r="BB5" s="6">
        <f>IF(ISBLANK('Paste Full'!BO5),"",'Paste Full'!BO5)</f>
        <v/>
      </c>
      <c r="BC5" s="6">
        <f>IF(ISBLANK('Paste Full'!BP5),"",'Paste Full'!BP5)</f>
        <v/>
      </c>
      <c r="BD5" s="6">
        <f>IF(ISBLANK('Paste Full'!BR5),"",'Paste Full'!BR5)</f>
        <v/>
      </c>
      <c r="BE5" s="6">
        <f>IF(ISBLANK('Paste Full'!BS5),"",'Paste Full'!BS5)</f>
        <v/>
      </c>
      <c r="BF5" s="6">
        <f>IF(ISBLANK('Paste Full'!BU5),"",'Paste Full'!BU5)</f>
        <v/>
      </c>
      <c r="BG5" s="6">
        <f>IF(ISBLANK('Paste Full'!BV5),"",'Paste Full'!BV5)</f>
        <v/>
      </c>
      <c r="BH5" s="6">
        <f>IF(ISBLANK('Paste Full'!BX5),"",'Paste Full'!BX5)</f>
        <v/>
      </c>
      <c r="BI5" s="6">
        <f>IF(ISBLANK('Paste Full'!BY5),"",'Paste Full'!BY5)</f>
        <v/>
      </c>
      <c r="BJ5" s="13">
        <f>IF(ISBLANK('Paste Full'!BL5),"",'Paste Full'!BL5)</f>
        <v/>
      </c>
      <c r="BK5" s="13">
        <f>IF(ISBLANK('Paste Full'!BQ5),"",'Paste Full'!BQ5)</f>
        <v/>
      </c>
      <c r="BL5" s="13">
        <f>IF(ISBLANK('Paste Full'!BT5),"",'Paste Full'!BT5)</f>
        <v/>
      </c>
      <c r="BM5" s="13">
        <f>IF(ISBLANK('Paste Full'!BW5),"",'Paste Full'!BW5)</f>
        <v/>
      </c>
    </row>
    <row r="6">
      <c r="A6">
        <f>IF(ISBLANK('Paste Full'!C6),"",'Paste Full'!C6)</f>
        <v/>
      </c>
      <c r="B6">
        <f>INDEX($J$1:$R$1, MATCH(MAX($J6:$R6), $J6:$R6, 0))</f>
        <v/>
      </c>
      <c r="C6" s="45">
        <f>IF(ISBLANK('Paste Full'!H6),"",'Paste Full'!H6)</f>
        <v/>
      </c>
      <c r="D6" s="45">
        <f>IF(ISBLANK('Paste Full'!F6),"",'Paste Full'!F6)</f>
        <v/>
      </c>
      <c r="E6" s="45">
        <f>IF(ISBLANK('Paste Full'!G6),"",'Paste Full'!G6)</f>
        <v/>
      </c>
      <c r="F6" s="21">
        <f>IF(ISBLANK('Paste Full'!E6),"",'Paste Full'!E6)</f>
        <v/>
      </c>
      <c r="G6">
        <f>IF(ISBLANK('Paste Full'!CI6),"",'Paste Full'!CI6)</f>
        <v/>
      </c>
      <c r="H6" s="21">
        <f>IF(ISBLANK('Paste Full'!J6),"",'Paste Full'!J6)</f>
        <v/>
      </c>
      <c r="I6" s="21">
        <f>IF(ISBLANK('Paste Full'!D6),"",'Paste Full'!D6)</f>
        <v/>
      </c>
      <c r="J6" s="14">
        <f>AVERAGE(SUMPRODUCT($S6:$BM6,AttWeights!$C$10:$AW$10)/SUM(AttWeights!$C$10:$AW$10),SUMPRODUCT($S6:$BM6,AttWeights!$C$17:$AW$17)/SUM(AttWeights!$C$17:$AW$17))*10</f>
        <v/>
      </c>
      <c r="K6" s="14">
        <f>AVERAGE(SUMPRODUCT($S6:$BM6,AttWeights!$C$7:$AW$7)/SUM(AttWeights!$C$7:$AW$7),SUMPRODUCT($S6:$BM6,AttWeights!$C$15:$AW$15)/SUM(AttWeights!$C$15:$AW$15))*10</f>
        <v/>
      </c>
      <c r="L6" s="14">
        <f>AVERAGE(SUMPRODUCT($S6:$BM6,AttWeights!$C$8:$AW$8)/SUM(AttWeights!$C$8:$AW$8),SUMPRODUCT($S6:$BM6,AttWeights!$C$16:$AW$16)/SUM(AttWeights!$C$16:$AW$16))*10</f>
        <v/>
      </c>
      <c r="M6" s="14">
        <f>AVERAGE(SUMPRODUCT($S6:$BM6,AttWeights!$C$9:$AW$9)/SUM(AttWeights!$C$9:$AW$9),SUMPRODUCT($S6:$BM6,AttWeights!$C$15:$AW$15)/SUM(AttWeights!$C$15:$AW$15))*10</f>
        <v/>
      </c>
      <c r="N6" s="14">
        <f>AVERAGE(SUMPRODUCT($S6:$BM6,AttWeights!$C$6:$AW$6)/SUM(AttWeights!$C$6:$AW$6),SUMPRODUCT($S6:$BM6,AttWeights!$C$14:$AW$14)/SUM(AttWeights!$C$14:$AW$14))*10</f>
        <v/>
      </c>
      <c r="O6" s="14">
        <f>AVERAGE(SUMPRODUCT($S6:$BM6,AttWeights!$C$5:$AW$5)/SUM(AttWeights!$C$5:$AW$5),SUMPRODUCT($S6:$BM6,AttWeights!$C$14:$AW$14)/SUM(AttWeights!$C$14:$AW$14))*10</f>
        <v/>
      </c>
      <c r="P6" s="14">
        <f>AVERAGE(SUMPRODUCT($S6:$BM6,AttWeights!$C$4:$AW$4)/SUM(AttWeights!$C$4:$AW$4),SUMPRODUCT($S6:$BM6,AttWeights!$C$13:$AW$13)/SUM(AttWeights!$C$13:$AW$13))*10</f>
        <v/>
      </c>
      <c r="Q6" s="14">
        <f>AVERAGE(SUMPRODUCT($S6:$BM6,AttWeights!$C$3:$AW$3)/SUM(AttWeights!$C$3:$AW$3),SUMPRODUCT($S6:$BM6,AttWeights!$C$12:$AW$12)/SUM(AttWeights!$C$12:$AW$12))*10</f>
        <v/>
      </c>
      <c r="R6" s="14">
        <f>AVERAGE(SUMPRODUCT($S6:$BM6,AttWeights!$C$2:$AW$2)/SUM(AttWeights!$C$2:$AW$2),SUMPRODUCT($S6:$BM6,AttWeights!$C$11:$AW$11)/SUM(AttWeights!$C$11:$AW$11))*10</f>
        <v/>
      </c>
      <c r="S6" s="3">
        <f>IF(ISBLANK('Paste Full'!AC6),"",'Paste Full'!AC6)</f>
        <v/>
      </c>
      <c r="T6" s="3">
        <f>IF(ISBLANK('Paste Full'!AD6),"",'Paste Full'!AD6)</f>
        <v/>
      </c>
      <c r="U6" s="3">
        <f>IF(ISBLANK('Paste Full'!AE6),"",'Paste Full'!AE6)</f>
        <v/>
      </c>
      <c r="V6" s="3">
        <f>IF(ISBLANK('Paste Full'!AF6),"",'Paste Full'!AF6)</f>
        <v/>
      </c>
      <c r="W6" s="3">
        <f>IF(ISBLANK('Paste Full'!AH6),"",'Paste Full'!AH6)</f>
        <v/>
      </c>
      <c r="X6" s="3">
        <f>IF(ISBLANK('Paste Full'!AI6),"",'Paste Full'!AI6)</f>
        <v/>
      </c>
      <c r="Y6" s="3">
        <f>IF(ISBLANK('Paste Full'!AK6),"",'Paste Full'!AK6)</f>
        <v/>
      </c>
      <c r="Z6" s="3">
        <f>IF(ISBLANK('Paste Full'!AL6),"",'Paste Full'!AL6)</f>
        <v/>
      </c>
      <c r="AA6" s="4">
        <f>IF(ISBLANK('Paste Full'!AM6),"",'Paste Full'!AM6)</f>
        <v/>
      </c>
      <c r="AB6" s="4">
        <f>IF(ISBLANK('Paste Full'!AN6),"",'Paste Full'!AN6)</f>
        <v/>
      </c>
      <c r="AC6" s="4">
        <f>IF(ISBLANK('Paste Full'!AO6),"",'Paste Full'!AO6)</f>
        <v/>
      </c>
      <c r="AD6" s="4">
        <f>IF(ISBLANK('Paste Full'!AP6),"",'Paste Full'!AP6)</f>
        <v/>
      </c>
      <c r="AE6" s="4">
        <f>IF(ISBLANK('Paste Full'!AQ6),"",'Paste Full'!AQ6)</f>
        <v/>
      </c>
      <c r="AF6" s="4">
        <f>IF(ISBLANK('Paste Full'!AR6),"",'Paste Full'!AR6)</f>
        <v/>
      </c>
      <c r="AG6" s="4">
        <f>IF(ISBLANK('Paste Full'!AS6),"",'Paste Full'!AS6)</f>
        <v/>
      </c>
      <c r="AH6" s="4">
        <f>IF(ISBLANK('Paste Full'!AV6),"",'Paste Full'!AV6)</f>
        <v/>
      </c>
      <c r="AI6" s="4">
        <f>IF(ISBLANK('Paste Full'!AT6),"",'Paste Full'!AT6)</f>
        <v/>
      </c>
      <c r="AJ6" s="4">
        <f>IF(ISBLANK('Paste Full'!AU6),"",'Paste Full'!AU6)</f>
        <v/>
      </c>
      <c r="AK6" s="4">
        <f>IF(ISBLANK('Paste Full'!AW6),"",'Paste Full'!AW6)</f>
        <v/>
      </c>
      <c r="AL6" s="5">
        <f>IF(ISBLANK('Paste Full'!AX6),"",'Paste Full'!AX6)</f>
        <v/>
      </c>
      <c r="AM6" s="5">
        <f>IF(ISBLANK('Paste Full'!AY6),"",'Paste Full'!AY6)</f>
        <v/>
      </c>
      <c r="AN6" s="5">
        <f>IF(ISBLANK('Paste Full'!AZ6),"",'Paste Full'!AZ6)</f>
        <v/>
      </c>
      <c r="AO6" s="5">
        <f>IF(ISBLANK('Paste Full'!BA6),"",'Paste Full'!BA6)</f>
        <v/>
      </c>
      <c r="AP6" s="5">
        <f>IF(ISBLANK('Paste Full'!BB6),"",'Paste Full'!BB6)</f>
        <v/>
      </c>
      <c r="AQ6" s="5">
        <f>IF(ISBLANK('Paste Full'!BC6),"",'Paste Full'!BC6)</f>
        <v/>
      </c>
      <c r="AR6" s="5">
        <f>IF(ISBLANK('Paste Full'!BD6),"",'Paste Full'!BD6)</f>
        <v/>
      </c>
      <c r="AS6" s="5">
        <f>IF(ISBLANK('Paste Full'!BE6),"",'Paste Full'!BE6)</f>
        <v/>
      </c>
      <c r="AT6" s="5">
        <f>IF(ISBLANK('Paste Full'!BF6),"",'Paste Full'!BF6)</f>
        <v/>
      </c>
      <c r="AU6" s="5">
        <f>IF(ISBLANK('Paste Full'!BG6),"",'Paste Full'!BG6)</f>
        <v/>
      </c>
      <c r="AV6" s="5">
        <f>IF(ISBLANK('Paste Full'!BH6),"",'Paste Full'!BH6)</f>
        <v/>
      </c>
      <c r="AW6" s="5">
        <f>IF(ISBLANK('Paste Full'!BI6),"",'Paste Full'!BI6)</f>
        <v/>
      </c>
      <c r="AX6" s="5">
        <f>IF(ISBLANK('Paste Full'!BJ6),"",'Paste Full'!BJ6)</f>
        <v/>
      </c>
      <c r="AY6" s="5">
        <f>IF(ISBLANK('Paste Full'!BK6),"",'Paste Full'!BK6)</f>
        <v/>
      </c>
      <c r="AZ6" s="6">
        <f>IF(ISBLANK('Paste Full'!BM6),"",'Paste Full'!BM6)</f>
        <v/>
      </c>
      <c r="BA6" s="6">
        <f>IF(ISBLANK('Paste Full'!BN6),"",'Paste Full'!BN6)</f>
        <v/>
      </c>
      <c r="BB6" s="6">
        <f>IF(ISBLANK('Paste Full'!BO6),"",'Paste Full'!BO6)</f>
        <v/>
      </c>
      <c r="BC6" s="6">
        <f>IF(ISBLANK('Paste Full'!BP6),"",'Paste Full'!BP6)</f>
        <v/>
      </c>
      <c r="BD6" s="6">
        <f>IF(ISBLANK('Paste Full'!BR6),"",'Paste Full'!BR6)</f>
        <v/>
      </c>
      <c r="BE6" s="6">
        <f>IF(ISBLANK('Paste Full'!BS6),"",'Paste Full'!BS6)</f>
        <v/>
      </c>
      <c r="BF6" s="6">
        <f>IF(ISBLANK('Paste Full'!BU6),"",'Paste Full'!BU6)</f>
        <v/>
      </c>
      <c r="BG6" s="6">
        <f>IF(ISBLANK('Paste Full'!BV6),"",'Paste Full'!BV6)</f>
        <v/>
      </c>
      <c r="BH6" s="6">
        <f>IF(ISBLANK('Paste Full'!BX6),"",'Paste Full'!BX6)</f>
        <v/>
      </c>
      <c r="BI6" s="6">
        <f>IF(ISBLANK('Paste Full'!BY6),"",'Paste Full'!BY6)</f>
        <v/>
      </c>
      <c r="BJ6" s="13">
        <f>IF(ISBLANK('Paste Full'!BL6),"",'Paste Full'!BL6)</f>
        <v/>
      </c>
      <c r="BK6" s="13">
        <f>IF(ISBLANK('Paste Full'!BQ6),"",'Paste Full'!BQ6)</f>
        <v/>
      </c>
      <c r="BL6" s="13">
        <f>IF(ISBLANK('Paste Full'!BT6),"",'Paste Full'!BT6)</f>
        <v/>
      </c>
      <c r="BM6" s="13">
        <f>IF(ISBLANK('Paste Full'!BW6),"",'Paste Full'!BW6)</f>
        <v/>
      </c>
    </row>
    <row r="7">
      <c r="A7">
        <f>IF(ISBLANK('Paste Full'!C7),"",'Paste Full'!C7)</f>
        <v/>
      </c>
      <c r="B7">
        <f>INDEX($J$1:$R$1, MATCH(MAX($J7:$R7), $J7:$R7, 0))</f>
        <v/>
      </c>
      <c r="C7" s="45">
        <f>IF(ISBLANK('Paste Full'!H7),"",'Paste Full'!H7)</f>
        <v/>
      </c>
      <c r="D7" s="45">
        <f>IF(ISBLANK('Paste Full'!F7),"",'Paste Full'!F7)</f>
        <v/>
      </c>
      <c r="E7" s="45">
        <f>IF(ISBLANK('Paste Full'!G7),"",'Paste Full'!G7)</f>
        <v/>
      </c>
      <c r="F7" s="21">
        <f>IF(ISBLANK('Paste Full'!E7),"",'Paste Full'!E7)</f>
        <v/>
      </c>
      <c r="G7">
        <f>IF(ISBLANK('Paste Full'!CI7),"",'Paste Full'!CI7)</f>
        <v/>
      </c>
      <c r="H7" s="21">
        <f>IF(ISBLANK('Paste Full'!J7),"",'Paste Full'!J7)</f>
        <v/>
      </c>
      <c r="I7" s="21">
        <f>IF(ISBLANK('Paste Full'!D7),"",'Paste Full'!D7)</f>
        <v/>
      </c>
      <c r="J7" s="14">
        <f>AVERAGE(SUMPRODUCT($S7:$BM7,AttWeights!$C$10:$AW$10)/SUM(AttWeights!$C$10:$AW$10),SUMPRODUCT($S7:$BM7,AttWeights!$C$17:$AW$17)/SUM(AttWeights!$C$17:$AW$17))*10</f>
        <v/>
      </c>
      <c r="K7" s="14">
        <f>AVERAGE(SUMPRODUCT($S7:$BM7,AttWeights!$C$7:$AW$7)/SUM(AttWeights!$C$7:$AW$7),SUMPRODUCT($S7:$BM7,AttWeights!$C$15:$AW$15)/SUM(AttWeights!$C$15:$AW$15))*10</f>
        <v/>
      </c>
      <c r="L7" s="14">
        <f>AVERAGE(SUMPRODUCT($S7:$BM7,AttWeights!$C$8:$AW$8)/SUM(AttWeights!$C$8:$AW$8),SUMPRODUCT($S7:$BM7,AttWeights!$C$16:$AW$16)/SUM(AttWeights!$C$16:$AW$16))*10</f>
        <v/>
      </c>
      <c r="M7" s="14">
        <f>AVERAGE(SUMPRODUCT($S7:$BM7,AttWeights!$C$9:$AW$9)/SUM(AttWeights!$C$9:$AW$9),SUMPRODUCT($S7:$BM7,AttWeights!$C$15:$AW$15)/SUM(AttWeights!$C$15:$AW$15))*10</f>
        <v/>
      </c>
      <c r="N7" s="14">
        <f>AVERAGE(SUMPRODUCT($S7:$BM7,AttWeights!$C$6:$AW$6)/SUM(AttWeights!$C$6:$AW$6),SUMPRODUCT($S7:$BM7,AttWeights!$C$14:$AW$14)/SUM(AttWeights!$C$14:$AW$14))*10</f>
        <v/>
      </c>
      <c r="O7" s="14">
        <f>AVERAGE(SUMPRODUCT($S7:$BM7,AttWeights!$C$5:$AW$5)/SUM(AttWeights!$C$5:$AW$5),SUMPRODUCT($S7:$BM7,AttWeights!$C$14:$AW$14)/SUM(AttWeights!$C$14:$AW$14))*10</f>
        <v/>
      </c>
      <c r="P7" s="14">
        <f>AVERAGE(SUMPRODUCT($S7:$BM7,AttWeights!$C$4:$AW$4)/SUM(AttWeights!$C$4:$AW$4),SUMPRODUCT($S7:$BM7,AttWeights!$C$13:$AW$13)/SUM(AttWeights!$C$13:$AW$13))*10</f>
        <v/>
      </c>
      <c r="Q7" s="14">
        <f>AVERAGE(SUMPRODUCT($S7:$BM7,AttWeights!$C$3:$AW$3)/SUM(AttWeights!$C$3:$AW$3),SUMPRODUCT($S7:$BM7,AttWeights!$C$12:$AW$12)/SUM(AttWeights!$C$12:$AW$12))*10</f>
        <v/>
      </c>
      <c r="R7" s="14">
        <f>AVERAGE(SUMPRODUCT($S7:$BM7,AttWeights!$C$2:$AW$2)/SUM(AttWeights!$C$2:$AW$2),SUMPRODUCT($S7:$BM7,AttWeights!$C$11:$AW$11)/SUM(AttWeights!$C$11:$AW$11))*10</f>
        <v/>
      </c>
      <c r="S7" s="3">
        <f>IF(ISBLANK('Paste Full'!AC7),"",'Paste Full'!AC7)</f>
        <v/>
      </c>
      <c r="T7" s="3">
        <f>IF(ISBLANK('Paste Full'!AD7),"",'Paste Full'!AD7)</f>
        <v/>
      </c>
      <c r="U7" s="3">
        <f>IF(ISBLANK('Paste Full'!AE7),"",'Paste Full'!AE7)</f>
        <v/>
      </c>
      <c r="V7" s="3">
        <f>IF(ISBLANK('Paste Full'!AF7),"",'Paste Full'!AF7)</f>
        <v/>
      </c>
      <c r="W7" s="3">
        <f>IF(ISBLANK('Paste Full'!AH7),"",'Paste Full'!AH7)</f>
        <v/>
      </c>
      <c r="X7" s="3">
        <f>IF(ISBLANK('Paste Full'!AI7),"",'Paste Full'!AI7)</f>
        <v/>
      </c>
      <c r="Y7" s="3">
        <f>IF(ISBLANK('Paste Full'!AK7),"",'Paste Full'!AK7)</f>
        <v/>
      </c>
      <c r="Z7" s="3">
        <f>IF(ISBLANK('Paste Full'!AL7),"",'Paste Full'!AL7)</f>
        <v/>
      </c>
      <c r="AA7" s="4">
        <f>IF(ISBLANK('Paste Full'!AM7),"",'Paste Full'!AM7)</f>
        <v/>
      </c>
      <c r="AB7" s="4">
        <f>IF(ISBLANK('Paste Full'!AN7),"",'Paste Full'!AN7)</f>
        <v/>
      </c>
      <c r="AC7" s="4">
        <f>IF(ISBLANK('Paste Full'!AO7),"",'Paste Full'!AO7)</f>
        <v/>
      </c>
      <c r="AD7" s="4">
        <f>IF(ISBLANK('Paste Full'!AP7),"",'Paste Full'!AP7)</f>
        <v/>
      </c>
      <c r="AE7" s="4">
        <f>IF(ISBLANK('Paste Full'!AQ7),"",'Paste Full'!AQ7)</f>
        <v/>
      </c>
      <c r="AF7" s="4">
        <f>IF(ISBLANK('Paste Full'!AR7),"",'Paste Full'!AR7)</f>
        <v/>
      </c>
      <c r="AG7" s="4">
        <f>IF(ISBLANK('Paste Full'!AS7),"",'Paste Full'!AS7)</f>
        <v/>
      </c>
      <c r="AH7" s="4">
        <f>IF(ISBLANK('Paste Full'!AV7),"",'Paste Full'!AV7)</f>
        <v/>
      </c>
      <c r="AI7" s="4">
        <f>IF(ISBLANK('Paste Full'!AT7),"",'Paste Full'!AT7)</f>
        <v/>
      </c>
      <c r="AJ7" s="4">
        <f>IF(ISBLANK('Paste Full'!AU7),"",'Paste Full'!AU7)</f>
        <v/>
      </c>
      <c r="AK7" s="4">
        <f>IF(ISBLANK('Paste Full'!AW7),"",'Paste Full'!AW7)</f>
        <v/>
      </c>
      <c r="AL7" s="5">
        <f>IF(ISBLANK('Paste Full'!AX7),"",'Paste Full'!AX7)</f>
        <v/>
      </c>
      <c r="AM7" s="5">
        <f>IF(ISBLANK('Paste Full'!AY7),"",'Paste Full'!AY7)</f>
        <v/>
      </c>
      <c r="AN7" s="5">
        <f>IF(ISBLANK('Paste Full'!AZ7),"",'Paste Full'!AZ7)</f>
        <v/>
      </c>
      <c r="AO7" s="5">
        <f>IF(ISBLANK('Paste Full'!BA7),"",'Paste Full'!BA7)</f>
        <v/>
      </c>
      <c r="AP7" s="5">
        <f>IF(ISBLANK('Paste Full'!BB7),"",'Paste Full'!BB7)</f>
        <v/>
      </c>
      <c r="AQ7" s="5">
        <f>IF(ISBLANK('Paste Full'!BC7),"",'Paste Full'!BC7)</f>
        <v/>
      </c>
      <c r="AR7" s="5">
        <f>IF(ISBLANK('Paste Full'!BD7),"",'Paste Full'!BD7)</f>
        <v/>
      </c>
      <c r="AS7" s="5">
        <f>IF(ISBLANK('Paste Full'!BE7),"",'Paste Full'!BE7)</f>
        <v/>
      </c>
      <c r="AT7" s="5">
        <f>IF(ISBLANK('Paste Full'!BF7),"",'Paste Full'!BF7)</f>
        <v/>
      </c>
      <c r="AU7" s="5">
        <f>IF(ISBLANK('Paste Full'!BG7),"",'Paste Full'!BG7)</f>
        <v/>
      </c>
      <c r="AV7" s="5">
        <f>IF(ISBLANK('Paste Full'!BH7),"",'Paste Full'!BH7)</f>
        <v/>
      </c>
      <c r="AW7" s="5">
        <f>IF(ISBLANK('Paste Full'!BI7),"",'Paste Full'!BI7)</f>
        <v/>
      </c>
      <c r="AX7" s="5">
        <f>IF(ISBLANK('Paste Full'!BJ7),"",'Paste Full'!BJ7)</f>
        <v/>
      </c>
      <c r="AY7" s="5">
        <f>IF(ISBLANK('Paste Full'!BK7),"",'Paste Full'!BK7)</f>
        <v/>
      </c>
      <c r="AZ7" s="6">
        <f>IF(ISBLANK('Paste Full'!BM7),"",'Paste Full'!BM7)</f>
        <v/>
      </c>
      <c r="BA7" s="6">
        <f>IF(ISBLANK('Paste Full'!BN7),"",'Paste Full'!BN7)</f>
        <v/>
      </c>
      <c r="BB7" s="6">
        <f>IF(ISBLANK('Paste Full'!BO7),"",'Paste Full'!BO7)</f>
        <v/>
      </c>
      <c r="BC7" s="6">
        <f>IF(ISBLANK('Paste Full'!BP7),"",'Paste Full'!BP7)</f>
        <v/>
      </c>
      <c r="BD7" s="6">
        <f>IF(ISBLANK('Paste Full'!BR7),"",'Paste Full'!BR7)</f>
        <v/>
      </c>
      <c r="BE7" s="6">
        <f>IF(ISBLANK('Paste Full'!BS7),"",'Paste Full'!BS7)</f>
        <v/>
      </c>
      <c r="BF7" s="6">
        <f>IF(ISBLANK('Paste Full'!BU7),"",'Paste Full'!BU7)</f>
        <v/>
      </c>
      <c r="BG7" s="6">
        <f>IF(ISBLANK('Paste Full'!BV7),"",'Paste Full'!BV7)</f>
        <v/>
      </c>
      <c r="BH7" s="6">
        <f>IF(ISBLANK('Paste Full'!BX7),"",'Paste Full'!BX7)</f>
        <v/>
      </c>
      <c r="BI7" s="6">
        <f>IF(ISBLANK('Paste Full'!BY7),"",'Paste Full'!BY7)</f>
        <v/>
      </c>
      <c r="BJ7" s="13">
        <f>IF(ISBLANK('Paste Full'!BL7),"",'Paste Full'!BL7)</f>
        <v/>
      </c>
      <c r="BK7" s="13">
        <f>IF(ISBLANK('Paste Full'!BQ7),"",'Paste Full'!BQ7)</f>
        <v/>
      </c>
      <c r="BL7" s="13">
        <f>IF(ISBLANK('Paste Full'!BT7),"",'Paste Full'!BT7)</f>
        <v/>
      </c>
      <c r="BM7" s="13">
        <f>IF(ISBLANK('Paste Full'!BW7),"",'Paste Full'!BW7)</f>
        <v/>
      </c>
    </row>
    <row r="8">
      <c r="A8">
        <f>IF(ISBLANK('Paste Full'!C8),"",'Paste Full'!C8)</f>
        <v/>
      </c>
      <c r="B8">
        <f>INDEX($J$1:$R$1, MATCH(MAX($J8:$R8), $J8:$R8, 0))</f>
        <v/>
      </c>
      <c r="C8" s="45">
        <f>IF(ISBLANK('Paste Full'!H8),"",'Paste Full'!H8)</f>
        <v/>
      </c>
      <c r="D8" s="45">
        <f>IF(ISBLANK('Paste Full'!F8),"",'Paste Full'!F8)</f>
        <v/>
      </c>
      <c r="E8" s="45">
        <f>IF(ISBLANK('Paste Full'!G8),"",'Paste Full'!G8)</f>
        <v/>
      </c>
      <c r="F8" s="21">
        <f>IF(ISBLANK('Paste Full'!E8),"",'Paste Full'!E8)</f>
        <v/>
      </c>
      <c r="G8">
        <f>IF(ISBLANK('Paste Full'!CI8),"",'Paste Full'!CI8)</f>
        <v/>
      </c>
      <c r="H8" s="21">
        <f>IF(ISBLANK('Paste Full'!J8),"",'Paste Full'!J8)</f>
        <v/>
      </c>
      <c r="I8" s="21">
        <f>IF(ISBLANK('Paste Full'!D8),"",'Paste Full'!D8)</f>
        <v/>
      </c>
      <c r="J8" s="14">
        <f>AVERAGE(SUMPRODUCT($S8:$BM8,AttWeights!$C$10:$AW$10)/SUM(AttWeights!$C$10:$AW$10),SUMPRODUCT($S8:$BM8,AttWeights!$C$17:$AW$17)/SUM(AttWeights!$C$17:$AW$17))*10</f>
        <v/>
      </c>
      <c r="K8" s="14">
        <f>AVERAGE(SUMPRODUCT($S8:$BM8,AttWeights!$C$7:$AW$7)/SUM(AttWeights!$C$7:$AW$7),SUMPRODUCT($S8:$BM8,AttWeights!$C$15:$AW$15)/SUM(AttWeights!$C$15:$AW$15))*10</f>
        <v/>
      </c>
      <c r="L8" s="14">
        <f>AVERAGE(SUMPRODUCT($S8:$BM8,AttWeights!$C$8:$AW$8)/SUM(AttWeights!$C$8:$AW$8),SUMPRODUCT($S8:$BM8,AttWeights!$C$16:$AW$16)/SUM(AttWeights!$C$16:$AW$16))*10</f>
        <v/>
      </c>
      <c r="M8" s="14">
        <f>AVERAGE(SUMPRODUCT($S8:$BM8,AttWeights!$C$9:$AW$9)/SUM(AttWeights!$C$9:$AW$9),SUMPRODUCT($S8:$BM8,AttWeights!$C$15:$AW$15)/SUM(AttWeights!$C$15:$AW$15))*10</f>
        <v/>
      </c>
      <c r="N8" s="14">
        <f>AVERAGE(SUMPRODUCT($S8:$BM8,AttWeights!$C$6:$AW$6)/SUM(AttWeights!$C$6:$AW$6),SUMPRODUCT($S8:$BM8,AttWeights!$C$14:$AW$14)/SUM(AttWeights!$C$14:$AW$14))*10</f>
        <v/>
      </c>
      <c r="O8" s="14">
        <f>AVERAGE(SUMPRODUCT($S8:$BM8,AttWeights!$C$5:$AW$5)/SUM(AttWeights!$C$5:$AW$5),SUMPRODUCT($S8:$BM8,AttWeights!$C$14:$AW$14)/SUM(AttWeights!$C$14:$AW$14))*10</f>
        <v/>
      </c>
      <c r="P8" s="14">
        <f>AVERAGE(SUMPRODUCT($S8:$BM8,AttWeights!$C$4:$AW$4)/SUM(AttWeights!$C$4:$AW$4),SUMPRODUCT($S8:$BM8,AttWeights!$C$13:$AW$13)/SUM(AttWeights!$C$13:$AW$13))*10</f>
        <v/>
      </c>
      <c r="Q8" s="14">
        <f>AVERAGE(SUMPRODUCT($S8:$BM8,AttWeights!$C$3:$AW$3)/SUM(AttWeights!$C$3:$AW$3),SUMPRODUCT($S8:$BM8,AttWeights!$C$12:$AW$12)/SUM(AttWeights!$C$12:$AW$12))*10</f>
        <v/>
      </c>
      <c r="R8" s="14">
        <f>AVERAGE(SUMPRODUCT($S8:$BM8,AttWeights!$C$2:$AW$2)/SUM(AttWeights!$C$2:$AW$2),SUMPRODUCT($S8:$BM8,AttWeights!$C$11:$AW$11)/SUM(AttWeights!$C$11:$AW$11))*10</f>
        <v/>
      </c>
      <c r="S8" s="3">
        <f>IF(ISBLANK('Paste Full'!AC8),"",'Paste Full'!AC8)</f>
        <v/>
      </c>
      <c r="T8" s="3">
        <f>IF(ISBLANK('Paste Full'!AD8),"",'Paste Full'!AD8)</f>
        <v/>
      </c>
      <c r="U8" s="3">
        <f>IF(ISBLANK('Paste Full'!AE8),"",'Paste Full'!AE8)</f>
        <v/>
      </c>
      <c r="V8" s="3">
        <f>IF(ISBLANK('Paste Full'!AF8),"",'Paste Full'!AF8)</f>
        <v/>
      </c>
      <c r="W8" s="3">
        <f>IF(ISBLANK('Paste Full'!AH8),"",'Paste Full'!AH8)</f>
        <v/>
      </c>
      <c r="X8" s="3">
        <f>IF(ISBLANK('Paste Full'!AI8),"",'Paste Full'!AI8)</f>
        <v/>
      </c>
      <c r="Y8" s="3">
        <f>IF(ISBLANK('Paste Full'!AK8),"",'Paste Full'!AK8)</f>
        <v/>
      </c>
      <c r="Z8" s="3">
        <f>IF(ISBLANK('Paste Full'!AL8),"",'Paste Full'!AL8)</f>
        <v/>
      </c>
      <c r="AA8" s="4">
        <f>IF(ISBLANK('Paste Full'!AM8),"",'Paste Full'!AM8)</f>
        <v/>
      </c>
      <c r="AB8" s="4">
        <f>IF(ISBLANK('Paste Full'!AN8),"",'Paste Full'!AN8)</f>
        <v/>
      </c>
      <c r="AC8" s="4">
        <f>IF(ISBLANK('Paste Full'!AO8),"",'Paste Full'!AO8)</f>
        <v/>
      </c>
      <c r="AD8" s="4">
        <f>IF(ISBLANK('Paste Full'!AP8),"",'Paste Full'!AP8)</f>
        <v/>
      </c>
      <c r="AE8" s="4">
        <f>IF(ISBLANK('Paste Full'!AQ8),"",'Paste Full'!AQ8)</f>
        <v/>
      </c>
      <c r="AF8" s="4">
        <f>IF(ISBLANK('Paste Full'!AR8),"",'Paste Full'!AR8)</f>
        <v/>
      </c>
      <c r="AG8" s="4">
        <f>IF(ISBLANK('Paste Full'!AS8),"",'Paste Full'!AS8)</f>
        <v/>
      </c>
      <c r="AH8" s="4">
        <f>IF(ISBLANK('Paste Full'!AV8),"",'Paste Full'!AV8)</f>
        <v/>
      </c>
      <c r="AI8" s="4">
        <f>IF(ISBLANK('Paste Full'!AT8),"",'Paste Full'!AT8)</f>
        <v/>
      </c>
      <c r="AJ8" s="4">
        <f>IF(ISBLANK('Paste Full'!AU8),"",'Paste Full'!AU8)</f>
        <v/>
      </c>
      <c r="AK8" s="4">
        <f>IF(ISBLANK('Paste Full'!AW8),"",'Paste Full'!AW8)</f>
        <v/>
      </c>
      <c r="AL8" s="5">
        <f>IF(ISBLANK('Paste Full'!AX8),"",'Paste Full'!AX8)</f>
        <v/>
      </c>
      <c r="AM8" s="5">
        <f>IF(ISBLANK('Paste Full'!AY8),"",'Paste Full'!AY8)</f>
        <v/>
      </c>
      <c r="AN8" s="5">
        <f>IF(ISBLANK('Paste Full'!AZ8),"",'Paste Full'!AZ8)</f>
        <v/>
      </c>
      <c r="AO8" s="5">
        <f>IF(ISBLANK('Paste Full'!BA8),"",'Paste Full'!BA8)</f>
        <v/>
      </c>
      <c r="AP8" s="5">
        <f>IF(ISBLANK('Paste Full'!BB8),"",'Paste Full'!BB8)</f>
        <v/>
      </c>
      <c r="AQ8" s="5">
        <f>IF(ISBLANK('Paste Full'!BC8),"",'Paste Full'!BC8)</f>
        <v/>
      </c>
      <c r="AR8" s="5">
        <f>IF(ISBLANK('Paste Full'!BD8),"",'Paste Full'!BD8)</f>
        <v/>
      </c>
      <c r="AS8" s="5">
        <f>IF(ISBLANK('Paste Full'!BE8),"",'Paste Full'!BE8)</f>
        <v/>
      </c>
      <c r="AT8" s="5">
        <f>IF(ISBLANK('Paste Full'!BF8),"",'Paste Full'!BF8)</f>
        <v/>
      </c>
      <c r="AU8" s="5">
        <f>IF(ISBLANK('Paste Full'!BG8),"",'Paste Full'!BG8)</f>
        <v/>
      </c>
      <c r="AV8" s="5">
        <f>IF(ISBLANK('Paste Full'!BH8),"",'Paste Full'!BH8)</f>
        <v/>
      </c>
      <c r="AW8" s="5">
        <f>IF(ISBLANK('Paste Full'!BI8),"",'Paste Full'!BI8)</f>
        <v/>
      </c>
      <c r="AX8" s="5">
        <f>IF(ISBLANK('Paste Full'!BJ8),"",'Paste Full'!BJ8)</f>
        <v/>
      </c>
      <c r="AY8" s="5">
        <f>IF(ISBLANK('Paste Full'!BK8),"",'Paste Full'!BK8)</f>
        <v/>
      </c>
      <c r="AZ8" s="6">
        <f>IF(ISBLANK('Paste Full'!BM8),"",'Paste Full'!BM8)</f>
        <v/>
      </c>
      <c r="BA8" s="6">
        <f>IF(ISBLANK('Paste Full'!BN8),"",'Paste Full'!BN8)</f>
        <v/>
      </c>
      <c r="BB8" s="6">
        <f>IF(ISBLANK('Paste Full'!BO8),"",'Paste Full'!BO8)</f>
        <v/>
      </c>
      <c r="BC8" s="6">
        <f>IF(ISBLANK('Paste Full'!BP8),"",'Paste Full'!BP8)</f>
        <v/>
      </c>
      <c r="BD8" s="6">
        <f>IF(ISBLANK('Paste Full'!BR8),"",'Paste Full'!BR8)</f>
        <v/>
      </c>
      <c r="BE8" s="6">
        <f>IF(ISBLANK('Paste Full'!BS8),"",'Paste Full'!BS8)</f>
        <v/>
      </c>
      <c r="BF8" s="6">
        <f>IF(ISBLANK('Paste Full'!BU8),"",'Paste Full'!BU8)</f>
        <v/>
      </c>
      <c r="BG8" s="6">
        <f>IF(ISBLANK('Paste Full'!BV8),"",'Paste Full'!BV8)</f>
        <v/>
      </c>
      <c r="BH8" s="6">
        <f>IF(ISBLANK('Paste Full'!BX8),"",'Paste Full'!BX8)</f>
        <v/>
      </c>
      <c r="BI8" s="6">
        <f>IF(ISBLANK('Paste Full'!BY8),"",'Paste Full'!BY8)</f>
        <v/>
      </c>
      <c r="BJ8" s="13">
        <f>IF(ISBLANK('Paste Full'!BL8),"",'Paste Full'!BL8)</f>
        <v/>
      </c>
      <c r="BK8" s="13">
        <f>IF(ISBLANK('Paste Full'!BQ8),"",'Paste Full'!BQ8)</f>
        <v/>
      </c>
      <c r="BL8" s="13">
        <f>IF(ISBLANK('Paste Full'!BT8),"",'Paste Full'!BT8)</f>
        <v/>
      </c>
      <c r="BM8" s="13">
        <f>IF(ISBLANK('Paste Full'!BW8),"",'Paste Full'!BW8)</f>
        <v/>
      </c>
    </row>
    <row r="9">
      <c r="A9">
        <f>IF(ISBLANK('Paste Full'!C9),"",'Paste Full'!C9)</f>
        <v/>
      </c>
      <c r="B9">
        <f>INDEX($J$1:$R$1, MATCH(MAX($J9:$R9), $J9:$R9, 0))</f>
        <v/>
      </c>
      <c r="C9" s="45">
        <f>IF(ISBLANK('Paste Full'!H9),"",'Paste Full'!H9)</f>
        <v/>
      </c>
      <c r="D9" s="45">
        <f>IF(ISBLANK('Paste Full'!F9),"",'Paste Full'!F9)</f>
        <v/>
      </c>
      <c r="E9" s="45">
        <f>IF(ISBLANK('Paste Full'!G9),"",'Paste Full'!G9)</f>
        <v/>
      </c>
      <c r="F9" s="21">
        <f>IF(ISBLANK('Paste Full'!E9),"",'Paste Full'!E9)</f>
        <v/>
      </c>
      <c r="G9">
        <f>IF(ISBLANK('Paste Full'!CI9),"",'Paste Full'!CI9)</f>
        <v/>
      </c>
      <c r="H9" s="21">
        <f>IF(ISBLANK('Paste Full'!J9),"",'Paste Full'!J9)</f>
        <v/>
      </c>
      <c r="I9" s="21">
        <f>IF(ISBLANK('Paste Full'!D9),"",'Paste Full'!D9)</f>
        <v/>
      </c>
      <c r="J9" s="14">
        <f>AVERAGE(SUMPRODUCT($S9:$BM9,AttWeights!$C$10:$AW$10)/SUM(AttWeights!$C$10:$AW$10),SUMPRODUCT($S9:$BM9,AttWeights!$C$17:$AW$17)/SUM(AttWeights!$C$17:$AW$17))*10</f>
        <v/>
      </c>
      <c r="K9" s="14">
        <f>AVERAGE(SUMPRODUCT($S9:$BM9,AttWeights!$C$7:$AW$7)/SUM(AttWeights!$C$7:$AW$7),SUMPRODUCT($S9:$BM9,AttWeights!$C$15:$AW$15)/SUM(AttWeights!$C$15:$AW$15))*10</f>
        <v/>
      </c>
      <c r="L9" s="14">
        <f>AVERAGE(SUMPRODUCT($S9:$BM9,AttWeights!$C$8:$AW$8)/SUM(AttWeights!$C$8:$AW$8),SUMPRODUCT($S9:$BM9,AttWeights!$C$16:$AW$16)/SUM(AttWeights!$C$16:$AW$16))*10</f>
        <v/>
      </c>
      <c r="M9" s="14">
        <f>AVERAGE(SUMPRODUCT($S9:$BM9,AttWeights!$C$9:$AW$9)/SUM(AttWeights!$C$9:$AW$9),SUMPRODUCT($S9:$BM9,AttWeights!$C$15:$AW$15)/SUM(AttWeights!$C$15:$AW$15))*10</f>
        <v/>
      </c>
      <c r="N9" s="14">
        <f>AVERAGE(SUMPRODUCT($S9:$BM9,AttWeights!$C$6:$AW$6)/SUM(AttWeights!$C$6:$AW$6),SUMPRODUCT($S9:$BM9,AttWeights!$C$14:$AW$14)/SUM(AttWeights!$C$14:$AW$14))*10</f>
        <v/>
      </c>
      <c r="O9" s="14">
        <f>AVERAGE(SUMPRODUCT($S9:$BM9,AttWeights!$C$5:$AW$5)/SUM(AttWeights!$C$5:$AW$5),SUMPRODUCT($S9:$BM9,AttWeights!$C$14:$AW$14)/SUM(AttWeights!$C$14:$AW$14))*10</f>
        <v/>
      </c>
      <c r="P9" s="14">
        <f>AVERAGE(SUMPRODUCT($S9:$BM9,AttWeights!$C$4:$AW$4)/SUM(AttWeights!$C$4:$AW$4),SUMPRODUCT($S9:$BM9,AttWeights!$C$13:$AW$13)/SUM(AttWeights!$C$13:$AW$13))*10</f>
        <v/>
      </c>
      <c r="Q9" s="14">
        <f>AVERAGE(SUMPRODUCT($S9:$BM9,AttWeights!$C$3:$AW$3)/SUM(AttWeights!$C$3:$AW$3),SUMPRODUCT($S9:$BM9,AttWeights!$C$12:$AW$12)/SUM(AttWeights!$C$12:$AW$12))*10</f>
        <v/>
      </c>
      <c r="R9" s="14">
        <f>AVERAGE(SUMPRODUCT($S9:$BM9,AttWeights!$C$2:$AW$2)/SUM(AttWeights!$C$2:$AW$2),SUMPRODUCT($S9:$BM9,AttWeights!$C$11:$AW$11)/SUM(AttWeights!$C$11:$AW$11))*10</f>
        <v/>
      </c>
      <c r="S9" s="3">
        <f>IF(ISBLANK('Paste Full'!AC9),"",'Paste Full'!AC9)</f>
        <v/>
      </c>
      <c r="T9" s="3">
        <f>IF(ISBLANK('Paste Full'!AD9),"",'Paste Full'!AD9)</f>
        <v/>
      </c>
      <c r="U9" s="3">
        <f>IF(ISBLANK('Paste Full'!AE9),"",'Paste Full'!AE9)</f>
        <v/>
      </c>
      <c r="V9" s="3">
        <f>IF(ISBLANK('Paste Full'!AF9),"",'Paste Full'!AF9)</f>
        <v/>
      </c>
      <c r="W9" s="3">
        <f>IF(ISBLANK('Paste Full'!AH9),"",'Paste Full'!AH9)</f>
        <v/>
      </c>
      <c r="X9" s="3">
        <f>IF(ISBLANK('Paste Full'!AI9),"",'Paste Full'!AI9)</f>
        <v/>
      </c>
      <c r="Y9" s="3">
        <f>IF(ISBLANK('Paste Full'!AK9),"",'Paste Full'!AK9)</f>
        <v/>
      </c>
      <c r="Z9" s="3">
        <f>IF(ISBLANK('Paste Full'!AL9),"",'Paste Full'!AL9)</f>
        <v/>
      </c>
      <c r="AA9" s="4">
        <f>IF(ISBLANK('Paste Full'!AM9),"",'Paste Full'!AM9)</f>
        <v/>
      </c>
      <c r="AB9" s="4">
        <f>IF(ISBLANK('Paste Full'!AN9),"",'Paste Full'!AN9)</f>
        <v/>
      </c>
      <c r="AC9" s="4">
        <f>IF(ISBLANK('Paste Full'!AO9),"",'Paste Full'!AO9)</f>
        <v/>
      </c>
      <c r="AD9" s="4">
        <f>IF(ISBLANK('Paste Full'!AP9),"",'Paste Full'!AP9)</f>
        <v/>
      </c>
      <c r="AE9" s="4">
        <f>IF(ISBLANK('Paste Full'!AQ9),"",'Paste Full'!AQ9)</f>
        <v/>
      </c>
      <c r="AF9" s="4">
        <f>IF(ISBLANK('Paste Full'!AR9),"",'Paste Full'!AR9)</f>
        <v/>
      </c>
      <c r="AG9" s="4">
        <f>IF(ISBLANK('Paste Full'!AS9),"",'Paste Full'!AS9)</f>
        <v/>
      </c>
      <c r="AH9" s="4">
        <f>IF(ISBLANK('Paste Full'!AV9),"",'Paste Full'!AV9)</f>
        <v/>
      </c>
      <c r="AI9" s="4">
        <f>IF(ISBLANK('Paste Full'!AT9),"",'Paste Full'!AT9)</f>
        <v/>
      </c>
      <c r="AJ9" s="4">
        <f>IF(ISBLANK('Paste Full'!AU9),"",'Paste Full'!AU9)</f>
        <v/>
      </c>
      <c r="AK9" s="4">
        <f>IF(ISBLANK('Paste Full'!AW9),"",'Paste Full'!AW9)</f>
        <v/>
      </c>
      <c r="AL9" s="5">
        <f>IF(ISBLANK('Paste Full'!AX9),"",'Paste Full'!AX9)</f>
        <v/>
      </c>
      <c r="AM9" s="5">
        <f>IF(ISBLANK('Paste Full'!AY9),"",'Paste Full'!AY9)</f>
        <v/>
      </c>
      <c r="AN9" s="5">
        <f>IF(ISBLANK('Paste Full'!AZ9),"",'Paste Full'!AZ9)</f>
        <v/>
      </c>
      <c r="AO9" s="5">
        <f>IF(ISBLANK('Paste Full'!BA9),"",'Paste Full'!BA9)</f>
        <v/>
      </c>
      <c r="AP9" s="5">
        <f>IF(ISBLANK('Paste Full'!BB9),"",'Paste Full'!BB9)</f>
        <v/>
      </c>
      <c r="AQ9" s="5">
        <f>IF(ISBLANK('Paste Full'!BC9),"",'Paste Full'!BC9)</f>
        <v/>
      </c>
      <c r="AR9" s="5">
        <f>IF(ISBLANK('Paste Full'!BD9),"",'Paste Full'!BD9)</f>
        <v/>
      </c>
      <c r="AS9" s="5">
        <f>IF(ISBLANK('Paste Full'!BE9),"",'Paste Full'!BE9)</f>
        <v/>
      </c>
      <c r="AT9" s="5">
        <f>IF(ISBLANK('Paste Full'!BF9),"",'Paste Full'!BF9)</f>
        <v/>
      </c>
      <c r="AU9" s="5">
        <f>IF(ISBLANK('Paste Full'!BG9),"",'Paste Full'!BG9)</f>
        <v/>
      </c>
      <c r="AV9" s="5">
        <f>IF(ISBLANK('Paste Full'!BH9),"",'Paste Full'!BH9)</f>
        <v/>
      </c>
      <c r="AW9" s="5">
        <f>IF(ISBLANK('Paste Full'!BI9),"",'Paste Full'!BI9)</f>
        <v/>
      </c>
      <c r="AX9" s="5">
        <f>IF(ISBLANK('Paste Full'!BJ9),"",'Paste Full'!BJ9)</f>
        <v/>
      </c>
      <c r="AY9" s="5">
        <f>IF(ISBLANK('Paste Full'!BK9),"",'Paste Full'!BK9)</f>
        <v/>
      </c>
      <c r="AZ9" s="6">
        <f>IF(ISBLANK('Paste Full'!BM9),"",'Paste Full'!BM9)</f>
        <v/>
      </c>
      <c r="BA9" s="6">
        <f>IF(ISBLANK('Paste Full'!BN9),"",'Paste Full'!BN9)</f>
        <v/>
      </c>
      <c r="BB9" s="6">
        <f>IF(ISBLANK('Paste Full'!BO9),"",'Paste Full'!BO9)</f>
        <v/>
      </c>
      <c r="BC9" s="6">
        <f>IF(ISBLANK('Paste Full'!BP9),"",'Paste Full'!BP9)</f>
        <v/>
      </c>
      <c r="BD9" s="6">
        <f>IF(ISBLANK('Paste Full'!BR9),"",'Paste Full'!BR9)</f>
        <v/>
      </c>
      <c r="BE9" s="6">
        <f>IF(ISBLANK('Paste Full'!BS9),"",'Paste Full'!BS9)</f>
        <v/>
      </c>
      <c r="BF9" s="6">
        <f>IF(ISBLANK('Paste Full'!BU9),"",'Paste Full'!BU9)</f>
        <v/>
      </c>
      <c r="BG9" s="6">
        <f>IF(ISBLANK('Paste Full'!BV9),"",'Paste Full'!BV9)</f>
        <v/>
      </c>
      <c r="BH9" s="6">
        <f>IF(ISBLANK('Paste Full'!BX9),"",'Paste Full'!BX9)</f>
        <v/>
      </c>
      <c r="BI9" s="6">
        <f>IF(ISBLANK('Paste Full'!BY9),"",'Paste Full'!BY9)</f>
        <v/>
      </c>
      <c r="BJ9" s="13">
        <f>IF(ISBLANK('Paste Full'!BL9),"",'Paste Full'!BL9)</f>
        <v/>
      </c>
      <c r="BK9" s="13">
        <f>IF(ISBLANK('Paste Full'!BQ9),"",'Paste Full'!BQ9)</f>
        <v/>
      </c>
      <c r="BL9" s="13">
        <f>IF(ISBLANK('Paste Full'!BT9),"",'Paste Full'!BT9)</f>
        <v/>
      </c>
      <c r="BM9" s="13">
        <f>IF(ISBLANK('Paste Full'!BW9),"",'Paste Full'!BW9)</f>
        <v/>
      </c>
    </row>
    <row r="10">
      <c r="A10">
        <f>IF(ISBLANK('Paste Full'!C10),"",'Paste Full'!C10)</f>
        <v/>
      </c>
      <c r="B10">
        <f>INDEX($J$1:$R$1, MATCH(MAX($J10:$R10), $J10:$R10, 0))</f>
        <v/>
      </c>
      <c r="C10" s="45">
        <f>IF(ISBLANK('Paste Full'!H10),"",'Paste Full'!H10)</f>
        <v/>
      </c>
      <c r="D10" s="45">
        <f>IF(ISBLANK('Paste Full'!F10),"",'Paste Full'!F10)</f>
        <v/>
      </c>
      <c r="E10" s="45">
        <f>IF(ISBLANK('Paste Full'!G10),"",'Paste Full'!G10)</f>
        <v/>
      </c>
      <c r="F10" s="21">
        <f>IF(ISBLANK('Paste Full'!E10),"",'Paste Full'!E10)</f>
        <v/>
      </c>
      <c r="G10">
        <f>IF(ISBLANK('Paste Full'!CI10),"",'Paste Full'!CI10)</f>
        <v/>
      </c>
      <c r="H10" s="21">
        <f>IF(ISBLANK('Paste Full'!J10),"",'Paste Full'!J10)</f>
        <v/>
      </c>
      <c r="I10" s="21">
        <f>IF(ISBLANK('Paste Full'!D10),"",'Paste Full'!D10)</f>
        <v/>
      </c>
      <c r="J10" s="14">
        <f>AVERAGE(SUMPRODUCT($S10:$BM10,AttWeights!$C$10:$AW$10)/SUM(AttWeights!$C$10:$AW$10),SUMPRODUCT($S10:$BM10,AttWeights!$C$17:$AW$17)/SUM(AttWeights!$C$17:$AW$17))*10</f>
        <v/>
      </c>
      <c r="K10" s="14">
        <f>AVERAGE(SUMPRODUCT($S10:$BM10,AttWeights!$C$7:$AW$7)/SUM(AttWeights!$C$7:$AW$7),SUMPRODUCT($S10:$BM10,AttWeights!$C$15:$AW$15)/SUM(AttWeights!$C$15:$AW$15))*10</f>
        <v/>
      </c>
      <c r="L10" s="14">
        <f>AVERAGE(SUMPRODUCT($S10:$BM10,AttWeights!$C$8:$AW$8)/SUM(AttWeights!$C$8:$AW$8),SUMPRODUCT($S10:$BM10,AttWeights!$C$16:$AW$16)/SUM(AttWeights!$C$16:$AW$16))*10</f>
        <v/>
      </c>
      <c r="M10" s="14">
        <f>AVERAGE(SUMPRODUCT($S10:$BM10,AttWeights!$C$9:$AW$9)/SUM(AttWeights!$C$9:$AW$9),SUMPRODUCT($S10:$BM10,AttWeights!$C$15:$AW$15)/SUM(AttWeights!$C$15:$AW$15))*10</f>
        <v/>
      </c>
      <c r="N10" s="14">
        <f>AVERAGE(SUMPRODUCT($S10:$BM10,AttWeights!$C$6:$AW$6)/SUM(AttWeights!$C$6:$AW$6),SUMPRODUCT($S10:$BM10,AttWeights!$C$14:$AW$14)/SUM(AttWeights!$C$14:$AW$14))*10</f>
        <v/>
      </c>
      <c r="O10" s="14">
        <f>AVERAGE(SUMPRODUCT($S10:$BM10,AttWeights!$C$5:$AW$5)/SUM(AttWeights!$C$5:$AW$5),SUMPRODUCT($S10:$BM10,AttWeights!$C$14:$AW$14)/SUM(AttWeights!$C$14:$AW$14))*10</f>
        <v/>
      </c>
      <c r="P10" s="14">
        <f>AVERAGE(SUMPRODUCT($S10:$BM10,AttWeights!$C$4:$AW$4)/SUM(AttWeights!$C$4:$AW$4),SUMPRODUCT($S10:$BM10,AttWeights!$C$13:$AW$13)/SUM(AttWeights!$C$13:$AW$13))*10</f>
        <v/>
      </c>
      <c r="Q10" s="14">
        <f>AVERAGE(SUMPRODUCT($S10:$BM10,AttWeights!$C$3:$AW$3)/SUM(AttWeights!$C$3:$AW$3),SUMPRODUCT($S10:$BM10,AttWeights!$C$12:$AW$12)/SUM(AttWeights!$C$12:$AW$12))*10</f>
        <v/>
      </c>
      <c r="R10" s="14">
        <f>AVERAGE(SUMPRODUCT($S10:$BM10,AttWeights!$C$2:$AW$2)/SUM(AttWeights!$C$2:$AW$2),SUMPRODUCT($S10:$BM10,AttWeights!$C$11:$AW$11)/SUM(AttWeights!$C$11:$AW$11))*10</f>
        <v/>
      </c>
      <c r="S10" s="3">
        <f>IF(ISBLANK('Paste Full'!AC10),"",'Paste Full'!AC10)</f>
        <v/>
      </c>
      <c r="T10" s="3">
        <f>IF(ISBLANK('Paste Full'!AD10),"",'Paste Full'!AD10)</f>
        <v/>
      </c>
      <c r="U10" s="3">
        <f>IF(ISBLANK('Paste Full'!AE10),"",'Paste Full'!AE10)</f>
        <v/>
      </c>
      <c r="V10" s="3">
        <f>IF(ISBLANK('Paste Full'!AF10),"",'Paste Full'!AF10)</f>
        <v/>
      </c>
      <c r="W10" s="3">
        <f>IF(ISBLANK('Paste Full'!AH10),"",'Paste Full'!AH10)</f>
        <v/>
      </c>
      <c r="X10" s="3">
        <f>IF(ISBLANK('Paste Full'!AI10),"",'Paste Full'!AI10)</f>
        <v/>
      </c>
      <c r="Y10" s="3">
        <f>IF(ISBLANK('Paste Full'!AK10),"",'Paste Full'!AK10)</f>
        <v/>
      </c>
      <c r="Z10" s="3">
        <f>IF(ISBLANK('Paste Full'!AL10),"",'Paste Full'!AL10)</f>
        <v/>
      </c>
      <c r="AA10" s="4">
        <f>IF(ISBLANK('Paste Full'!AM10),"",'Paste Full'!AM10)</f>
        <v/>
      </c>
      <c r="AB10" s="4">
        <f>IF(ISBLANK('Paste Full'!AN10),"",'Paste Full'!AN10)</f>
        <v/>
      </c>
      <c r="AC10" s="4">
        <f>IF(ISBLANK('Paste Full'!AO10),"",'Paste Full'!AO10)</f>
        <v/>
      </c>
      <c r="AD10" s="4">
        <f>IF(ISBLANK('Paste Full'!AP10),"",'Paste Full'!AP10)</f>
        <v/>
      </c>
      <c r="AE10" s="4">
        <f>IF(ISBLANK('Paste Full'!AQ10),"",'Paste Full'!AQ10)</f>
        <v/>
      </c>
      <c r="AF10" s="4">
        <f>IF(ISBLANK('Paste Full'!AR10),"",'Paste Full'!AR10)</f>
        <v/>
      </c>
      <c r="AG10" s="4">
        <f>IF(ISBLANK('Paste Full'!AS10),"",'Paste Full'!AS10)</f>
        <v/>
      </c>
      <c r="AH10" s="4">
        <f>IF(ISBLANK('Paste Full'!AV10),"",'Paste Full'!AV10)</f>
        <v/>
      </c>
      <c r="AI10" s="4">
        <f>IF(ISBLANK('Paste Full'!AT10),"",'Paste Full'!AT10)</f>
        <v/>
      </c>
      <c r="AJ10" s="4">
        <f>IF(ISBLANK('Paste Full'!AU10),"",'Paste Full'!AU10)</f>
        <v/>
      </c>
      <c r="AK10" s="4">
        <f>IF(ISBLANK('Paste Full'!AW10),"",'Paste Full'!AW10)</f>
        <v/>
      </c>
      <c r="AL10" s="5">
        <f>IF(ISBLANK('Paste Full'!AX10),"",'Paste Full'!AX10)</f>
        <v/>
      </c>
      <c r="AM10" s="5">
        <f>IF(ISBLANK('Paste Full'!AY10),"",'Paste Full'!AY10)</f>
        <v/>
      </c>
      <c r="AN10" s="5">
        <f>IF(ISBLANK('Paste Full'!AZ10),"",'Paste Full'!AZ10)</f>
        <v/>
      </c>
      <c r="AO10" s="5">
        <f>IF(ISBLANK('Paste Full'!BA10),"",'Paste Full'!BA10)</f>
        <v/>
      </c>
      <c r="AP10" s="5">
        <f>IF(ISBLANK('Paste Full'!BB10),"",'Paste Full'!BB10)</f>
        <v/>
      </c>
      <c r="AQ10" s="5">
        <f>IF(ISBLANK('Paste Full'!BC10),"",'Paste Full'!BC10)</f>
        <v/>
      </c>
      <c r="AR10" s="5">
        <f>IF(ISBLANK('Paste Full'!BD10),"",'Paste Full'!BD10)</f>
        <v/>
      </c>
      <c r="AS10" s="5">
        <f>IF(ISBLANK('Paste Full'!BE10),"",'Paste Full'!BE10)</f>
        <v/>
      </c>
      <c r="AT10" s="5">
        <f>IF(ISBLANK('Paste Full'!BF10),"",'Paste Full'!BF10)</f>
        <v/>
      </c>
      <c r="AU10" s="5">
        <f>IF(ISBLANK('Paste Full'!BG10),"",'Paste Full'!BG10)</f>
        <v/>
      </c>
      <c r="AV10" s="5">
        <f>IF(ISBLANK('Paste Full'!BH10),"",'Paste Full'!BH10)</f>
        <v/>
      </c>
      <c r="AW10" s="5">
        <f>IF(ISBLANK('Paste Full'!BI10),"",'Paste Full'!BI10)</f>
        <v/>
      </c>
      <c r="AX10" s="5">
        <f>IF(ISBLANK('Paste Full'!BJ10),"",'Paste Full'!BJ10)</f>
        <v/>
      </c>
      <c r="AY10" s="5">
        <f>IF(ISBLANK('Paste Full'!BK10),"",'Paste Full'!BK10)</f>
        <v/>
      </c>
      <c r="AZ10" s="6">
        <f>IF(ISBLANK('Paste Full'!BM10),"",'Paste Full'!BM10)</f>
        <v/>
      </c>
      <c r="BA10" s="6">
        <f>IF(ISBLANK('Paste Full'!BN10),"",'Paste Full'!BN10)</f>
        <v/>
      </c>
      <c r="BB10" s="6">
        <f>IF(ISBLANK('Paste Full'!BO10),"",'Paste Full'!BO10)</f>
        <v/>
      </c>
      <c r="BC10" s="6">
        <f>IF(ISBLANK('Paste Full'!BP10),"",'Paste Full'!BP10)</f>
        <v/>
      </c>
      <c r="BD10" s="6">
        <f>IF(ISBLANK('Paste Full'!BR10),"",'Paste Full'!BR10)</f>
        <v/>
      </c>
      <c r="BE10" s="6">
        <f>IF(ISBLANK('Paste Full'!BS10),"",'Paste Full'!BS10)</f>
        <v/>
      </c>
      <c r="BF10" s="6">
        <f>IF(ISBLANK('Paste Full'!BU10),"",'Paste Full'!BU10)</f>
        <v/>
      </c>
      <c r="BG10" s="6">
        <f>IF(ISBLANK('Paste Full'!BV10),"",'Paste Full'!BV10)</f>
        <v/>
      </c>
      <c r="BH10" s="6">
        <f>IF(ISBLANK('Paste Full'!BX10),"",'Paste Full'!BX10)</f>
        <v/>
      </c>
      <c r="BI10" s="6">
        <f>IF(ISBLANK('Paste Full'!BY10),"",'Paste Full'!BY10)</f>
        <v/>
      </c>
      <c r="BJ10" s="13">
        <f>IF(ISBLANK('Paste Full'!BL10),"",'Paste Full'!BL10)</f>
        <v/>
      </c>
      <c r="BK10" s="13">
        <f>IF(ISBLANK('Paste Full'!BQ10),"",'Paste Full'!BQ10)</f>
        <v/>
      </c>
      <c r="BL10" s="13">
        <f>IF(ISBLANK('Paste Full'!BT10),"",'Paste Full'!BT10)</f>
        <v/>
      </c>
      <c r="BM10" s="13">
        <f>IF(ISBLANK('Paste Full'!BW10),"",'Paste Full'!BW10)</f>
        <v/>
      </c>
    </row>
    <row r="11">
      <c r="A11">
        <f>IF(ISBLANK('Paste Full'!C11),"",'Paste Full'!C11)</f>
        <v/>
      </c>
      <c r="B11">
        <f>INDEX($J$1:$R$1, MATCH(MAX($J11:$R11), $J11:$R11, 0))</f>
        <v/>
      </c>
      <c r="C11" s="45">
        <f>IF(ISBLANK('Paste Full'!H11),"",'Paste Full'!H11)</f>
        <v/>
      </c>
      <c r="D11" s="45">
        <f>IF(ISBLANK('Paste Full'!F11),"",'Paste Full'!F11)</f>
        <v/>
      </c>
      <c r="E11" s="45">
        <f>IF(ISBLANK('Paste Full'!G11),"",'Paste Full'!G11)</f>
        <v/>
      </c>
      <c r="F11" s="21">
        <f>IF(ISBLANK('Paste Full'!E11),"",'Paste Full'!E11)</f>
        <v/>
      </c>
      <c r="G11">
        <f>IF(ISBLANK('Paste Full'!CI11),"",'Paste Full'!CI11)</f>
        <v/>
      </c>
      <c r="H11" s="21">
        <f>IF(ISBLANK('Paste Full'!J11),"",'Paste Full'!J11)</f>
        <v/>
      </c>
      <c r="I11" s="21">
        <f>IF(ISBLANK('Paste Full'!D11),"",'Paste Full'!D11)</f>
        <v/>
      </c>
      <c r="J11" s="14">
        <f>AVERAGE(SUMPRODUCT($S11:$BM11,AttWeights!$C$10:$AW$10)/SUM(AttWeights!$C$10:$AW$10),SUMPRODUCT($S11:$BM11,AttWeights!$C$17:$AW$17)/SUM(AttWeights!$C$17:$AW$17))*10</f>
        <v/>
      </c>
      <c r="K11" s="14">
        <f>AVERAGE(SUMPRODUCT($S11:$BM11,AttWeights!$C$7:$AW$7)/SUM(AttWeights!$C$7:$AW$7),SUMPRODUCT($S11:$BM11,AttWeights!$C$15:$AW$15)/SUM(AttWeights!$C$15:$AW$15))*10</f>
        <v/>
      </c>
      <c r="L11" s="14">
        <f>AVERAGE(SUMPRODUCT($S11:$BM11,AttWeights!$C$8:$AW$8)/SUM(AttWeights!$C$8:$AW$8),SUMPRODUCT($S11:$BM11,AttWeights!$C$16:$AW$16)/SUM(AttWeights!$C$16:$AW$16))*10</f>
        <v/>
      </c>
      <c r="M11" s="14">
        <f>AVERAGE(SUMPRODUCT($S11:$BM11,AttWeights!$C$9:$AW$9)/SUM(AttWeights!$C$9:$AW$9),SUMPRODUCT($S11:$BM11,AttWeights!$C$15:$AW$15)/SUM(AttWeights!$C$15:$AW$15))*10</f>
        <v/>
      </c>
      <c r="N11" s="14">
        <f>AVERAGE(SUMPRODUCT($S11:$BM11,AttWeights!$C$6:$AW$6)/SUM(AttWeights!$C$6:$AW$6),SUMPRODUCT($S11:$BM11,AttWeights!$C$14:$AW$14)/SUM(AttWeights!$C$14:$AW$14))*10</f>
        <v/>
      </c>
      <c r="O11" s="14">
        <f>AVERAGE(SUMPRODUCT($S11:$BM11,AttWeights!$C$5:$AW$5)/SUM(AttWeights!$C$5:$AW$5),SUMPRODUCT($S11:$BM11,AttWeights!$C$14:$AW$14)/SUM(AttWeights!$C$14:$AW$14))*10</f>
        <v/>
      </c>
      <c r="P11" s="14">
        <f>AVERAGE(SUMPRODUCT($S11:$BM11,AttWeights!$C$4:$AW$4)/SUM(AttWeights!$C$4:$AW$4),SUMPRODUCT($S11:$BM11,AttWeights!$C$13:$AW$13)/SUM(AttWeights!$C$13:$AW$13))*10</f>
        <v/>
      </c>
      <c r="Q11" s="14">
        <f>AVERAGE(SUMPRODUCT($S11:$BM11,AttWeights!$C$3:$AW$3)/SUM(AttWeights!$C$3:$AW$3),SUMPRODUCT($S11:$BM11,AttWeights!$C$12:$AW$12)/SUM(AttWeights!$C$12:$AW$12))*10</f>
        <v/>
      </c>
      <c r="R11" s="14">
        <f>AVERAGE(SUMPRODUCT($S11:$BM11,AttWeights!$C$2:$AW$2)/SUM(AttWeights!$C$2:$AW$2),SUMPRODUCT($S11:$BM11,AttWeights!$C$11:$AW$11)/SUM(AttWeights!$C$11:$AW$11))*10</f>
        <v/>
      </c>
      <c r="S11" s="3">
        <f>IF(ISBLANK('Paste Full'!AC11),"",'Paste Full'!AC11)</f>
        <v/>
      </c>
      <c r="T11" s="3">
        <f>IF(ISBLANK('Paste Full'!AD11),"",'Paste Full'!AD11)</f>
        <v/>
      </c>
      <c r="U11" s="3">
        <f>IF(ISBLANK('Paste Full'!AE11),"",'Paste Full'!AE11)</f>
        <v/>
      </c>
      <c r="V11" s="3">
        <f>IF(ISBLANK('Paste Full'!AF11),"",'Paste Full'!AF11)</f>
        <v/>
      </c>
      <c r="W11" s="3">
        <f>IF(ISBLANK('Paste Full'!AH11),"",'Paste Full'!AH11)</f>
        <v/>
      </c>
      <c r="X11" s="3">
        <f>IF(ISBLANK('Paste Full'!AI11),"",'Paste Full'!AI11)</f>
        <v/>
      </c>
      <c r="Y11" s="3">
        <f>IF(ISBLANK('Paste Full'!AK11),"",'Paste Full'!AK11)</f>
        <v/>
      </c>
      <c r="Z11" s="3">
        <f>IF(ISBLANK('Paste Full'!AL11),"",'Paste Full'!AL11)</f>
        <v/>
      </c>
      <c r="AA11" s="4">
        <f>IF(ISBLANK('Paste Full'!AM11),"",'Paste Full'!AM11)</f>
        <v/>
      </c>
      <c r="AB11" s="4">
        <f>IF(ISBLANK('Paste Full'!AN11),"",'Paste Full'!AN11)</f>
        <v/>
      </c>
      <c r="AC11" s="4">
        <f>IF(ISBLANK('Paste Full'!AO11),"",'Paste Full'!AO11)</f>
        <v/>
      </c>
      <c r="AD11" s="4">
        <f>IF(ISBLANK('Paste Full'!AP11),"",'Paste Full'!AP11)</f>
        <v/>
      </c>
      <c r="AE11" s="4">
        <f>IF(ISBLANK('Paste Full'!AQ11),"",'Paste Full'!AQ11)</f>
        <v/>
      </c>
      <c r="AF11" s="4">
        <f>IF(ISBLANK('Paste Full'!AR11),"",'Paste Full'!AR11)</f>
        <v/>
      </c>
      <c r="AG11" s="4">
        <f>IF(ISBLANK('Paste Full'!AS11),"",'Paste Full'!AS11)</f>
        <v/>
      </c>
      <c r="AH11" s="4">
        <f>IF(ISBLANK('Paste Full'!AV11),"",'Paste Full'!AV11)</f>
        <v/>
      </c>
      <c r="AI11" s="4">
        <f>IF(ISBLANK('Paste Full'!AT11),"",'Paste Full'!AT11)</f>
        <v/>
      </c>
      <c r="AJ11" s="4">
        <f>IF(ISBLANK('Paste Full'!AU11),"",'Paste Full'!AU11)</f>
        <v/>
      </c>
      <c r="AK11" s="4">
        <f>IF(ISBLANK('Paste Full'!AW11),"",'Paste Full'!AW11)</f>
        <v/>
      </c>
      <c r="AL11" s="5">
        <f>IF(ISBLANK('Paste Full'!AX11),"",'Paste Full'!AX11)</f>
        <v/>
      </c>
      <c r="AM11" s="5">
        <f>IF(ISBLANK('Paste Full'!AY11),"",'Paste Full'!AY11)</f>
        <v/>
      </c>
      <c r="AN11" s="5">
        <f>IF(ISBLANK('Paste Full'!AZ11),"",'Paste Full'!AZ11)</f>
        <v/>
      </c>
      <c r="AO11" s="5">
        <f>IF(ISBLANK('Paste Full'!BA11),"",'Paste Full'!BA11)</f>
        <v/>
      </c>
      <c r="AP11" s="5">
        <f>IF(ISBLANK('Paste Full'!BB11),"",'Paste Full'!BB11)</f>
        <v/>
      </c>
      <c r="AQ11" s="5">
        <f>IF(ISBLANK('Paste Full'!BC11),"",'Paste Full'!BC11)</f>
        <v/>
      </c>
      <c r="AR11" s="5">
        <f>IF(ISBLANK('Paste Full'!BD11),"",'Paste Full'!BD11)</f>
        <v/>
      </c>
      <c r="AS11" s="5">
        <f>IF(ISBLANK('Paste Full'!BE11),"",'Paste Full'!BE11)</f>
        <v/>
      </c>
      <c r="AT11" s="5">
        <f>IF(ISBLANK('Paste Full'!BF11),"",'Paste Full'!BF11)</f>
        <v/>
      </c>
      <c r="AU11" s="5">
        <f>IF(ISBLANK('Paste Full'!BG11),"",'Paste Full'!BG11)</f>
        <v/>
      </c>
      <c r="AV11" s="5">
        <f>IF(ISBLANK('Paste Full'!BH11),"",'Paste Full'!BH11)</f>
        <v/>
      </c>
      <c r="AW11" s="5">
        <f>IF(ISBLANK('Paste Full'!BI11),"",'Paste Full'!BI11)</f>
        <v/>
      </c>
      <c r="AX11" s="5">
        <f>IF(ISBLANK('Paste Full'!BJ11),"",'Paste Full'!BJ11)</f>
        <v/>
      </c>
      <c r="AY11" s="5">
        <f>IF(ISBLANK('Paste Full'!BK11),"",'Paste Full'!BK11)</f>
        <v/>
      </c>
      <c r="AZ11" s="6">
        <f>IF(ISBLANK('Paste Full'!BM11),"",'Paste Full'!BM11)</f>
        <v/>
      </c>
      <c r="BA11" s="6">
        <f>IF(ISBLANK('Paste Full'!BN11),"",'Paste Full'!BN11)</f>
        <v/>
      </c>
      <c r="BB11" s="6">
        <f>IF(ISBLANK('Paste Full'!BO11),"",'Paste Full'!BO11)</f>
        <v/>
      </c>
      <c r="BC11" s="6">
        <f>IF(ISBLANK('Paste Full'!BP11),"",'Paste Full'!BP11)</f>
        <v/>
      </c>
      <c r="BD11" s="6">
        <f>IF(ISBLANK('Paste Full'!BR11),"",'Paste Full'!BR11)</f>
        <v/>
      </c>
      <c r="BE11" s="6">
        <f>IF(ISBLANK('Paste Full'!BS11),"",'Paste Full'!BS11)</f>
        <v/>
      </c>
      <c r="BF11" s="6">
        <f>IF(ISBLANK('Paste Full'!BU11),"",'Paste Full'!BU11)</f>
        <v/>
      </c>
      <c r="BG11" s="6">
        <f>IF(ISBLANK('Paste Full'!BV11),"",'Paste Full'!BV11)</f>
        <v/>
      </c>
      <c r="BH11" s="6">
        <f>IF(ISBLANK('Paste Full'!BX11),"",'Paste Full'!BX11)</f>
        <v/>
      </c>
      <c r="BI11" s="6">
        <f>IF(ISBLANK('Paste Full'!BY11),"",'Paste Full'!BY11)</f>
        <v/>
      </c>
      <c r="BJ11" s="13">
        <f>IF(ISBLANK('Paste Full'!BL11),"",'Paste Full'!BL11)</f>
        <v/>
      </c>
      <c r="BK11" s="13">
        <f>IF(ISBLANK('Paste Full'!BQ11),"",'Paste Full'!BQ11)</f>
        <v/>
      </c>
      <c r="BL11" s="13">
        <f>IF(ISBLANK('Paste Full'!BT11),"",'Paste Full'!BT11)</f>
        <v/>
      </c>
      <c r="BM11" s="13">
        <f>IF(ISBLANK('Paste Full'!BW11),"",'Paste Full'!BW11)</f>
        <v/>
      </c>
    </row>
    <row r="12">
      <c r="A12">
        <f>IF(ISBLANK('Paste Full'!C12),"",'Paste Full'!C12)</f>
        <v/>
      </c>
      <c r="B12">
        <f>INDEX($J$1:$R$1, MATCH(MAX($J12:$R12), $J12:$R12, 0))</f>
        <v/>
      </c>
      <c r="C12" s="45">
        <f>IF(ISBLANK('Paste Full'!H12),"",'Paste Full'!H12)</f>
        <v/>
      </c>
      <c r="D12" s="45">
        <f>IF(ISBLANK('Paste Full'!F12),"",'Paste Full'!F12)</f>
        <v/>
      </c>
      <c r="E12" s="45">
        <f>IF(ISBLANK('Paste Full'!G12),"",'Paste Full'!G12)</f>
        <v/>
      </c>
      <c r="F12" s="21">
        <f>IF(ISBLANK('Paste Full'!E12),"",'Paste Full'!E12)</f>
        <v/>
      </c>
      <c r="G12">
        <f>IF(ISBLANK('Paste Full'!CI12),"",'Paste Full'!CI12)</f>
        <v/>
      </c>
      <c r="H12" s="21">
        <f>IF(ISBLANK('Paste Full'!J12),"",'Paste Full'!J12)</f>
        <v/>
      </c>
      <c r="I12" s="21">
        <f>IF(ISBLANK('Paste Full'!D12),"",'Paste Full'!D12)</f>
        <v/>
      </c>
      <c r="J12" s="14">
        <f>AVERAGE(SUMPRODUCT($S12:$BM12,AttWeights!$C$10:$AW$10)/SUM(AttWeights!$C$10:$AW$10),SUMPRODUCT($S12:$BM12,AttWeights!$C$17:$AW$17)/SUM(AttWeights!$C$17:$AW$17))*10</f>
        <v/>
      </c>
      <c r="K12" s="14">
        <f>AVERAGE(SUMPRODUCT($S12:$BM12,AttWeights!$C$7:$AW$7)/SUM(AttWeights!$C$7:$AW$7),SUMPRODUCT($S12:$BM12,AttWeights!$C$15:$AW$15)/SUM(AttWeights!$C$15:$AW$15))*10</f>
        <v/>
      </c>
      <c r="L12" s="14">
        <f>AVERAGE(SUMPRODUCT($S12:$BM12,AttWeights!$C$8:$AW$8)/SUM(AttWeights!$C$8:$AW$8),SUMPRODUCT($S12:$BM12,AttWeights!$C$16:$AW$16)/SUM(AttWeights!$C$16:$AW$16))*10</f>
        <v/>
      </c>
      <c r="M12" s="14">
        <f>AVERAGE(SUMPRODUCT($S12:$BM12,AttWeights!$C$9:$AW$9)/SUM(AttWeights!$C$9:$AW$9),SUMPRODUCT($S12:$BM12,AttWeights!$C$15:$AW$15)/SUM(AttWeights!$C$15:$AW$15))*10</f>
        <v/>
      </c>
      <c r="N12" s="14">
        <f>AVERAGE(SUMPRODUCT($S12:$BM12,AttWeights!$C$6:$AW$6)/SUM(AttWeights!$C$6:$AW$6),SUMPRODUCT($S12:$BM12,AttWeights!$C$14:$AW$14)/SUM(AttWeights!$C$14:$AW$14))*10</f>
        <v/>
      </c>
      <c r="O12" s="14">
        <f>AVERAGE(SUMPRODUCT($S12:$BM12,AttWeights!$C$5:$AW$5)/SUM(AttWeights!$C$5:$AW$5),SUMPRODUCT($S12:$BM12,AttWeights!$C$14:$AW$14)/SUM(AttWeights!$C$14:$AW$14))*10</f>
        <v/>
      </c>
      <c r="P12" s="14">
        <f>AVERAGE(SUMPRODUCT($S12:$BM12,AttWeights!$C$4:$AW$4)/SUM(AttWeights!$C$4:$AW$4),SUMPRODUCT($S12:$BM12,AttWeights!$C$13:$AW$13)/SUM(AttWeights!$C$13:$AW$13))*10</f>
        <v/>
      </c>
      <c r="Q12" s="14">
        <f>AVERAGE(SUMPRODUCT($S12:$BM12,AttWeights!$C$3:$AW$3)/SUM(AttWeights!$C$3:$AW$3),SUMPRODUCT($S12:$BM12,AttWeights!$C$12:$AW$12)/SUM(AttWeights!$C$12:$AW$12))*10</f>
        <v/>
      </c>
      <c r="R12" s="14">
        <f>AVERAGE(SUMPRODUCT($S12:$BM12,AttWeights!$C$2:$AW$2)/SUM(AttWeights!$C$2:$AW$2),SUMPRODUCT($S12:$BM12,AttWeights!$C$11:$AW$11)/SUM(AttWeights!$C$11:$AW$11))*10</f>
        <v/>
      </c>
      <c r="S12" s="3">
        <f>IF(ISBLANK('Paste Full'!AC12),"",'Paste Full'!AC12)</f>
        <v/>
      </c>
      <c r="T12" s="3">
        <f>IF(ISBLANK('Paste Full'!AD12),"",'Paste Full'!AD12)</f>
        <v/>
      </c>
      <c r="U12" s="3">
        <f>IF(ISBLANK('Paste Full'!AE12),"",'Paste Full'!AE12)</f>
        <v/>
      </c>
      <c r="V12" s="3">
        <f>IF(ISBLANK('Paste Full'!AF12),"",'Paste Full'!AF12)</f>
        <v/>
      </c>
      <c r="W12" s="3">
        <f>IF(ISBLANK('Paste Full'!AH12),"",'Paste Full'!AH12)</f>
        <v/>
      </c>
      <c r="X12" s="3">
        <f>IF(ISBLANK('Paste Full'!AI12),"",'Paste Full'!AI12)</f>
        <v/>
      </c>
      <c r="Y12" s="3">
        <f>IF(ISBLANK('Paste Full'!AK12),"",'Paste Full'!AK12)</f>
        <v/>
      </c>
      <c r="Z12" s="3">
        <f>IF(ISBLANK('Paste Full'!AL12),"",'Paste Full'!AL12)</f>
        <v/>
      </c>
      <c r="AA12" s="4">
        <f>IF(ISBLANK('Paste Full'!AM12),"",'Paste Full'!AM12)</f>
        <v/>
      </c>
      <c r="AB12" s="4">
        <f>IF(ISBLANK('Paste Full'!AN12),"",'Paste Full'!AN12)</f>
        <v/>
      </c>
      <c r="AC12" s="4">
        <f>IF(ISBLANK('Paste Full'!AO12),"",'Paste Full'!AO12)</f>
        <v/>
      </c>
      <c r="AD12" s="4">
        <f>IF(ISBLANK('Paste Full'!AP12),"",'Paste Full'!AP12)</f>
        <v/>
      </c>
      <c r="AE12" s="4">
        <f>IF(ISBLANK('Paste Full'!AQ12),"",'Paste Full'!AQ12)</f>
        <v/>
      </c>
      <c r="AF12" s="4">
        <f>IF(ISBLANK('Paste Full'!AR12),"",'Paste Full'!AR12)</f>
        <v/>
      </c>
      <c r="AG12" s="4">
        <f>IF(ISBLANK('Paste Full'!AS12),"",'Paste Full'!AS12)</f>
        <v/>
      </c>
      <c r="AH12" s="4">
        <f>IF(ISBLANK('Paste Full'!AV12),"",'Paste Full'!AV12)</f>
        <v/>
      </c>
      <c r="AI12" s="4">
        <f>IF(ISBLANK('Paste Full'!AT12),"",'Paste Full'!AT12)</f>
        <v/>
      </c>
      <c r="AJ12" s="4">
        <f>IF(ISBLANK('Paste Full'!AU12),"",'Paste Full'!AU12)</f>
        <v/>
      </c>
      <c r="AK12" s="4">
        <f>IF(ISBLANK('Paste Full'!AW12),"",'Paste Full'!AW12)</f>
        <v/>
      </c>
      <c r="AL12" s="5">
        <f>IF(ISBLANK('Paste Full'!AX12),"",'Paste Full'!AX12)</f>
        <v/>
      </c>
      <c r="AM12" s="5">
        <f>IF(ISBLANK('Paste Full'!AY12),"",'Paste Full'!AY12)</f>
        <v/>
      </c>
      <c r="AN12" s="5">
        <f>IF(ISBLANK('Paste Full'!AZ12),"",'Paste Full'!AZ12)</f>
        <v/>
      </c>
      <c r="AO12" s="5">
        <f>IF(ISBLANK('Paste Full'!BA12),"",'Paste Full'!BA12)</f>
        <v/>
      </c>
      <c r="AP12" s="5">
        <f>IF(ISBLANK('Paste Full'!BB12),"",'Paste Full'!BB12)</f>
        <v/>
      </c>
      <c r="AQ12" s="5">
        <f>IF(ISBLANK('Paste Full'!BC12),"",'Paste Full'!BC12)</f>
        <v/>
      </c>
      <c r="AR12" s="5">
        <f>IF(ISBLANK('Paste Full'!BD12),"",'Paste Full'!BD12)</f>
        <v/>
      </c>
      <c r="AS12" s="5">
        <f>IF(ISBLANK('Paste Full'!BE12),"",'Paste Full'!BE12)</f>
        <v/>
      </c>
      <c r="AT12" s="5">
        <f>IF(ISBLANK('Paste Full'!BF12),"",'Paste Full'!BF12)</f>
        <v/>
      </c>
      <c r="AU12" s="5">
        <f>IF(ISBLANK('Paste Full'!BG12),"",'Paste Full'!BG12)</f>
        <v/>
      </c>
      <c r="AV12" s="5">
        <f>IF(ISBLANK('Paste Full'!BH12),"",'Paste Full'!BH12)</f>
        <v/>
      </c>
      <c r="AW12" s="5">
        <f>IF(ISBLANK('Paste Full'!BI12),"",'Paste Full'!BI12)</f>
        <v/>
      </c>
      <c r="AX12" s="5">
        <f>IF(ISBLANK('Paste Full'!BJ12),"",'Paste Full'!BJ12)</f>
        <v/>
      </c>
      <c r="AY12" s="5">
        <f>IF(ISBLANK('Paste Full'!BK12),"",'Paste Full'!BK12)</f>
        <v/>
      </c>
      <c r="AZ12" s="6">
        <f>IF(ISBLANK('Paste Full'!BM12),"",'Paste Full'!BM12)</f>
        <v/>
      </c>
      <c r="BA12" s="6">
        <f>IF(ISBLANK('Paste Full'!BN12),"",'Paste Full'!BN12)</f>
        <v/>
      </c>
      <c r="BB12" s="6">
        <f>IF(ISBLANK('Paste Full'!BO12),"",'Paste Full'!BO12)</f>
        <v/>
      </c>
      <c r="BC12" s="6">
        <f>IF(ISBLANK('Paste Full'!BP12),"",'Paste Full'!BP12)</f>
        <v/>
      </c>
      <c r="BD12" s="6">
        <f>IF(ISBLANK('Paste Full'!BR12),"",'Paste Full'!BR12)</f>
        <v/>
      </c>
      <c r="BE12" s="6">
        <f>IF(ISBLANK('Paste Full'!BS12),"",'Paste Full'!BS12)</f>
        <v/>
      </c>
      <c r="BF12" s="6">
        <f>IF(ISBLANK('Paste Full'!BU12),"",'Paste Full'!BU12)</f>
        <v/>
      </c>
      <c r="BG12" s="6">
        <f>IF(ISBLANK('Paste Full'!BV12),"",'Paste Full'!BV12)</f>
        <v/>
      </c>
      <c r="BH12" s="6">
        <f>IF(ISBLANK('Paste Full'!BX12),"",'Paste Full'!BX12)</f>
        <v/>
      </c>
      <c r="BI12" s="6">
        <f>IF(ISBLANK('Paste Full'!BY12),"",'Paste Full'!BY12)</f>
        <v/>
      </c>
      <c r="BJ12" s="13">
        <f>IF(ISBLANK('Paste Full'!BL12),"",'Paste Full'!BL12)</f>
        <v/>
      </c>
      <c r="BK12" s="13">
        <f>IF(ISBLANK('Paste Full'!BQ12),"",'Paste Full'!BQ12)</f>
        <v/>
      </c>
      <c r="BL12" s="13">
        <f>IF(ISBLANK('Paste Full'!BT12),"",'Paste Full'!BT12)</f>
        <v/>
      </c>
      <c r="BM12" s="13">
        <f>IF(ISBLANK('Paste Full'!BW12),"",'Paste Full'!BW12)</f>
        <v/>
      </c>
    </row>
    <row r="13">
      <c r="A13">
        <f>IF(ISBLANK('Paste Full'!C13),"",'Paste Full'!C13)</f>
        <v/>
      </c>
      <c r="B13">
        <f>INDEX($J$1:$R$1, MATCH(MAX($J13:$R13), $J13:$R13, 0))</f>
        <v/>
      </c>
      <c r="C13" s="45">
        <f>IF(ISBLANK('Paste Full'!H13),"",'Paste Full'!H13)</f>
        <v/>
      </c>
      <c r="D13" s="45">
        <f>IF(ISBLANK('Paste Full'!F13),"",'Paste Full'!F13)</f>
        <v/>
      </c>
      <c r="E13" s="45">
        <f>IF(ISBLANK('Paste Full'!G13),"",'Paste Full'!G13)</f>
        <v/>
      </c>
      <c r="F13" s="21">
        <f>IF(ISBLANK('Paste Full'!E13),"",'Paste Full'!E13)</f>
        <v/>
      </c>
      <c r="G13">
        <f>IF(ISBLANK('Paste Full'!CI13),"",'Paste Full'!CI13)</f>
        <v/>
      </c>
      <c r="H13" s="21">
        <f>IF(ISBLANK('Paste Full'!J13),"",'Paste Full'!J13)</f>
        <v/>
      </c>
      <c r="I13" s="21">
        <f>IF(ISBLANK('Paste Full'!D13),"",'Paste Full'!D13)</f>
        <v/>
      </c>
      <c r="J13" s="14">
        <f>AVERAGE(SUMPRODUCT($S13:$BM13,AttWeights!$C$10:$AW$10)/SUM(AttWeights!$C$10:$AW$10),SUMPRODUCT($S13:$BM13,AttWeights!$C$17:$AW$17)/SUM(AttWeights!$C$17:$AW$17))*10</f>
        <v/>
      </c>
      <c r="K13" s="14">
        <f>AVERAGE(SUMPRODUCT($S13:$BM13,AttWeights!$C$7:$AW$7)/SUM(AttWeights!$C$7:$AW$7),SUMPRODUCT($S13:$BM13,AttWeights!$C$15:$AW$15)/SUM(AttWeights!$C$15:$AW$15))*10</f>
        <v/>
      </c>
      <c r="L13" s="14">
        <f>AVERAGE(SUMPRODUCT($S13:$BM13,AttWeights!$C$8:$AW$8)/SUM(AttWeights!$C$8:$AW$8),SUMPRODUCT($S13:$BM13,AttWeights!$C$16:$AW$16)/SUM(AttWeights!$C$16:$AW$16))*10</f>
        <v/>
      </c>
      <c r="M13" s="14">
        <f>AVERAGE(SUMPRODUCT($S13:$BM13,AttWeights!$C$9:$AW$9)/SUM(AttWeights!$C$9:$AW$9),SUMPRODUCT($S13:$BM13,AttWeights!$C$15:$AW$15)/SUM(AttWeights!$C$15:$AW$15))*10</f>
        <v/>
      </c>
      <c r="N13" s="14">
        <f>AVERAGE(SUMPRODUCT($S13:$BM13,AttWeights!$C$6:$AW$6)/SUM(AttWeights!$C$6:$AW$6),SUMPRODUCT($S13:$BM13,AttWeights!$C$14:$AW$14)/SUM(AttWeights!$C$14:$AW$14))*10</f>
        <v/>
      </c>
      <c r="O13" s="14">
        <f>AVERAGE(SUMPRODUCT($S13:$BM13,AttWeights!$C$5:$AW$5)/SUM(AttWeights!$C$5:$AW$5),SUMPRODUCT($S13:$BM13,AttWeights!$C$14:$AW$14)/SUM(AttWeights!$C$14:$AW$14))*10</f>
        <v/>
      </c>
      <c r="P13" s="14">
        <f>AVERAGE(SUMPRODUCT($S13:$BM13,AttWeights!$C$4:$AW$4)/SUM(AttWeights!$C$4:$AW$4),SUMPRODUCT($S13:$BM13,AttWeights!$C$13:$AW$13)/SUM(AttWeights!$C$13:$AW$13))*10</f>
        <v/>
      </c>
      <c r="Q13" s="14">
        <f>AVERAGE(SUMPRODUCT($S13:$BM13,AttWeights!$C$3:$AW$3)/SUM(AttWeights!$C$3:$AW$3),SUMPRODUCT($S13:$BM13,AttWeights!$C$12:$AW$12)/SUM(AttWeights!$C$12:$AW$12))*10</f>
        <v/>
      </c>
      <c r="R13" s="14">
        <f>AVERAGE(SUMPRODUCT($S13:$BM13,AttWeights!$C$2:$AW$2)/SUM(AttWeights!$C$2:$AW$2),SUMPRODUCT($S13:$BM13,AttWeights!$C$11:$AW$11)/SUM(AttWeights!$C$11:$AW$11))*10</f>
        <v/>
      </c>
      <c r="S13" s="3">
        <f>IF(ISBLANK('Paste Full'!AC13),"",'Paste Full'!AC13)</f>
        <v/>
      </c>
      <c r="T13" s="3">
        <f>IF(ISBLANK('Paste Full'!AD13),"",'Paste Full'!AD13)</f>
        <v/>
      </c>
      <c r="U13" s="3">
        <f>IF(ISBLANK('Paste Full'!AE13),"",'Paste Full'!AE13)</f>
        <v/>
      </c>
      <c r="V13" s="3">
        <f>IF(ISBLANK('Paste Full'!AF13),"",'Paste Full'!AF13)</f>
        <v/>
      </c>
      <c r="W13" s="3">
        <f>IF(ISBLANK('Paste Full'!AH13),"",'Paste Full'!AH13)</f>
        <v/>
      </c>
      <c r="X13" s="3">
        <f>IF(ISBLANK('Paste Full'!AI13),"",'Paste Full'!AI13)</f>
        <v/>
      </c>
      <c r="Y13" s="3">
        <f>IF(ISBLANK('Paste Full'!AK13),"",'Paste Full'!AK13)</f>
        <v/>
      </c>
      <c r="Z13" s="3">
        <f>IF(ISBLANK('Paste Full'!AL13),"",'Paste Full'!AL13)</f>
        <v/>
      </c>
      <c r="AA13" s="4">
        <f>IF(ISBLANK('Paste Full'!AM13),"",'Paste Full'!AM13)</f>
        <v/>
      </c>
      <c r="AB13" s="4">
        <f>IF(ISBLANK('Paste Full'!AN13),"",'Paste Full'!AN13)</f>
        <v/>
      </c>
      <c r="AC13" s="4">
        <f>IF(ISBLANK('Paste Full'!AO13),"",'Paste Full'!AO13)</f>
        <v/>
      </c>
      <c r="AD13" s="4">
        <f>IF(ISBLANK('Paste Full'!AP13),"",'Paste Full'!AP13)</f>
        <v/>
      </c>
      <c r="AE13" s="4">
        <f>IF(ISBLANK('Paste Full'!AQ13),"",'Paste Full'!AQ13)</f>
        <v/>
      </c>
      <c r="AF13" s="4">
        <f>IF(ISBLANK('Paste Full'!AR13),"",'Paste Full'!AR13)</f>
        <v/>
      </c>
      <c r="AG13" s="4">
        <f>IF(ISBLANK('Paste Full'!AS13),"",'Paste Full'!AS13)</f>
        <v/>
      </c>
      <c r="AH13" s="4">
        <f>IF(ISBLANK('Paste Full'!AV13),"",'Paste Full'!AV13)</f>
        <v/>
      </c>
      <c r="AI13" s="4">
        <f>IF(ISBLANK('Paste Full'!AT13),"",'Paste Full'!AT13)</f>
        <v/>
      </c>
      <c r="AJ13" s="4">
        <f>IF(ISBLANK('Paste Full'!AU13),"",'Paste Full'!AU13)</f>
        <v/>
      </c>
      <c r="AK13" s="4">
        <f>IF(ISBLANK('Paste Full'!AW13),"",'Paste Full'!AW13)</f>
        <v/>
      </c>
      <c r="AL13" s="5">
        <f>IF(ISBLANK('Paste Full'!AX13),"",'Paste Full'!AX13)</f>
        <v/>
      </c>
      <c r="AM13" s="5">
        <f>IF(ISBLANK('Paste Full'!AY13),"",'Paste Full'!AY13)</f>
        <v/>
      </c>
      <c r="AN13" s="5">
        <f>IF(ISBLANK('Paste Full'!AZ13),"",'Paste Full'!AZ13)</f>
        <v/>
      </c>
      <c r="AO13" s="5">
        <f>IF(ISBLANK('Paste Full'!BA13),"",'Paste Full'!BA13)</f>
        <v/>
      </c>
      <c r="AP13" s="5">
        <f>IF(ISBLANK('Paste Full'!BB13),"",'Paste Full'!BB13)</f>
        <v/>
      </c>
      <c r="AQ13" s="5">
        <f>IF(ISBLANK('Paste Full'!BC13),"",'Paste Full'!BC13)</f>
        <v/>
      </c>
      <c r="AR13" s="5">
        <f>IF(ISBLANK('Paste Full'!BD13),"",'Paste Full'!BD13)</f>
        <v/>
      </c>
      <c r="AS13" s="5">
        <f>IF(ISBLANK('Paste Full'!BE13),"",'Paste Full'!BE13)</f>
        <v/>
      </c>
      <c r="AT13" s="5">
        <f>IF(ISBLANK('Paste Full'!BF13),"",'Paste Full'!BF13)</f>
        <v/>
      </c>
      <c r="AU13" s="5">
        <f>IF(ISBLANK('Paste Full'!BG13),"",'Paste Full'!BG13)</f>
        <v/>
      </c>
      <c r="AV13" s="5">
        <f>IF(ISBLANK('Paste Full'!BH13),"",'Paste Full'!BH13)</f>
        <v/>
      </c>
      <c r="AW13" s="5">
        <f>IF(ISBLANK('Paste Full'!BI13),"",'Paste Full'!BI13)</f>
        <v/>
      </c>
      <c r="AX13" s="5">
        <f>IF(ISBLANK('Paste Full'!BJ13),"",'Paste Full'!BJ13)</f>
        <v/>
      </c>
      <c r="AY13" s="5">
        <f>IF(ISBLANK('Paste Full'!BK13),"",'Paste Full'!BK13)</f>
        <v/>
      </c>
      <c r="AZ13" s="6">
        <f>IF(ISBLANK('Paste Full'!BM13),"",'Paste Full'!BM13)</f>
        <v/>
      </c>
      <c r="BA13" s="6">
        <f>IF(ISBLANK('Paste Full'!BN13),"",'Paste Full'!BN13)</f>
        <v/>
      </c>
      <c r="BB13" s="6">
        <f>IF(ISBLANK('Paste Full'!BO13),"",'Paste Full'!BO13)</f>
        <v/>
      </c>
      <c r="BC13" s="6">
        <f>IF(ISBLANK('Paste Full'!BP13),"",'Paste Full'!BP13)</f>
        <v/>
      </c>
      <c r="BD13" s="6">
        <f>IF(ISBLANK('Paste Full'!BR13),"",'Paste Full'!BR13)</f>
        <v/>
      </c>
      <c r="BE13" s="6">
        <f>IF(ISBLANK('Paste Full'!BS13),"",'Paste Full'!BS13)</f>
        <v/>
      </c>
      <c r="BF13" s="6">
        <f>IF(ISBLANK('Paste Full'!BU13),"",'Paste Full'!BU13)</f>
        <v/>
      </c>
      <c r="BG13" s="6">
        <f>IF(ISBLANK('Paste Full'!BV13),"",'Paste Full'!BV13)</f>
        <v/>
      </c>
      <c r="BH13" s="6">
        <f>IF(ISBLANK('Paste Full'!BX13),"",'Paste Full'!BX13)</f>
        <v/>
      </c>
      <c r="BI13" s="6">
        <f>IF(ISBLANK('Paste Full'!BY13),"",'Paste Full'!BY13)</f>
        <v/>
      </c>
      <c r="BJ13" s="13">
        <f>IF(ISBLANK('Paste Full'!BL13),"",'Paste Full'!BL13)</f>
        <v/>
      </c>
      <c r="BK13" s="13">
        <f>IF(ISBLANK('Paste Full'!BQ13),"",'Paste Full'!BQ13)</f>
        <v/>
      </c>
      <c r="BL13" s="13">
        <f>IF(ISBLANK('Paste Full'!BT13),"",'Paste Full'!BT13)</f>
        <v/>
      </c>
      <c r="BM13" s="13">
        <f>IF(ISBLANK('Paste Full'!BW13),"",'Paste Full'!BW13)</f>
        <v/>
      </c>
    </row>
    <row r="14">
      <c r="A14">
        <f>IF(ISBLANK('Paste Full'!C14),"",'Paste Full'!C14)</f>
        <v/>
      </c>
      <c r="B14">
        <f>INDEX($J$1:$R$1, MATCH(MAX($J14:$R14), $J14:$R14, 0))</f>
        <v/>
      </c>
      <c r="C14" s="45">
        <f>IF(ISBLANK('Paste Full'!H14),"",'Paste Full'!H14)</f>
        <v/>
      </c>
      <c r="D14" s="45">
        <f>IF(ISBLANK('Paste Full'!F14),"",'Paste Full'!F14)</f>
        <v/>
      </c>
      <c r="E14" s="45">
        <f>IF(ISBLANK('Paste Full'!G14),"",'Paste Full'!G14)</f>
        <v/>
      </c>
      <c r="F14" s="21">
        <f>IF(ISBLANK('Paste Full'!E14),"",'Paste Full'!E14)</f>
        <v/>
      </c>
      <c r="G14">
        <f>IF(ISBLANK('Paste Full'!CI14),"",'Paste Full'!CI14)</f>
        <v/>
      </c>
      <c r="H14" s="21">
        <f>IF(ISBLANK('Paste Full'!J14),"",'Paste Full'!J14)</f>
        <v/>
      </c>
      <c r="I14" s="21">
        <f>IF(ISBLANK('Paste Full'!D14),"",'Paste Full'!D14)</f>
        <v/>
      </c>
      <c r="J14" s="14">
        <f>AVERAGE(SUMPRODUCT($S14:$BM14,AttWeights!$C$10:$AW$10)/SUM(AttWeights!$C$10:$AW$10),SUMPRODUCT($S14:$BM14,AttWeights!$C$17:$AW$17)/SUM(AttWeights!$C$17:$AW$17))*10</f>
        <v/>
      </c>
      <c r="K14" s="14">
        <f>AVERAGE(SUMPRODUCT($S14:$BM14,AttWeights!$C$7:$AW$7)/SUM(AttWeights!$C$7:$AW$7),SUMPRODUCT($S14:$BM14,AttWeights!$C$15:$AW$15)/SUM(AttWeights!$C$15:$AW$15))*10</f>
        <v/>
      </c>
      <c r="L14" s="14">
        <f>AVERAGE(SUMPRODUCT($S14:$BM14,AttWeights!$C$8:$AW$8)/SUM(AttWeights!$C$8:$AW$8),SUMPRODUCT($S14:$BM14,AttWeights!$C$16:$AW$16)/SUM(AttWeights!$C$16:$AW$16))*10</f>
        <v/>
      </c>
      <c r="M14" s="14">
        <f>AVERAGE(SUMPRODUCT($S14:$BM14,AttWeights!$C$9:$AW$9)/SUM(AttWeights!$C$9:$AW$9),SUMPRODUCT($S14:$BM14,AttWeights!$C$15:$AW$15)/SUM(AttWeights!$C$15:$AW$15))*10</f>
        <v/>
      </c>
      <c r="N14" s="14">
        <f>AVERAGE(SUMPRODUCT($S14:$BM14,AttWeights!$C$6:$AW$6)/SUM(AttWeights!$C$6:$AW$6),SUMPRODUCT($S14:$BM14,AttWeights!$C$14:$AW$14)/SUM(AttWeights!$C$14:$AW$14))*10</f>
        <v/>
      </c>
      <c r="O14" s="14">
        <f>AVERAGE(SUMPRODUCT($S14:$BM14,AttWeights!$C$5:$AW$5)/SUM(AttWeights!$C$5:$AW$5),SUMPRODUCT($S14:$BM14,AttWeights!$C$14:$AW$14)/SUM(AttWeights!$C$14:$AW$14))*10</f>
        <v/>
      </c>
      <c r="P14" s="14">
        <f>AVERAGE(SUMPRODUCT($S14:$BM14,AttWeights!$C$4:$AW$4)/SUM(AttWeights!$C$4:$AW$4),SUMPRODUCT($S14:$BM14,AttWeights!$C$13:$AW$13)/SUM(AttWeights!$C$13:$AW$13))*10</f>
        <v/>
      </c>
      <c r="Q14" s="14">
        <f>AVERAGE(SUMPRODUCT($S14:$BM14,AttWeights!$C$3:$AW$3)/SUM(AttWeights!$C$3:$AW$3),SUMPRODUCT($S14:$BM14,AttWeights!$C$12:$AW$12)/SUM(AttWeights!$C$12:$AW$12))*10</f>
        <v/>
      </c>
      <c r="R14" s="14">
        <f>AVERAGE(SUMPRODUCT($S14:$BM14,AttWeights!$C$2:$AW$2)/SUM(AttWeights!$C$2:$AW$2),SUMPRODUCT($S14:$BM14,AttWeights!$C$11:$AW$11)/SUM(AttWeights!$C$11:$AW$11))*10</f>
        <v/>
      </c>
      <c r="S14" s="3">
        <f>IF(ISBLANK('Paste Full'!AC14),"",'Paste Full'!AC14)</f>
        <v/>
      </c>
      <c r="T14" s="3">
        <f>IF(ISBLANK('Paste Full'!AD14),"",'Paste Full'!AD14)</f>
        <v/>
      </c>
      <c r="U14" s="3">
        <f>IF(ISBLANK('Paste Full'!AE14),"",'Paste Full'!AE14)</f>
        <v/>
      </c>
      <c r="V14" s="3">
        <f>IF(ISBLANK('Paste Full'!AF14),"",'Paste Full'!AF14)</f>
        <v/>
      </c>
      <c r="W14" s="3">
        <f>IF(ISBLANK('Paste Full'!AH14),"",'Paste Full'!AH14)</f>
        <v/>
      </c>
      <c r="X14" s="3">
        <f>IF(ISBLANK('Paste Full'!AI14),"",'Paste Full'!AI14)</f>
        <v/>
      </c>
      <c r="Y14" s="3">
        <f>IF(ISBLANK('Paste Full'!AK14),"",'Paste Full'!AK14)</f>
        <v/>
      </c>
      <c r="Z14" s="3">
        <f>IF(ISBLANK('Paste Full'!AL14),"",'Paste Full'!AL14)</f>
        <v/>
      </c>
      <c r="AA14" s="4">
        <f>IF(ISBLANK('Paste Full'!AM14),"",'Paste Full'!AM14)</f>
        <v/>
      </c>
      <c r="AB14" s="4">
        <f>IF(ISBLANK('Paste Full'!AN14),"",'Paste Full'!AN14)</f>
        <v/>
      </c>
      <c r="AC14" s="4">
        <f>IF(ISBLANK('Paste Full'!AO14),"",'Paste Full'!AO14)</f>
        <v/>
      </c>
      <c r="AD14" s="4">
        <f>IF(ISBLANK('Paste Full'!AP14),"",'Paste Full'!AP14)</f>
        <v/>
      </c>
      <c r="AE14" s="4">
        <f>IF(ISBLANK('Paste Full'!AQ14),"",'Paste Full'!AQ14)</f>
        <v/>
      </c>
      <c r="AF14" s="4">
        <f>IF(ISBLANK('Paste Full'!AR14),"",'Paste Full'!AR14)</f>
        <v/>
      </c>
      <c r="AG14" s="4">
        <f>IF(ISBLANK('Paste Full'!AS14),"",'Paste Full'!AS14)</f>
        <v/>
      </c>
      <c r="AH14" s="4">
        <f>IF(ISBLANK('Paste Full'!AV14),"",'Paste Full'!AV14)</f>
        <v/>
      </c>
      <c r="AI14" s="4">
        <f>IF(ISBLANK('Paste Full'!AT14),"",'Paste Full'!AT14)</f>
        <v/>
      </c>
      <c r="AJ14" s="4">
        <f>IF(ISBLANK('Paste Full'!AU14),"",'Paste Full'!AU14)</f>
        <v/>
      </c>
      <c r="AK14" s="4">
        <f>IF(ISBLANK('Paste Full'!AW14),"",'Paste Full'!AW14)</f>
        <v/>
      </c>
      <c r="AL14" s="5">
        <f>IF(ISBLANK('Paste Full'!AX14),"",'Paste Full'!AX14)</f>
        <v/>
      </c>
      <c r="AM14" s="5">
        <f>IF(ISBLANK('Paste Full'!AY14),"",'Paste Full'!AY14)</f>
        <v/>
      </c>
      <c r="AN14" s="5">
        <f>IF(ISBLANK('Paste Full'!AZ14),"",'Paste Full'!AZ14)</f>
        <v/>
      </c>
      <c r="AO14" s="5">
        <f>IF(ISBLANK('Paste Full'!BA14),"",'Paste Full'!BA14)</f>
        <v/>
      </c>
      <c r="AP14" s="5">
        <f>IF(ISBLANK('Paste Full'!BB14),"",'Paste Full'!BB14)</f>
        <v/>
      </c>
      <c r="AQ14" s="5">
        <f>IF(ISBLANK('Paste Full'!BC14),"",'Paste Full'!BC14)</f>
        <v/>
      </c>
      <c r="AR14" s="5">
        <f>IF(ISBLANK('Paste Full'!BD14),"",'Paste Full'!BD14)</f>
        <v/>
      </c>
      <c r="AS14" s="5">
        <f>IF(ISBLANK('Paste Full'!BE14),"",'Paste Full'!BE14)</f>
        <v/>
      </c>
      <c r="AT14" s="5">
        <f>IF(ISBLANK('Paste Full'!BF14),"",'Paste Full'!BF14)</f>
        <v/>
      </c>
      <c r="AU14" s="5">
        <f>IF(ISBLANK('Paste Full'!BG14),"",'Paste Full'!BG14)</f>
        <v/>
      </c>
      <c r="AV14" s="5">
        <f>IF(ISBLANK('Paste Full'!BH14),"",'Paste Full'!BH14)</f>
        <v/>
      </c>
      <c r="AW14" s="5">
        <f>IF(ISBLANK('Paste Full'!BI14),"",'Paste Full'!BI14)</f>
        <v/>
      </c>
      <c r="AX14" s="5">
        <f>IF(ISBLANK('Paste Full'!BJ14),"",'Paste Full'!BJ14)</f>
        <v/>
      </c>
      <c r="AY14" s="5">
        <f>IF(ISBLANK('Paste Full'!BK14),"",'Paste Full'!BK14)</f>
        <v/>
      </c>
      <c r="AZ14" s="6">
        <f>IF(ISBLANK('Paste Full'!BM14),"",'Paste Full'!BM14)</f>
        <v/>
      </c>
      <c r="BA14" s="6">
        <f>IF(ISBLANK('Paste Full'!BN14),"",'Paste Full'!BN14)</f>
        <v/>
      </c>
      <c r="BB14" s="6">
        <f>IF(ISBLANK('Paste Full'!BO14),"",'Paste Full'!BO14)</f>
        <v/>
      </c>
      <c r="BC14" s="6">
        <f>IF(ISBLANK('Paste Full'!BP14),"",'Paste Full'!BP14)</f>
        <v/>
      </c>
      <c r="BD14" s="6">
        <f>IF(ISBLANK('Paste Full'!BR14),"",'Paste Full'!BR14)</f>
        <v/>
      </c>
      <c r="BE14" s="6">
        <f>IF(ISBLANK('Paste Full'!BS14),"",'Paste Full'!BS14)</f>
        <v/>
      </c>
      <c r="BF14" s="6">
        <f>IF(ISBLANK('Paste Full'!BU14),"",'Paste Full'!BU14)</f>
        <v/>
      </c>
      <c r="BG14" s="6">
        <f>IF(ISBLANK('Paste Full'!BV14),"",'Paste Full'!BV14)</f>
        <v/>
      </c>
      <c r="BH14" s="6">
        <f>IF(ISBLANK('Paste Full'!BX14),"",'Paste Full'!BX14)</f>
        <v/>
      </c>
      <c r="BI14" s="6">
        <f>IF(ISBLANK('Paste Full'!BY14),"",'Paste Full'!BY14)</f>
        <v/>
      </c>
      <c r="BJ14" s="13">
        <f>IF(ISBLANK('Paste Full'!BL14),"",'Paste Full'!BL14)</f>
        <v/>
      </c>
      <c r="BK14" s="13">
        <f>IF(ISBLANK('Paste Full'!BQ14),"",'Paste Full'!BQ14)</f>
        <v/>
      </c>
      <c r="BL14" s="13">
        <f>IF(ISBLANK('Paste Full'!BT14),"",'Paste Full'!BT14)</f>
        <v/>
      </c>
      <c r="BM14" s="13">
        <f>IF(ISBLANK('Paste Full'!BW14),"",'Paste Full'!BW14)</f>
        <v/>
      </c>
    </row>
    <row r="15">
      <c r="A15">
        <f>IF(ISBLANK('Paste Full'!C15),"",'Paste Full'!C15)</f>
        <v/>
      </c>
      <c r="B15">
        <f>INDEX($J$1:$R$1, MATCH(MAX($J15:$R15), $J15:$R15, 0))</f>
        <v/>
      </c>
      <c r="C15" s="45">
        <f>IF(ISBLANK('Paste Full'!H15),"",'Paste Full'!H15)</f>
        <v/>
      </c>
      <c r="D15" s="45">
        <f>IF(ISBLANK('Paste Full'!F15),"",'Paste Full'!F15)</f>
        <v/>
      </c>
      <c r="E15" s="45">
        <f>IF(ISBLANK('Paste Full'!G15),"",'Paste Full'!G15)</f>
        <v/>
      </c>
      <c r="F15" s="21">
        <f>IF(ISBLANK('Paste Full'!E15),"",'Paste Full'!E15)</f>
        <v/>
      </c>
      <c r="G15">
        <f>IF(ISBLANK('Paste Full'!CI15),"",'Paste Full'!CI15)</f>
        <v/>
      </c>
      <c r="H15" s="21">
        <f>IF(ISBLANK('Paste Full'!J15),"",'Paste Full'!J15)</f>
        <v/>
      </c>
      <c r="I15" s="21">
        <f>IF(ISBLANK('Paste Full'!D15),"",'Paste Full'!D15)</f>
        <v/>
      </c>
      <c r="J15" s="14">
        <f>AVERAGE(SUMPRODUCT($S15:$BM15,AttWeights!$C$10:$AW$10)/SUM(AttWeights!$C$10:$AW$10),SUMPRODUCT($S15:$BM15,AttWeights!$C$17:$AW$17)/SUM(AttWeights!$C$17:$AW$17))*10</f>
        <v/>
      </c>
      <c r="K15" s="14">
        <f>AVERAGE(SUMPRODUCT($S15:$BM15,AttWeights!$C$7:$AW$7)/SUM(AttWeights!$C$7:$AW$7),SUMPRODUCT($S15:$BM15,AttWeights!$C$15:$AW$15)/SUM(AttWeights!$C$15:$AW$15))*10</f>
        <v/>
      </c>
      <c r="L15" s="14">
        <f>AVERAGE(SUMPRODUCT($S15:$BM15,AttWeights!$C$8:$AW$8)/SUM(AttWeights!$C$8:$AW$8),SUMPRODUCT($S15:$BM15,AttWeights!$C$16:$AW$16)/SUM(AttWeights!$C$16:$AW$16))*10</f>
        <v/>
      </c>
      <c r="M15" s="14">
        <f>AVERAGE(SUMPRODUCT($S15:$BM15,AttWeights!$C$9:$AW$9)/SUM(AttWeights!$C$9:$AW$9),SUMPRODUCT($S15:$BM15,AttWeights!$C$15:$AW$15)/SUM(AttWeights!$C$15:$AW$15))*10</f>
        <v/>
      </c>
      <c r="N15" s="14">
        <f>AVERAGE(SUMPRODUCT($S15:$BM15,AttWeights!$C$6:$AW$6)/SUM(AttWeights!$C$6:$AW$6),SUMPRODUCT($S15:$BM15,AttWeights!$C$14:$AW$14)/SUM(AttWeights!$C$14:$AW$14))*10</f>
        <v/>
      </c>
      <c r="O15" s="14">
        <f>AVERAGE(SUMPRODUCT($S15:$BM15,AttWeights!$C$5:$AW$5)/SUM(AttWeights!$C$5:$AW$5),SUMPRODUCT($S15:$BM15,AttWeights!$C$14:$AW$14)/SUM(AttWeights!$C$14:$AW$14))*10</f>
        <v/>
      </c>
      <c r="P15" s="14">
        <f>AVERAGE(SUMPRODUCT($S15:$BM15,AttWeights!$C$4:$AW$4)/SUM(AttWeights!$C$4:$AW$4),SUMPRODUCT($S15:$BM15,AttWeights!$C$13:$AW$13)/SUM(AttWeights!$C$13:$AW$13))*10</f>
        <v/>
      </c>
      <c r="Q15" s="14">
        <f>AVERAGE(SUMPRODUCT($S15:$BM15,AttWeights!$C$3:$AW$3)/SUM(AttWeights!$C$3:$AW$3),SUMPRODUCT($S15:$BM15,AttWeights!$C$12:$AW$12)/SUM(AttWeights!$C$12:$AW$12))*10</f>
        <v/>
      </c>
      <c r="R15" s="14">
        <f>AVERAGE(SUMPRODUCT($S15:$BM15,AttWeights!$C$2:$AW$2)/SUM(AttWeights!$C$2:$AW$2),SUMPRODUCT($S15:$BM15,AttWeights!$C$11:$AW$11)/SUM(AttWeights!$C$11:$AW$11))*10</f>
        <v/>
      </c>
      <c r="S15" s="3">
        <f>IF(ISBLANK('Paste Full'!AC15),"",'Paste Full'!AC15)</f>
        <v/>
      </c>
      <c r="T15" s="3">
        <f>IF(ISBLANK('Paste Full'!AD15),"",'Paste Full'!AD15)</f>
        <v/>
      </c>
      <c r="U15" s="3">
        <f>IF(ISBLANK('Paste Full'!AE15),"",'Paste Full'!AE15)</f>
        <v/>
      </c>
      <c r="V15" s="3">
        <f>IF(ISBLANK('Paste Full'!AF15),"",'Paste Full'!AF15)</f>
        <v/>
      </c>
      <c r="W15" s="3">
        <f>IF(ISBLANK('Paste Full'!AH15),"",'Paste Full'!AH15)</f>
        <v/>
      </c>
      <c r="X15" s="3">
        <f>IF(ISBLANK('Paste Full'!AI15),"",'Paste Full'!AI15)</f>
        <v/>
      </c>
      <c r="Y15" s="3">
        <f>IF(ISBLANK('Paste Full'!AK15),"",'Paste Full'!AK15)</f>
        <v/>
      </c>
      <c r="Z15" s="3">
        <f>IF(ISBLANK('Paste Full'!AL15),"",'Paste Full'!AL15)</f>
        <v/>
      </c>
      <c r="AA15" s="4">
        <f>IF(ISBLANK('Paste Full'!AM15),"",'Paste Full'!AM15)</f>
        <v/>
      </c>
      <c r="AB15" s="4">
        <f>IF(ISBLANK('Paste Full'!AN15),"",'Paste Full'!AN15)</f>
        <v/>
      </c>
      <c r="AC15" s="4">
        <f>IF(ISBLANK('Paste Full'!AO15),"",'Paste Full'!AO15)</f>
        <v/>
      </c>
      <c r="AD15" s="4">
        <f>IF(ISBLANK('Paste Full'!AP15),"",'Paste Full'!AP15)</f>
        <v/>
      </c>
      <c r="AE15" s="4">
        <f>IF(ISBLANK('Paste Full'!AQ15),"",'Paste Full'!AQ15)</f>
        <v/>
      </c>
      <c r="AF15" s="4">
        <f>IF(ISBLANK('Paste Full'!AR15),"",'Paste Full'!AR15)</f>
        <v/>
      </c>
      <c r="AG15" s="4">
        <f>IF(ISBLANK('Paste Full'!AS15),"",'Paste Full'!AS15)</f>
        <v/>
      </c>
      <c r="AH15" s="4">
        <f>IF(ISBLANK('Paste Full'!AV15),"",'Paste Full'!AV15)</f>
        <v/>
      </c>
      <c r="AI15" s="4">
        <f>IF(ISBLANK('Paste Full'!AT15),"",'Paste Full'!AT15)</f>
        <v/>
      </c>
      <c r="AJ15" s="4">
        <f>IF(ISBLANK('Paste Full'!AU15),"",'Paste Full'!AU15)</f>
        <v/>
      </c>
      <c r="AK15" s="4">
        <f>IF(ISBLANK('Paste Full'!AW15),"",'Paste Full'!AW15)</f>
        <v/>
      </c>
      <c r="AL15" s="5">
        <f>IF(ISBLANK('Paste Full'!AX15),"",'Paste Full'!AX15)</f>
        <v/>
      </c>
      <c r="AM15" s="5">
        <f>IF(ISBLANK('Paste Full'!AY15),"",'Paste Full'!AY15)</f>
        <v/>
      </c>
      <c r="AN15" s="5">
        <f>IF(ISBLANK('Paste Full'!AZ15),"",'Paste Full'!AZ15)</f>
        <v/>
      </c>
      <c r="AO15" s="5">
        <f>IF(ISBLANK('Paste Full'!BA15),"",'Paste Full'!BA15)</f>
        <v/>
      </c>
      <c r="AP15" s="5">
        <f>IF(ISBLANK('Paste Full'!BB15),"",'Paste Full'!BB15)</f>
        <v/>
      </c>
      <c r="AQ15" s="5">
        <f>IF(ISBLANK('Paste Full'!BC15),"",'Paste Full'!BC15)</f>
        <v/>
      </c>
      <c r="AR15" s="5">
        <f>IF(ISBLANK('Paste Full'!BD15),"",'Paste Full'!BD15)</f>
        <v/>
      </c>
      <c r="AS15" s="5">
        <f>IF(ISBLANK('Paste Full'!BE15),"",'Paste Full'!BE15)</f>
        <v/>
      </c>
      <c r="AT15" s="5">
        <f>IF(ISBLANK('Paste Full'!BF15),"",'Paste Full'!BF15)</f>
        <v/>
      </c>
      <c r="AU15" s="5">
        <f>IF(ISBLANK('Paste Full'!BG15),"",'Paste Full'!BG15)</f>
        <v/>
      </c>
      <c r="AV15" s="5">
        <f>IF(ISBLANK('Paste Full'!BH15),"",'Paste Full'!BH15)</f>
        <v/>
      </c>
      <c r="AW15" s="5">
        <f>IF(ISBLANK('Paste Full'!BI15),"",'Paste Full'!BI15)</f>
        <v/>
      </c>
      <c r="AX15" s="5">
        <f>IF(ISBLANK('Paste Full'!BJ15),"",'Paste Full'!BJ15)</f>
        <v/>
      </c>
      <c r="AY15" s="5">
        <f>IF(ISBLANK('Paste Full'!BK15),"",'Paste Full'!BK15)</f>
        <v/>
      </c>
      <c r="AZ15" s="6">
        <f>IF(ISBLANK('Paste Full'!BM15),"",'Paste Full'!BM15)</f>
        <v/>
      </c>
      <c r="BA15" s="6">
        <f>IF(ISBLANK('Paste Full'!BN15),"",'Paste Full'!BN15)</f>
        <v/>
      </c>
      <c r="BB15" s="6">
        <f>IF(ISBLANK('Paste Full'!BO15),"",'Paste Full'!BO15)</f>
        <v/>
      </c>
      <c r="BC15" s="6">
        <f>IF(ISBLANK('Paste Full'!BP15),"",'Paste Full'!BP15)</f>
        <v/>
      </c>
      <c r="BD15" s="6">
        <f>IF(ISBLANK('Paste Full'!BR15),"",'Paste Full'!BR15)</f>
        <v/>
      </c>
      <c r="BE15" s="6">
        <f>IF(ISBLANK('Paste Full'!BS15),"",'Paste Full'!BS15)</f>
        <v/>
      </c>
      <c r="BF15" s="6">
        <f>IF(ISBLANK('Paste Full'!BU15),"",'Paste Full'!BU15)</f>
        <v/>
      </c>
      <c r="BG15" s="6">
        <f>IF(ISBLANK('Paste Full'!BV15),"",'Paste Full'!BV15)</f>
        <v/>
      </c>
      <c r="BH15" s="6">
        <f>IF(ISBLANK('Paste Full'!BX15),"",'Paste Full'!BX15)</f>
        <v/>
      </c>
      <c r="BI15" s="6">
        <f>IF(ISBLANK('Paste Full'!BY15),"",'Paste Full'!BY15)</f>
        <v/>
      </c>
      <c r="BJ15" s="13">
        <f>IF(ISBLANK('Paste Full'!BL15),"",'Paste Full'!BL15)</f>
        <v/>
      </c>
      <c r="BK15" s="13">
        <f>IF(ISBLANK('Paste Full'!BQ15),"",'Paste Full'!BQ15)</f>
        <v/>
      </c>
      <c r="BL15" s="13">
        <f>IF(ISBLANK('Paste Full'!BT15),"",'Paste Full'!BT15)</f>
        <v/>
      </c>
      <c r="BM15" s="13">
        <f>IF(ISBLANK('Paste Full'!BW15),"",'Paste Full'!BW15)</f>
        <v/>
      </c>
    </row>
    <row r="16">
      <c r="A16">
        <f>IF(ISBLANK('Paste Full'!C16),"",'Paste Full'!C16)</f>
        <v/>
      </c>
      <c r="B16">
        <f>INDEX($J$1:$R$1, MATCH(MAX($J16:$R16), $J16:$R16, 0))</f>
        <v/>
      </c>
      <c r="C16" s="45">
        <f>IF(ISBLANK('Paste Full'!H16),"",'Paste Full'!H16)</f>
        <v/>
      </c>
      <c r="D16" s="45">
        <f>IF(ISBLANK('Paste Full'!F16),"",'Paste Full'!F16)</f>
        <v/>
      </c>
      <c r="E16" s="45">
        <f>IF(ISBLANK('Paste Full'!G16),"",'Paste Full'!G16)</f>
        <v/>
      </c>
      <c r="F16" s="21">
        <f>IF(ISBLANK('Paste Full'!E16),"",'Paste Full'!E16)</f>
        <v/>
      </c>
      <c r="G16">
        <f>IF(ISBLANK('Paste Full'!CI16),"",'Paste Full'!CI16)</f>
        <v/>
      </c>
      <c r="H16" s="21">
        <f>IF(ISBLANK('Paste Full'!J16),"",'Paste Full'!J16)</f>
        <v/>
      </c>
      <c r="I16" s="21">
        <f>IF(ISBLANK('Paste Full'!D16),"",'Paste Full'!D16)</f>
        <v/>
      </c>
      <c r="J16" s="14">
        <f>AVERAGE(SUMPRODUCT($S16:$BM16,AttWeights!$C$10:$AW$10)/SUM(AttWeights!$C$10:$AW$10),SUMPRODUCT($S16:$BM16,AttWeights!$C$17:$AW$17)/SUM(AttWeights!$C$17:$AW$17))*10</f>
        <v/>
      </c>
      <c r="K16" s="14">
        <f>AVERAGE(SUMPRODUCT($S16:$BM16,AttWeights!$C$7:$AW$7)/SUM(AttWeights!$C$7:$AW$7),SUMPRODUCT($S16:$BM16,AttWeights!$C$15:$AW$15)/SUM(AttWeights!$C$15:$AW$15))*10</f>
        <v/>
      </c>
      <c r="L16" s="14">
        <f>AVERAGE(SUMPRODUCT($S16:$BM16,AttWeights!$C$8:$AW$8)/SUM(AttWeights!$C$8:$AW$8),SUMPRODUCT($S16:$BM16,AttWeights!$C$16:$AW$16)/SUM(AttWeights!$C$16:$AW$16))*10</f>
        <v/>
      </c>
      <c r="M16" s="14">
        <f>AVERAGE(SUMPRODUCT($S16:$BM16,AttWeights!$C$9:$AW$9)/SUM(AttWeights!$C$9:$AW$9),SUMPRODUCT($S16:$BM16,AttWeights!$C$15:$AW$15)/SUM(AttWeights!$C$15:$AW$15))*10</f>
        <v/>
      </c>
      <c r="N16" s="14">
        <f>AVERAGE(SUMPRODUCT($S16:$BM16,AttWeights!$C$6:$AW$6)/SUM(AttWeights!$C$6:$AW$6),SUMPRODUCT($S16:$BM16,AttWeights!$C$14:$AW$14)/SUM(AttWeights!$C$14:$AW$14))*10</f>
        <v/>
      </c>
      <c r="O16" s="14">
        <f>AVERAGE(SUMPRODUCT($S16:$BM16,AttWeights!$C$5:$AW$5)/SUM(AttWeights!$C$5:$AW$5),SUMPRODUCT($S16:$BM16,AttWeights!$C$14:$AW$14)/SUM(AttWeights!$C$14:$AW$14))*10</f>
        <v/>
      </c>
      <c r="P16" s="14">
        <f>AVERAGE(SUMPRODUCT($S16:$BM16,AttWeights!$C$4:$AW$4)/SUM(AttWeights!$C$4:$AW$4),SUMPRODUCT($S16:$BM16,AttWeights!$C$13:$AW$13)/SUM(AttWeights!$C$13:$AW$13))*10</f>
        <v/>
      </c>
      <c r="Q16" s="14">
        <f>AVERAGE(SUMPRODUCT($S16:$BM16,AttWeights!$C$3:$AW$3)/SUM(AttWeights!$C$3:$AW$3),SUMPRODUCT($S16:$BM16,AttWeights!$C$12:$AW$12)/SUM(AttWeights!$C$12:$AW$12))*10</f>
        <v/>
      </c>
      <c r="R16" s="14">
        <f>AVERAGE(SUMPRODUCT($S16:$BM16,AttWeights!$C$2:$AW$2)/SUM(AttWeights!$C$2:$AW$2),SUMPRODUCT($S16:$BM16,AttWeights!$C$11:$AW$11)/SUM(AttWeights!$C$11:$AW$11))*10</f>
        <v/>
      </c>
      <c r="S16" s="3">
        <f>IF(ISBLANK('Paste Full'!AC16),"",'Paste Full'!AC16)</f>
        <v/>
      </c>
      <c r="T16" s="3">
        <f>IF(ISBLANK('Paste Full'!AD16),"",'Paste Full'!AD16)</f>
        <v/>
      </c>
      <c r="U16" s="3">
        <f>IF(ISBLANK('Paste Full'!AE16),"",'Paste Full'!AE16)</f>
        <v/>
      </c>
      <c r="V16" s="3">
        <f>IF(ISBLANK('Paste Full'!AF16),"",'Paste Full'!AF16)</f>
        <v/>
      </c>
      <c r="W16" s="3">
        <f>IF(ISBLANK('Paste Full'!AH16),"",'Paste Full'!AH16)</f>
        <v/>
      </c>
      <c r="X16" s="3">
        <f>IF(ISBLANK('Paste Full'!AI16),"",'Paste Full'!AI16)</f>
        <v/>
      </c>
      <c r="Y16" s="3">
        <f>IF(ISBLANK('Paste Full'!AK16),"",'Paste Full'!AK16)</f>
        <v/>
      </c>
      <c r="Z16" s="3">
        <f>IF(ISBLANK('Paste Full'!AL16),"",'Paste Full'!AL16)</f>
        <v/>
      </c>
      <c r="AA16" s="4">
        <f>IF(ISBLANK('Paste Full'!AM16),"",'Paste Full'!AM16)</f>
        <v/>
      </c>
      <c r="AB16" s="4">
        <f>IF(ISBLANK('Paste Full'!AN16),"",'Paste Full'!AN16)</f>
        <v/>
      </c>
      <c r="AC16" s="4">
        <f>IF(ISBLANK('Paste Full'!AO16),"",'Paste Full'!AO16)</f>
        <v/>
      </c>
      <c r="AD16" s="4">
        <f>IF(ISBLANK('Paste Full'!AP16),"",'Paste Full'!AP16)</f>
        <v/>
      </c>
      <c r="AE16" s="4">
        <f>IF(ISBLANK('Paste Full'!AQ16),"",'Paste Full'!AQ16)</f>
        <v/>
      </c>
      <c r="AF16" s="4">
        <f>IF(ISBLANK('Paste Full'!AR16),"",'Paste Full'!AR16)</f>
        <v/>
      </c>
      <c r="AG16" s="4">
        <f>IF(ISBLANK('Paste Full'!AS16),"",'Paste Full'!AS16)</f>
        <v/>
      </c>
      <c r="AH16" s="4">
        <f>IF(ISBLANK('Paste Full'!AV16),"",'Paste Full'!AV16)</f>
        <v/>
      </c>
      <c r="AI16" s="4">
        <f>IF(ISBLANK('Paste Full'!AT16),"",'Paste Full'!AT16)</f>
        <v/>
      </c>
      <c r="AJ16" s="4">
        <f>IF(ISBLANK('Paste Full'!AU16),"",'Paste Full'!AU16)</f>
        <v/>
      </c>
      <c r="AK16" s="4">
        <f>IF(ISBLANK('Paste Full'!AW16),"",'Paste Full'!AW16)</f>
        <v/>
      </c>
      <c r="AL16" s="5">
        <f>IF(ISBLANK('Paste Full'!AX16),"",'Paste Full'!AX16)</f>
        <v/>
      </c>
      <c r="AM16" s="5">
        <f>IF(ISBLANK('Paste Full'!AY16),"",'Paste Full'!AY16)</f>
        <v/>
      </c>
      <c r="AN16" s="5">
        <f>IF(ISBLANK('Paste Full'!AZ16),"",'Paste Full'!AZ16)</f>
        <v/>
      </c>
      <c r="AO16" s="5">
        <f>IF(ISBLANK('Paste Full'!BA16),"",'Paste Full'!BA16)</f>
        <v/>
      </c>
      <c r="AP16" s="5">
        <f>IF(ISBLANK('Paste Full'!BB16),"",'Paste Full'!BB16)</f>
        <v/>
      </c>
      <c r="AQ16" s="5">
        <f>IF(ISBLANK('Paste Full'!BC16),"",'Paste Full'!BC16)</f>
        <v/>
      </c>
      <c r="AR16" s="5">
        <f>IF(ISBLANK('Paste Full'!BD16),"",'Paste Full'!BD16)</f>
        <v/>
      </c>
      <c r="AS16" s="5">
        <f>IF(ISBLANK('Paste Full'!BE16),"",'Paste Full'!BE16)</f>
        <v/>
      </c>
      <c r="AT16" s="5">
        <f>IF(ISBLANK('Paste Full'!BF16),"",'Paste Full'!BF16)</f>
        <v/>
      </c>
      <c r="AU16" s="5">
        <f>IF(ISBLANK('Paste Full'!BG16),"",'Paste Full'!BG16)</f>
        <v/>
      </c>
      <c r="AV16" s="5">
        <f>IF(ISBLANK('Paste Full'!BH16),"",'Paste Full'!BH16)</f>
        <v/>
      </c>
      <c r="AW16" s="5">
        <f>IF(ISBLANK('Paste Full'!BI16),"",'Paste Full'!BI16)</f>
        <v/>
      </c>
      <c r="AX16" s="5">
        <f>IF(ISBLANK('Paste Full'!BJ16),"",'Paste Full'!BJ16)</f>
        <v/>
      </c>
      <c r="AY16" s="5">
        <f>IF(ISBLANK('Paste Full'!BK16),"",'Paste Full'!BK16)</f>
        <v/>
      </c>
      <c r="AZ16" s="6">
        <f>IF(ISBLANK('Paste Full'!BM16),"",'Paste Full'!BM16)</f>
        <v/>
      </c>
      <c r="BA16" s="6">
        <f>IF(ISBLANK('Paste Full'!BN16),"",'Paste Full'!BN16)</f>
        <v/>
      </c>
      <c r="BB16" s="6">
        <f>IF(ISBLANK('Paste Full'!BO16),"",'Paste Full'!BO16)</f>
        <v/>
      </c>
      <c r="BC16" s="6">
        <f>IF(ISBLANK('Paste Full'!BP16),"",'Paste Full'!BP16)</f>
        <v/>
      </c>
      <c r="BD16" s="6">
        <f>IF(ISBLANK('Paste Full'!BR16),"",'Paste Full'!BR16)</f>
        <v/>
      </c>
      <c r="BE16" s="6">
        <f>IF(ISBLANK('Paste Full'!BS16),"",'Paste Full'!BS16)</f>
        <v/>
      </c>
      <c r="BF16" s="6">
        <f>IF(ISBLANK('Paste Full'!BU16),"",'Paste Full'!BU16)</f>
        <v/>
      </c>
      <c r="BG16" s="6">
        <f>IF(ISBLANK('Paste Full'!BV16),"",'Paste Full'!BV16)</f>
        <v/>
      </c>
      <c r="BH16" s="6">
        <f>IF(ISBLANK('Paste Full'!BX16),"",'Paste Full'!BX16)</f>
        <v/>
      </c>
      <c r="BI16" s="6">
        <f>IF(ISBLANK('Paste Full'!BY16),"",'Paste Full'!BY16)</f>
        <v/>
      </c>
      <c r="BJ16" s="13">
        <f>IF(ISBLANK('Paste Full'!BL16),"",'Paste Full'!BL16)</f>
        <v/>
      </c>
      <c r="BK16" s="13">
        <f>IF(ISBLANK('Paste Full'!BQ16),"",'Paste Full'!BQ16)</f>
        <v/>
      </c>
      <c r="BL16" s="13">
        <f>IF(ISBLANK('Paste Full'!BT16),"",'Paste Full'!BT16)</f>
        <v/>
      </c>
      <c r="BM16" s="13">
        <f>IF(ISBLANK('Paste Full'!BW16),"",'Paste Full'!BW16)</f>
        <v/>
      </c>
    </row>
    <row r="17">
      <c r="A17">
        <f>IF(ISBLANK('Paste Full'!C17),"",'Paste Full'!C17)</f>
        <v/>
      </c>
      <c r="B17">
        <f>INDEX($J$1:$R$1, MATCH(MAX($J17:$R17), $J17:$R17, 0))</f>
        <v/>
      </c>
      <c r="C17" s="45">
        <f>IF(ISBLANK('Paste Full'!H17),"",'Paste Full'!H17)</f>
        <v/>
      </c>
      <c r="D17" s="45">
        <f>IF(ISBLANK('Paste Full'!F17),"",'Paste Full'!F17)</f>
        <v/>
      </c>
      <c r="E17" s="45">
        <f>IF(ISBLANK('Paste Full'!G17),"",'Paste Full'!G17)</f>
        <v/>
      </c>
      <c r="F17" s="21">
        <f>IF(ISBLANK('Paste Full'!E17),"",'Paste Full'!E17)</f>
        <v/>
      </c>
      <c r="G17">
        <f>IF(ISBLANK('Paste Full'!CI17),"",'Paste Full'!CI17)</f>
        <v/>
      </c>
      <c r="H17" s="21">
        <f>IF(ISBLANK('Paste Full'!J17),"",'Paste Full'!J17)</f>
        <v/>
      </c>
      <c r="I17" s="21">
        <f>IF(ISBLANK('Paste Full'!D17),"",'Paste Full'!D17)</f>
        <v/>
      </c>
      <c r="J17" s="14">
        <f>AVERAGE(SUMPRODUCT($S17:$BM17,AttWeights!$C$10:$AW$10)/SUM(AttWeights!$C$10:$AW$10),SUMPRODUCT($S17:$BM17,AttWeights!$C$17:$AW$17)/SUM(AttWeights!$C$17:$AW$17))*10</f>
        <v/>
      </c>
      <c r="K17" s="14">
        <f>AVERAGE(SUMPRODUCT($S17:$BM17,AttWeights!$C$7:$AW$7)/SUM(AttWeights!$C$7:$AW$7),SUMPRODUCT($S17:$BM17,AttWeights!$C$15:$AW$15)/SUM(AttWeights!$C$15:$AW$15))*10</f>
        <v/>
      </c>
      <c r="L17" s="14">
        <f>AVERAGE(SUMPRODUCT($S17:$BM17,AttWeights!$C$8:$AW$8)/SUM(AttWeights!$C$8:$AW$8),SUMPRODUCT($S17:$BM17,AttWeights!$C$16:$AW$16)/SUM(AttWeights!$C$16:$AW$16))*10</f>
        <v/>
      </c>
      <c r="M17" s="14">
        <f>AVERAGE(SUMPRODUCT($S17:$BM17,AttWeights!$C$9:$AW$9)/SUM(AttWeights!$C$9:$AW$9),SUMPRODUCT($S17:$BM17,AttWeights!$C$15:$AW$15)/SUM(AttWeights!$C$15:$AW$15))*10</f>
        <v/>
      </c>
      <c r="N17" s="14">
        <f>AVERAGE(SUMPRODUCT($S17:$BM17,AttWeights!$C$6:$AW$6)/SUM(AttWeights!$C$6:$AW$6),SUMPRODUCT($S17:$BM17,AttWeights!$C$14:$AW$14)/SUM(AttWeights!$C$14:$AW$14))*10</f>
        <v/>
      </c>
      <c r="O17" s="14">
        <f>AVERAGE(SUMPRODUCT($S17:$BM17,AttWeights!$C$5:$AW$5)/SUM(AttWeights!$C$5:$AW$5),SUMPRODUCT($S17:$BM17,AttWeights!$C$14:$AW$14)/SUM(AttWeights!$C$14:$AW$14))*10</f>
        <v/>
      </c>
      <c r="P17" s="14">
        <f>AVERAGE(SUMPRODUCT($S17:$BM17,AttWeights!$C$4:$AW$4)/SUM(AttWeights!$C$4:$AW$4),SUMPRODUCT($S17:$BM17,AttWeights!$C$13:$AW$13)/SUM(AttWeights!$C$13:$AW$13))*10</f>
        <v/>
      </c>
      <c r="Q17" s="14">
        <f>AVERAGE(SUMPRODUCT($S17:$BM17,AttWeights!$C$3:$AW$3)/SUM(AttWeights!$C$3:$AW$3),SUMPRODUCT($S17:$BM17,AttWeights!$C$12:$AW$12)/SUM(AttWeights!$C$12:$AW$12))*10</f>
        <v/>
      </c>
      <c r="R17" s="14">
        <f>AVERAGE(SUMPRODUCT($S17:$BM17,AttWeights!$C$2:$AW$2)/SUM(AttWeights!$C$2:$AW$2),SUMPRODUCT($S17:$BM17,AttWeights!$C$11:$AW$11)/SUM(AttWeights!$C$11:$AW$11))*10</f>
        <v/>
      </c>
      <c r="S17" s="3">
        <f>IF(ISBLANK('Paste Full'!AC17),"",'Paste Full'!AC17)</f>
        <v/>
      </c>
      <c r="T17" s="3">
        <f>IF(ISBLANK('Paste Full'!AD17),"",'Paste Full'!AD17)</f>
        <v/>
      </c>
      <c r="U17" s="3">
        <f>IF(ISBLANK('Paste Full'!AE17),"",'Paste Full'!AE17)</f>
        <v/>
      </c>
      <c r="V17" s="3">
        <f>IF(ISBLANK('Paste Full'!AF17),"",'Paste Full'!AF17)</f>
        <v/>
      </c>
      <c r="W17" s="3">
        <f>IF(ISBLANK('Paste Full'!AH17),"",'Paste Full'!AH17)</f>
        <v/>
      </c>
      <c r="X17" s="3">
        <f>IF(ISBLANK('Paste Full'!AI17),"",'Paste Full'!AI17)</f>
        <v/>
      </c>
      <c r="Y17" s="3">
        <f>IF(ISBLANK('Paste Full'!AK17),"",'Paste Full'!AK17)</f>
        <v/>
      </c>
      <c r="Z17" s="3">
        <f>IF(ISBLANK('Paste Full'!AL17),"",'Paste Full'!AL17)</f>
        <v/>
      </c>
      <c r="AA17" s="4">
        <f>IF(ISBLANK('Paste Full'!AM17),"",'Paste Full'!AM17)</f>
        <v/>
      </c>
      <c r="AB17" s="4">
        <f>IF(ISBLANK('Paste Full'!AN17),"",'Paste Full'!AN17)</f>
        <v/>
      </c>
      <c r="AC17" s="4">
        <f>IF(ISBLANK('Paste Full'!AO17),"",'Paste Full'!AO17)</f>
        <v/>
      </c>
      <c r="AD17" s="4">
        <f>IF(ISBLANK('Paste Full'!AP17),"",'Paste Full'!AP17)</f>
        <v/>
      </c>
      <c r="AE17" s="4">
        <f>IF(ISBLANK('Paste Full'!AQ17),"",'Paste Full'!AQ17)</f>
        <v/>
      </c>
      <c r="AF17" s="4">
        <f>IF(ISBLANK('Paste Full'!AR17),"",'Paste Full'!AR17)</f>
        <v/>
      </c>
      <c r="AG17" s="4">
        <f>IF(ISBLANK('Paste Full'!AS17),"",'Paste Full'!AS17)</f>
        <v/>
      </c>
      <c r="AH17" s="4">
        <f>IF(ISBLANK('Paste Full'!AV17),"",'Paste Full'!AV17)</f>
        <v/>
      </c>
      <c r="AI17" s="4">
        <f>IF(ISBLANK('Paste Full'!AT17),"",'Paste Full'!AT17)</f>
        <v/>
      </c>
      <c r="AJ17" s="4">
        <f>IF(ISBLANK('Paste Full'!AU17),"",'Paste Full'!AU17)</f>
        <v/>
      </c>
      <c r="AK17" s="4">
        <f>IF(ISBLANK('Paste Full'!AW17),"",'Paste Full'!AW17)</f>
        <v/>
      </c>
      <c r="AL17" s="5">
        <f>IF(ISBLANK('Paste Full'!AX17),"",'Paste Full'!AX17)</f>
        <v/>
      </c>
      <c r="AM17" s="5">
        <f>IF(ISBLANK('Paste Full'!AY17),"",'Paste Full'!AY17)</f>
        <v/>
      </c>
      <c r="AN17" s="5">
        <f>IF(ISBLANK('Paste Full'!AZ17),"",'Paste Full'!AZ17)</f>
        <v/>
      </c>
      <c r="AO17" s="5">
        <f>IF(ISBLANK('Paste Full'!BA17),"",'Paste Full'!BA17)</f>
        <v/>
      </c>
      <c r="AP17" s="5">
        <f>IF(ISBLANK('Paste Full'!BB17),"",'Paste Full'!BB17)</f>
        <v/>
      </c>
      <c r="AQ17" s="5">
        <f>IF(ISBLANK('Paste Full'!BC17),"",'Paste Full'!BC17)</f>
        <v/>
      </c>
      <c r="AR17" s="5">
        <f>IF(ISBLANK('Paste Full'!BD17),"",'Paste Full'!BD17)</f>
        <v/>
      </c>
      <c r="AS17" s="5">
        <f>IF(ISBLANK('Paste Full'!BE17),"",'Paste Full'!BE17)</f>
        <v/>
      </c>
      <c r="AT17" s="5">
        <f>IF(ISBLANK('Paste Full'!BF17),"",'Paste Full'!BF17)</f>
        <v/>
      </c>
      <c r="AU17" s="5">
        <f>IF(ISBLANK('Paste Full'!BG17),"",'Paste Full'!BG17)</f>
        <v/>
      </c>
      <c r="AV17" s="5">
        <f>IF(ISBLANK('Paste Full'!BH17),"",'Paste Full'!BH17)</f>
        <v/>
      </c>
      <c r="AW17" s="5">
        <f>IF(ISBLANK('Paste Full'!BI17),"",'Paste Full'!BI17)</f>
        <v/>
      </c>
      <c r="AX17" s="5">
        <f>IF(ISBLANK('Paste Full'!BJ17),"",'Paste Full'!BJ17)</f>
        <v/>
      </c>
      <c r="AY17" s="5">
        <f>IF(ISBLANK('Paste Full'!BK17),"",'Paste Full'!BK17)</f>
        <v/>
      </c>
      <c r="AZ17" s="6">
        <f>IF(ISBLANK('Paste Full'!BM17),"",'Paste Full'!BM17)</f>
        <v/>
      </c>
      <c r="BA17" s="6">
        <f>IF(ISBLANK('Paste Full'!BN17),"",'Paste Full'!BN17)</f>
        <v/>
      </c>
      <c r="BB17" s="6">
        <f>IF(ISBLANK('Paste Full'!BO17),"",'Paste Full'!BO17)</f>
        <v/>
      </c>
      <c r="BC17" s="6">
        <f>IF(ISBLANK('Paste Full'!BP17),"",'Paste Full'!BP17)</f>
        <v/>
      </c>
      <c r="BD17" s="6">
        <f>IF(ISBLANK('Paste Full'!BR17),"",'Paste Full'!BR17)</f>
        <v/>
      </c>
      <c r="BE17" s="6">
        <f>IF(ISBLANK('Paste Full'!BS17),"",'Paste Full'!BS17)</f>
        <v/>
      </c>
      <c r="BF17" s="6">
        <f>IF(ISBLANK('Paste Full'!BU17),"",'Paste Full'!BU17)</f>
        <v/>
      </c>
      <c r="BG17" s="6">
        <f>IF(ISBLANK('Paste Full'!BV17),"",'Paste Full'!BV17)</f>
        <v/>
      </c>
      <c r="BH17" s="6">
        <f>IF(ISBLANK('Paste Full'!BX17),"",'Paste Full'!BX17)</f>
        <v/>
      </c>
      <c r="BI17" s="6">
        <f>IF(ISBLANK('Paste Full'!BY17),"",'Paste Full'!BY17)</f>
        <v/>
      </c>
      <c r="BJ17" s="13">
        <f>IF(ISBLANK('Paste Full'!BL17),"",'Paste Full'!BL17)</f>
        <v/>
      </c>
      <c r="BK17" s="13">
        <f>IF(ISBLANK('Paste Full'!BQ17),"",'Paste Full'!BQ17)</f>
        <v/>
      </c>
      <c r="BL17" s="13">
        <f>IF(ISBLANK('Paste Full'!BT17),"",'Paste Full'!BT17)</f>
        <v/>
      </c>
      <c r="BM17" s="13">
        <f>IF(ISBLANK('Paste Full'!BW17),"",'Paste Full'!BW17)</f>
        <v/>
      </c>
    </row>
    <row r="18">
      <c r="A18">
        <f>IF(ISBLANK('Paste Full'!C18),"",'Paste Full'!C18)</f>
        <v/>
      </c>
      <c r="B18">
        <f>INDEX($J$1:$R$1, MATCH(MAX($J18:$R18), $J18:$R18, 0))</f>
        <v/>
      </c>
      <c r="C18" s="45">
        <f>IF(ISBLANK('Paste Full'!H18),"",'Paste Full'!H18)</f>
        <v/>
      </c>
      <c r="D18" s="45">
        <f>IF(ISBLANK('Paste Full'!F18),"",'Paste Full'!F18)</f>
        <v/>
      </c>
      <c r="E18" s="45">
        <f>IF(ISBLANK('Paste Full'!G18),"",'Paste Full'!G18)</f>
        <v/>
      </c>
      <c r="F18" s="21">
        <f>IF(ISBLANK('Paste Full'!E18),"",'Paste Full'!E18)</f>
        <v/>
      </c>
      <c r="G18">
        <f>IF(ISBLANK('Paste Full'!CI18),"",'Paste Full'!CI18)</f>
        <v/>
      </c>
      <c r="H18" s="21">
        <f>IF(ISBLANK('Paste Full'!J18),"",'Paste Full'!J18)</f>
        <v/>
      </c>
      <c r="I18" s="21">
        <f>IF(ISBLANK('Paste Full'!D18),"",'Paste Full'!D18)</f>
        <v/>
      </c>
      <c r="J18" s="14">
        <f>AVERAGE(SUMPRODUCT($S18:$BM18,AttWeights!$C$10:$AW$10)/SUM(AttWeights!$C$10:$AW$10),SUMPRODUCT($S18:$BM18,AttWeights!$C$17:$AW$17)/SUM(AttWeights!$C$17:$AW$17))*10</f>
        <v/>
      </c>
      <c r="K18" s="14">
        <f>AVERAGE(SUMPRODUCT($S18:$BM18,AttWeights!$C$7:$AW$7)/SUM(AttWeights!$C$7:$AW$7),SUMPRODUCT($S18:$BM18,AttWeights!$C$15:$AW$15)/SUM(AttWeights!$C$15:$AW$15))*10</f>
        <v/>
      </c>
      <c r="L18" s="14">
        <f>AVERAGE(SUMPRODUCT($S18:$BM18,AttWeights!$C$8:$AW$8)/SUM(AttWeights!$C$8:$AW$8),SUMPRODUCT($S18:$BM18,AttWeights!$C$16:$AW$16)/SUM(AttWeights!$C$16:$AW$16))*10</f>
        <v/>
      </c>
      <c r="M18" s="14">
        <f>AVERAGE(SUMPRODUCT($S18:$BM18,AttWeights!$C$9:$AW$9)/SUM(AttWeights!$C$9:$AW$9),SUMPRODUCT($S18:$BM18,AttWeights!$C$15:$AW$15)/SUM(AttWeights!$C$15:$AW$15))*10</f>
        <v/>
      </c>
      <c r="N18" s="14">
        <f>AVERAGE(SUMPRODUCT($S18:$BM18,AttWeights!$C$6:$AW$6)/SUM(AttWeights!$C$6:$AW$6),SUMPRODUCT($S18:$BM18,AttWeights!$C$14:$AW$14)/SUM(AttWeights!$C$14:$AW$14))*10</f>
        <v/>
      </c>
      <c r="O18" s="14">
        <f>AVERAGE(SUMPRODUCT($S18:$BM18,AttWeights!$C$5:$AW$5)/SUM(AttWeights!$C$5:$AW$5),SUMPRODUCT($S18:$BM18,AttWeights!$C$14:$AW$14)/SUM(AttWeights!$C$14:$AW$14))*10</f>
        <v/>
      </c>
      <c r="P18" s="14">
        <f>AVERAGE(SUMPRODUCT($S18:$BM18,AttWeights!$C$4:$AW$4)/SUM(AttWeights!$C$4:$AW$4),SUMPRODUCT($S18:$BM18,AttWeights!$C$13:$AW$13)/SUM(AttWeights!$C$13:$AW$13))*10</f>
        <v/>
      </c>
      <c r="Q18" s="14">
        <f>AVERAGE(SUMPRODUCT($S18:$BM18,AttWeights!$C$3:$AW$3)/SUM(AttWeights!$C$3:$AW$3),SUMPRODUCT($S18:$BM18,AttWeights!$C$12:$AW$12)/SUM(AttWeights!$C$12:$AW$12))*10</f>
        <v/>
      </c>
      <c r="R18" s="14">
        <f>AVERAGE(SUMPRODUCT($S18:$BM18,AttWeights!$C$2:$AW$2)/SUM(AttWeights!$C$2:$AW$2),SUMPRODUCT($S18:$BM18,AttWeights!$C$11:$AW$11)/SUM(AttWeights!$C$11:$AW$11))*10</f>
        <v/>
      </c>
      <c r="S18" s="3">
        <f>IF(ISBLANK('Paste Full'!AC18),"",'Paste Full'!AC18)</f>
        <v/>
      </c>
      <c r="T18" s="3">
        <f>IF(ISBLANK('Paste Full'!AD18),"",'Paste Full'!AD18)</f>
        <v/>
      </c>
      <c r="U18" s="3">
        <f>IF(ISBLANK('Paste Full'!AE18),"",'Paste Full'!AE18)</f>
        <v/>
      </c>
      <c r="V18" s="3">
        <f>IF(ISBLANK('Paste Full'!AF18),"",'Paste Full'!AF18)</f>
        <v/>
      </c>
      <c r="W18" s="3">
        <f>IF(ISBLANK('Paste Full'!AH18),"",'Paste Full'!AH18)</f>
        <v/>
      </c>
      <c r="X18" s="3">
        <f>IF(ISBLANK('Paste Full'!AI18),"",'Paste Full'!AI18)</f>
        <v/>
      </c>
      <c r="Y18" s="3">
        <f>IF(ISBLANK('Paste Full'!AK18),"",'Paste Full'!AK18)</f>
        <v/>
      </c>
      <c r="Z18" s="3">
        <f>IF(ISBLANK('Paste Full'!AL18),"",'Paste Full'!AL18)</f>
        <v/>
      </c>
      <c r="AA18" s="4">
        <f>IF(ISBLANK('Paste Full'!AM18),"",'Paste Full'!AM18)</f>
        <v/>
      </c>
      <c r="AB18" s="4">
        <f>IF(ISBLANK('Paste Full'!AN18),"",'Paste Full'!AN18)</f>
        <v/>
      </c>
      <c r="AC18" s="4">
        <f>IF(ISBLANK('Paste Full'!AO18),"",'Paste Full'!AO18)</f>
        <v/>
      </c>
      <c r="AD18" s="4">
        <f>IF(ISBLANK('Paste Full'!AP18),"",'Paste Full'!AP18)</f>
        <v/>
      </c>
      <c r="AE18" s="4">
        <f>IF(ISBLANK('Paste Full'!AQ18),"",'Paste Full'!AQ18)</f>
        <v/>
      </c>
      <c r="AF18" s="4">
        <f>IF(ISBLANK('Paste Full'!AR18),"",'Paste Full'!AR18)</f>
        <v/>
      </c>
      <c r="AG18" s="4">
        <f>IF(ISBLANK('Paste Full'!AS18),"",'Paste Full'!AS18)</f>
        <v/>
      </c>
      <c r="AH18" s="4">
        <f>IF(ISBLANK('Paste Full'!AV18),"",'Paste Full'!AV18)</f>
        <v/>
      </c>
      <c r="AI18" s="4">
        <f>IF(ISBLANK('Paste Full'!AT18),"",'Paste Full'!AT18)</f>
        <v/>
      </c>
      <c r="AJ18" s="4">
        <f>IF(ISBLANK('Paste Full'!AU18),"",'Paste Full'!AU18)</f>
        <v/>
      </c>
      <c r="AK18" s="4">
        <f>IF(ISBLANK('Paste Full'!AW18),"",'Paste Full'!AW18)</f>
        <v/>
      </c>
      <c r="AL18" s="5">
        <f>IF(ISBLANK('Paste Full'!AX18),"",'Paste Full'!AX18)</f>
        <v/>
      </c>
      <c r="AM18" s="5">
        <f>IF(ISBLANK('Paste Full'!AY18),"",'Paste Full'!AY18)</f>
        <v/>
      </c>
      <c r="AN18" s="5">
        <f>IF(ISBLANK('Paste Full'!AZ18),"",'Paste Full'!AZ18)</f>
        <v/>
      </c>
      <c r="AO18" s="5">
        <f>IF(ISBLANK('Paste Full'!BA18),"",'Paste Full'!BA18)</f>
        <v/>
      </c>
      <c r="AP18" s="5">
        <f>IF(ISBLANK('Paste Full'!BB18),"",'Paste Full'!BB18)</f>
        <v/>
      </c>
      <c r="AQ18" s="5">
        <f>IF(ISBLANK('Paste Full'!BC18),"",'Paste Full'!BC18)</f>
        <v/>
      </c>
      <c r="AR18" s="5">
        <f>IF(ISBLANK('Paste Full'!BD18),"",'Paste Full'!BD18)</f>
        <v/>
      </c>
      <c r="AS18" s="5">
        <f>IF(ISBLANK('Paste Full'!BE18),"",'Paste Full'!BE18)</f>
        <v/>
      </c>
      <c r="AT18" s="5">
        <f>IF(ISBLANK('Paste Full'!BF18),"",'Paste Full'!BF18)</f>
        <v/>
      </c>
      <c r="AU18" s="5">
        <f>IF(ISBLANK('Paste Full'!BG18),"",'Paste Full'!BG18)</f>
        <v/>
      </c>
      <c r="AV18" s="5">
        <f>IF(ISBLANK('Paste Full'!BH18),"",'Paste Full'!BH18)</f>
        <v/>
      </c>
      <c r="AW18" s="5">
        <f>IF(ISBLANK('Paste Full'!BI18),"",'Paste Full'!BI18)</f>
        <v/>
      </c>
      <c r="AX18" s="5">
        <f>IF(ISBLANK('Paste Full'!BJ18),"",'Paste Full'!BJ18)</f>
        <v/>
      </c>
      <c r="AY18" s="5">
        <f>IF(ISBLANK('Paste Full'!BK18),"",'Paste Full'!BK18)</f>
        <v/>
      </c>
      <c r="AZ18" s="6">
        <f>IF(ISBLANK('Paste Full'!BM18),"",'Paste Full'!BM18)</f>
        <v/>
      </c>
      <c r="BA18" s="6">
        <f>IF(ISBLANK('Paste Full'!BN18),"",'Paste Full'!BN18)</f>
        <v/>
      </c>
      <c r="BB18" s="6">
        <f>IF(ISBLANK('Paste Full'!BO18),"",'Paste Full'!BO18)</f>
        <v/>
      </c>
      <c r="BC18" s="6">
        <f>IF(ISBLANK('Paste Full'!BP18),"",'Paste Full'!BP18)</f>
        <v/>
      </c>
      <c r="BD18" s="6">
        <f>IF(ISBLANK('Paste Full'!BR18),"",'Paste Full'!BR18)</f>
        <v/>
      </c>
      <c r="BE18" s="6">
        <f>IF(ISBLANK('Paste Full'!BS18),"",'Paste Full'!BS18)</f>
        <v/>
      </c>
      <c r="BF18" s="6">
        <f>IF(ISBLANK('Paste Full'!BU18),"",'Paste Full'!BU18)</f>
        <v/>
      </c>
      <c r="BG18" s="6">
        <f>IF(ISBLANK('Paste Full'!BV18),"",'Paste Full'!BV18)</f>
        <v/>
      </c>
      <c r="BH18" s="6">
        <f>IF(ISBLANK('Paste Full'!BX18),"",'Paste Full'!BX18)</f>
        <v/>
      </c>
      <c r="BI18" s="6">
        <f>IF(ISBLANK('Paste Full'!BY18),"",'Paste Full'!BY18)</f>
        <v/>
      </c>
      <c r="BJ18" s="13">
        <f>IF(ISBLANK('Paste Full'!BL18),"",'Paste Full'!BL18)</f>
        <v/>
      </c>
      <c r="BK18" s="13">
        <f>IF(ISBLANK('Paste Full'!BQ18),"",'Paste Full'!BQ18)</f>
        <v/>
      </c>
      <c r="BL18" s="13">
        <f>IF(ISBLANK('Paste Full'!BT18),"",'Paste Full'!BT18)</f>
        <v/>
      </c>
      <c r="BM18" s="13">
        <f>IF(ISBLANK('Paste Full'!BW18),"",'Paste Full'!BW18)</f>
        <v/>
      </c>
    </row>
    <row r="19">
      <c r="A19">
        <f>IF(ISBLANK('Paste Full'!C19),"",'Paste Full'!C19)</f>
        <v/>
      </c>
      <c r="B19">
        <f>INDEX($J$1:$R$1, MATCH(MAX($J19:$R19), $J19:$R19, 0))</f>
        <v/>
      </c>
      <c r="C19" s="45">
        <f>IF(ISBLANK('Paste Full'!H19),"",'Paste Full'!H19)</f>
        <v/>
      </c>
      <c r="D19" s="45">
        <f>IF(ISBLANK('Paste Full'!F19),"",'Paste Full'!F19)</f>
        <v/>
      </c>
      <c r="E19" s="45">
        <f>IF(ISBLANK('Paste Full'!G19),"",'Paste Full'!G19)</f>
        <v/>
      </c>
      <c r="F19" s="21">
        <f>IF(ISBLANK('Paste Full'!E19),"",'Paste Full'!E19)</f>
        <v/>
      </c>
      <c r="G19">
        <f>IF(ISBLANK('Paste Full'!CI19),"",'Paste Full'!CI19)</f>
        <v/>
      </c>
      <c r="H19" s="21">
        <f>IF(ISBLANK('Paste Full'!J19),"",'Paste Full'!J19)</f>
        <v/>
      </c>
      <c r="I19" s="21">
        <f>IF(ISBLANK('Paste Full'!D19),"",'Paste Full'!D19)</f>
        <v/>
      </c>
      <c r="J19" s="14">
        <f>AVERAGE(SUMPRODUCT($S19:$BM19,AttWeights!$C$10:$AW$10)/SUM(AttWeights!$C$10:$AW$10),SUMPRODUCT($S19:$BM19,AttWeights!$C$17:$AW$17)/SUM(AttWeights!$C$17:$AW$17))*10</f>
        <v/>
      </c>
      <c r="K19" s="14">
        <f>AVERAGE(SUMPRODUCT($S19:$BM19,AttWeights!$C$7:$AW$7)/SUM(AttWeights!$C$7:$AW$7),SUMPRODUCT($S19:$BM19,AttWeights!$C$15:$AW$15)/SUM(AttWeights!$C$15:$AW$15))*10</f>
        <v/>
      </c>
      <c r="L19" s="14">
        <f>AVERAGE(SUMPRODUCT($S19:$BM19,AttWeights!$C$8:$AW$8)/SUM(AttWeights!$C$8:$AW$8),SUMPRODUCT($S19:$BM19,AttWeights!$C$16:$AW$16)/SUM(AttWeights!$C$16:$AW$16))*10</f>
        <v/>
      </c>
      <c r="M19" s="14">
        <f>AVERAGE(SUMPRODUCT($S19:$BM19,AttWeights!$C$9:$AW$9)/SUM(AttWeights!$C$9:$AW$9),SUMPRODUCT($S19:$BM19,AttWeights!$C$15:$AW$15)/SUM(AttWeights!$C$15:$AW$15))*10</f>
        <v/>
      </c>
      <c r="N19" s="14">
        <f>AVERAGE(SUMPRODUCT($S19:$BM19,AttWeights!$C$6:$AW$6)/SUM(AttWeights!$C$6:$AW$6),SUMPRODUCT($S19:$BM19,AttWeights!$C$14:$AW$14)/SUM(AttWeights!$C$14:$AW$14))*10</f>
        <v/>
      </c>
      <c r="O19" s="14">
        <f>AVERAGE(SUMPRODUCT($S19:$BM19,AttWeights!$C$5:$AW$5)/SUM(AttWeights!$C$5:$AW$5),SUMPRODUCT($S19:$BM19,AttWeights!$C$14:$AW$14)/SUM(AttWeights!$C$14:$AW$14))*10</f>
        <v/>
      </c>
      <c r="P19" s="14">
        <f>AVERAGE(SUMPRODUCT($S19:$BM19,AttWeights!$C$4:$AW$4)/SUM(AttWeights!$C$4:$AW$4),SUMPRODUCT($S19:$BM19,AttWeights!$C$13:$AW$13)/SUM(AttWeights!$C$13:$AW$13))*10</f>
        <v/>
      </c>
      <c r="Q19" s="14">
        <f>AVERAGE(SUMPRODUCT($S19:$BM19,AttWeights!$C$3:$AW$3)/SUM(AttWeights!$C$3:$AW$3),SUMPRODUCT($S19:$BM19,AttWeights!$C$12:$AW$12)/SUM(AttWeights!$C$12:$AW$12))*10</f>
        <v/>
      </c>
      <c r="R19" s="14">
        <f>AVERAGE(SUMPRODUCT($S19:$BM19,AttWeights!$C$2:$AW$2)/SUM(AttWeights!$C$2:$AW$2),SUMPRODUCT($S19:$BM19,AttWeights!$C$11:$AW$11)/SUM(AttWeights!$C$11:$AW$11))*10</f>
        <v/>
      </c>
      <c r="S19" s="3">
        <f>IF(ISBLANK('Paste Full'!AC19),"",'Paste Full'!AC19)</f>
        <v/>
      </c>
      <c r="T19" s="3">
        <f>IF(ISBLANK('Paste Full'!AD19),"",'Paste Full'!AD19)</f>
        <v/>
      </c>
      <c r="U19" s="3">
        <f>IF(ISBLANK('Paste Full'!AE19),"",'Paste Full'!AE19)</f>
        <v/>
      </c>
      <c r="V19" s="3">
        <f>IF(ISBLANK('Paste Full'!AF19),"",'Paste Full'!AF19)</f>
        <v/>
      </c>
      <c r="W19" s="3">
        <f>IF(ISBLANK('Paste Full'!AH19),"",'Paste Full'!AH19)</f>
        <v/>
      </c>
      <c r="X19" s="3">
        <f>IF(ISBLANK('Paste Full'!AI19),"",'Paste Full'!AI19)</f>
        <v/>
      </c>
      <c r="Y19" s="3">
        <f>IF(ISBLANK('Paste Full'!AK19),"",'Paste Full'!AK19)</f>
        <v/>
      </c>
      <c r="Z19" s="3">
        <f>IF(ISBLANK('Paste Full'!AL19),"",'Paste Full'!AL19)</f>
        <v/>
      </c>
      <c r="AA19" s="4">
        <f>IF(ISBLANK('Paste Full'!AM19),"",'Paste Full'!AM19)</f>
        <v/>
      </c>
      <c r="AB19" s="4">
        <f>IF(ISBLANK('Paste Full'!AN19),"",'Paste Full'!AN19)</f>
        <v/>
      </c>
      <c r="AC19" s="4">
        <f>IF(ISBLANK('Paste Full'!AO19),"",'Paste Full'!AO19)</f>
        <v/>
      </c>
      <c r="AD19" s="4">
        <f>IF(ISBLANK('Paste Full'!AP19),"",'Paste Full'!AP19)</f>
        <v/>
      </c>
      <c r="AE19" s="4">
        <f>IF(ISBLANK('Paste Full'!AQ19),"",'Paste Full'!AQ19)</f>
        <v/>
      </c>
      <c r="AF19" s="4">
        <f>IF(ISBLANK('Paste Full'!AR19),"",'Paste Full'!AR19)</f>
        <v/>
      </c>
      <c r="AG19" s="4">
        <f>IF(ISBLANK('Paste Full'!AS19),"",'Paste Full'!AS19)</f>
        <v/>
      </c>
      <c r="AH19" s="4">
        <f>IF(ISBLANK('Paste Full'!AV19),"",'Paste Full'!AV19)</f>
        <v/>
      </c>
      <c r="AI19" s="4">
        <f>IF(ISBLANK('Paste Full'!AT19),"",'Paste Full'!AT19)</f>
        <v/>
      </c>
      <c r="AJ19" s="4">
        <f>IF(ISBLANK('Paste Full'!AU19),"",'Paste Full'!AU19)</f>
        <v/>
      </c>
      <c r="AK19" s="4">
        <f>IF(ISBLANK('Paste Full'!AW19),"",'Paste Full'!AW19)</f>
        <v/>
      </c>
      <c r="AL19" s="5">
        <f>IF(ISBLANK('Paste Full'!AX19),"",'Paste Full'!AX19)</f>
        <v/>
      </c>
      <c r="AM19" s="5">
        <f>IF(ISBLANK('Paste Full'!AY19),"",'Paste Full'!AY19)</f>
        <v/>
      </c>
      <c r="AN19" s="5">
        <f>IF(ISBLANK('Paste Full'!AZ19),"",'Paste Full'!AZ19)</f>
        <v/>
      </c>
      <c r="AO19" s="5">
        <f>IF(ISBLANK('Paste Full'!BA19),"",'Paste Full'!BA19)</f>
        <v/>
      </c>
      <c r="AP19" s="5">
        <f>IF(ISBLANK('Paste Full'!BB19),"",'Paste Full'!BB19)</f>
        <v/>
      </c>
      <c r="AQ19" s="5">
        <f>IF(ISBLANK('Paste Full'!BC19),"",'Paste Full'!BC19)</f>
        <v/>
      </c>
      <c r="AR19" s="5">
        <f>IF(ISBLANK('Paste Full'!BD19),"",'Paste Full'!BD19)</f>
        <v/>
      </c>
      <c r="AS19" s="5">
        <f>IF(ISBLANK('Paste Full'!BE19),"",'Paste Full'!BE19)</f>
        <v/>
      </c>
      <c r="AT19" s="5">
        <f>IF(ISBLANK('Paste Full'!BF19),"",'Paste Full'!BF19)</f>
        <v/>
      </c>
      <c r="AU19" s="5">
        <f>IF(ISBLANK('Paste Full'!BG19),"",'Paste Full'!BG19)</f>
        <v/>
      </c>
      <c r="AV19" s="5">
        <f>IF(ISBLANK('Paste Full'!BH19),"",'Paste Full'!BH19)</f>
        <v/>
      </c>
      <c r="AW19" s="5">
        <f>IF(ISBLANK('Paste Full'!BI19),"",'Paste Full'!BI19)</f>
        <v/>
      </c>
      <c r="AX19" s="5">
        <f>IF(ISBLANK('Paste Full'!BJ19),"",'Paste Full'!BJ19)</f>
        <v/>
      </c>
      <c r="AY19" s="5">
        <f>IF(ISBLANK('Paste Full'!BK19),"",'Paste Full'!BK19)</f>
        <v/>
      </c>
      <c r="AZ19" s="6">
        <f>IF(ISBLANK('Paste Full'!BM19),"",'Paste Full'!BM19)</f>
        <v/>
      </c>
      <c r="BA19" s="6">
        <f>IF(ISBLANK('Paste Full'!BN19),"",'Paste Full'!BN19)</f>
        <v/>
      </c>
      <c r="BB19" s="6">
        <f>IF(ISBLANK('Paste Full'!BO19),"",'Paste Full'!BO19)</f>
        <v/>
      </c>
      <c r="BC19" s="6">
        <f>IF(ISBLANK('Paste Full'!BP19),"",'Paste Full'!BP19)</f>
        <v/>
      </c>
      <c r="BD19" s="6">
        <f>IF(ISBLANK('Paste Full'!BR19),"",'Paste Full'!BR19)</f>
        <v/>
      </c>
      <c r="BE19" s="6">
        <f>IF(ISBLANK('Paste Full'!BS19),"",'Paste Full'!BS19)</f>
        <v/>
      </c>
      <c r="BF19" s="6">
        <f>IF(ISBLANK('Paste Full'!BU19),"",'Paste Full'!BU19)</f>
        <v/>
      </c>
      <c r="BG19" s="6">
        <f>IF(ISBLANK('Paste Full'!BV19),"",'Paste Full'!BV19)</f>
        <v/>
      </c>
      <c r="BH19" s="6">
        <f>IF(ISBLANK('Paste Full'!BX19),"",'Paste Full'!BX19)</f>
        <v/>
      </c>
      <c r="BI19" s="6">
        <f>IF(ISBLANK('Paste Full'!BY19),"",'Paste Full'!BY19)</f>
        <v/>
      </c>
      <c r="BJ19" s="13">
        <f>IF(ISBLANK('Paste Full'!BL19),"",'Paste Full'!BL19)</f>
        <v/>
      </c>
      <c r="BK19" s="13">
        <f>IF(ISBLANK('Paste Full'!BQ19),"",'Paste Full'!BQ19)</f>
        <v/>
      </c>
      <c r="BL19" s="13">
        <f>IF(ISBLANK('Paste Full'!BT19),"",'Paste Full'!BT19)</f>
        <v/>
      </c>
      <c r="BM19" s="13">
        <f>IF(ISBLANK('Paste Full'!BW19),"",'Paste Full'!BW19)</f>
        <v/>
      </c>
    </row>
    <row r="20">
      <c r="A20">
        <f>IF(ISBLANK('Paste Full'!C20),"",'Paste Full'!C20)</f>
        <v/>
      </c>
      <c r="B20">
        <f>INDEX($J$1:$R$1, MATCH(MAX($J20:$R20), $J20:$R20, 0))</f>
        <v/>
      </c>
      <c r="C20" s="45">
        <f>IF(ISBLANK('Paste Full'!H20),"",'Paste Full'!H20)</f>
        <v/>
      </c>
      <c r="D20" s="45">
        <f>IF(ISBLANK('Paste Full'!F20),"",'Paste Full'!F20)</f>
        <v/>
      </c>
      <c r="E20" s="45">
        <f>IF(ISBLANK('Paste Full'!G20),"",'Paste Full'!G20)</f>
        <v/>
      </c>
      <c r="F20" s="21">
        <f>IF(ISBLANK('Paste Full'!E20),"",'Paste Full'!E20)</f>
        <v/>
      </c>
      <c r="G20">
        <f>IF(ISBLANK('Paste Full'!CI20),"",'Paste Full'!CI20)</f>
        <v/>
      </c>
      <c r="H20" s="21">
        <f>IF(ISBLANK('Paste Full'!J20),"",'Paste Full'!J20)</f>
        <v/>
      </c>
      <c r="I20" s="21">
        <f>IF(ISBLANK('Paste Full'!D20),"",'Paste Full'!D20)</f>
        <v/>
      </c>
      <c r="J20" s="14">
        <f>AVERAGE(SUMPRODUCT($S20:$BM20,AttWeights!$C$10:$AW$10)/SUM(AttWeights!$C$10:$AW$10),SUMPRODUCT($S20:$BM20,AttWeights!$C$17:$AW$17)/SUM(AttWeights!$C$17:$AW$17))*10</f>
        <v/>
      </c>
      <c r="K20" s="14">
        <f>AVERAGE(SUMPRODUCT($S20:$BM20,AttWeights!$C$7:$AW$7)/SUM(AttWeights!$C$7:$AW$7),SUMPRODUCT($S20:$BM20,AttWeights!$C$15:$AW$15)/SUM(AttWeights!$C$15:$AW$15))*10</f>
        <v/>
      </c>
      <c r="L20" s="14">
        <f>AVERAGE(SUMPRODUCT($S20:$BM20,AttWeights!$C$8:$AW$8)/SUM(AttWeights!$C$8:$AW$8),SUMPRODUCT($S20:$BM20,AttWeights!$C$16:$AW$16)/SUM(AttWeights!$C$16:$AW$16))*10</f>
        <v/>
      </c>
      <c r="M20" s="14">
        <f>AVERAGE(SUMPRODUCT($S20:$BM20,AttWeights!$C$9:$AW$9)/SUM(AttWeights!$C$9:$AW$9),SUMPRODUCT($S20:$BM20,AttWeights!$C$15:$AW$15)/SUM(AttWeights!$C$15:$AW$15))*10</f>
        <v/>
      </c>
      <c r="N20" s="14">
        <f>AVERAGE(SUMPRODUCT($S20:$BM20,AttWeights!$C$6:$AW$6)/SUM(AttWeights!$C$6:$AW$6),SUMPRODUCT($S20:$BM20,AttWeights!$C$14:$AW$14)/SUM(AttWeights!$C$14:$AW$14))*10</f>
        <v/>
      </c>
      <c r="O20" s="14">
        <f>AVERAGE(SUMPRODUCT($S20:$BM20,AttWeights!$C$5:$AW$5)/SUM(AttWeights!$C$5:$AW$5),SUMPRODUCT($S20:$BM20,AttWeights!$C$14:$AW$14)/SUM(AttWeights!$C$14:$AW$14))*10</f>
        <v/>
      </c>
      <c r="P20" s="14">
        <f>AVERAGE(SUMPRODUCT($S20:$BM20,AttWeights!$C$4:$AW$4)/SUM(AttWeights!$C$4:$AW$4),SUMPRODUCT($S20:$BM20,AttWeights!$C$13:$AW$13)/SUM(AttWeights!$C$13:$AW$13))*10</f>
        <v/>
      </c>
      <c r="Q20" s="14">
        <f>AVERAGE(SUMPRODUCT($S20:$BM20,AttWeights!$C$3:$AW$3)/SUM(AttWeights!$C$3:$AW$3),SUMPRODUCT($S20:$BM20,AttWeights!$C$12:$AW$12)/SUM(AttWeights!$C$12:$AW$12))*10</f>
        <v/>
      </c>
      <c r="R20" s="14">
        <f>AVERAGE(SUMPRODUCT($S20:$BM20,AttWeights!$C$2:$AW$2)/SUM(AttWeights!$C$2:$AW$2),SUMPRODUCT($S20:$BM20,AttWeights!$C$11:$AW$11)/SUM(AttWeights!$C$11:$AW$11))*10</f>
        <v/>
      </c>
      <c r="S20" s="3">
        <f>IF(ISBLANK('Paste Full'!AC20),"",'Paste Full'!AC20)</f>
        <v/>
      </c>
      <c r="T20" s="3">
        <f>IF(ISBLANK('Paste Full'!AD20),"",'Paste Full'!AD20)</f>
        <v/>
      </c>
      <c r="U20" s="3">
        <f>IF(ISBLANK('Paste Full'!AE20),"",'Paste Full'!AE20)</f>
        <v/>
      </c>
      <c r="V20" s="3">
        <f>IF(ISBLANK('Paste Full'!AF20),"",'Paste Full'!AF20)</f>
        <v/>
      </c>
      <c r="W20" s="3">
        <f>IF(ISBLANK('Paste Full'!AH20),"",'Paste Full'!AH20)</f>
        <v/>
      </c>
      <c r="X20" s="3">
        <f>IF(ISBLANK('Paste Full'!AI20),"",'Paste Full'!AI20)</f>
        <v/>
      </c>
      <c r="Y20" s="3">
        <f>IF(ISBLANK('Paste Full'!AK20),"",'Paste Full'!AK20)</f>
        <v/>
      </c>
      <c r="Z20" s="3">
        <f>IF(ISBLANK('Paste Full'!AL20),"",'Paste Full'!AL20)</f>
        <v/>
      </c>
      <c r="AA20" s="4">
        <f>IF(ISBLANK('Paste Full'!AM20),"",'Paste Full'!AM20)</f>
        <v/>
      </c>
      <c r="AB20" s="4">
        <f>IF(ISBLANK('Paste Full'!AN20),"",'Paste Full'!AN20)</f>
        <v/>
      </c>
      <c r="AC20" s="4">
        <f>IF(ISBLANK('Paste Full'!AO20),"",'Paste Full'!AO20)</f>
        <v/>
      </c>
      <c r="AD20" s="4">
        <f>IF(ISBLANK('Paste Full'!AP20),"",'Paste Full'!AP20)</f>
        <v/>
      </c>
      <c r="AE20" s="4">
        <f>IF(ISBLANK('Paste Full'!AQ20),"",'Paste Full'!AQ20)</f>
        <v/>
      </c>
      <c r="AF20" s="4">
        <f>IF(ISBLANK('Paste Full'!AR20),"",'Paste Full'!AR20)</f>
        <v/>
      </c>
      <c r="AG20" s="4">
        <f>IF(ISBLANK('Paste Full'!AS20),"",'Paste Full'!AS20)</f>
        <v/>
      </c>
      <c r="AH20" s="4">
        <f>IF(ISBLANK('Paste Full'!AV20),"",'Paste Full'!AV20)</f>
        <v/>
      </c>
      <c r="AI20" s="4">
        <f>IF(ISBLANK('Paste Full'!AT20),"",'Paste Full'!AT20)</f>
        <v/>
      </c>
      <c r="AJ20" s="4">
        <f>IF(ISBLANK('Paste Full'!AU20),"",'Paste Full'!AU20)</f>
        <v/>
      </c>
      <c r="AK20" s="4">
        <f>IF(ISBLANK('Paste Full'!AW20),"",'Paste Full'!AW20)</f>
        <v/>
      </c>
      <c r="AL20" s="5">
        <f>IF(ISBLANK('Paste Full'!AX20),"",'Paste Full'!AX20)</f>
        <v/>
      </c>
      <c r="AM20" s="5">
        <f>IF(ISBLANK('Paste Full'!AY20),"",'Paste Full'!AY20)</f>
        <v/>
      </c>
      <c r="AN20" s="5">
        <f>IF(ISBLANK('Paste Full'!AZ20),"",'Paste Full'!AZ20)</f>
        <v/>
      </c>
      <c r="AO20" s="5">
        <f>IF(ISBLANK('Paste Full'!BA20),"",'Paste Full'!BA20)</f>
        <v/>
      </c>
      <c r="AP20" s="5">
        <f>IF(ISBLANK('Paste Full'!BB20),"",'Paste Full'!BB20)</f>
        <v/>
      </c>
      <c r="AQ20" s="5">
        <f>IF(ISBLANK('Paste Full'!BC20),"",'Paste Full'!BC20)</f>
        <v/>
      </c>
      <c r="AR20" s="5">
        <f>IF(ISBLANK('Paste Full'!BD20),"",'Paste Full'!BD20)</f>
        <v/>
      </c>
      <c r="AS20" s="5">
        <f>IF(ISBLANK('Paste Full'!BE20),"",'Paste Full'!BE20)</f>
        <v/>
      </c>
      <c r="AT20" s="5">
        <f>IF(ISBLANK('Paste Full'!BF20),"",'Paste Full'!BF20)</f>
        <v/>
      </c>
      <c r="AU20" s="5">
        <f>IF(ISBLANK('Paste Full'!BG20),"",'Paste Full'!BG20)</f>
        <v/>
      </c>
      <c r="AV20" s="5">
        <f>IF(ISBLANK('Paste Full'!BH20),"",'Paste Full'!BH20)</f>
        <v/>
      </c>
      <c r="AW20" s="5">
        <f>IF(ISBLANK('Paste Full'!BI20),"",'Paste Full'!BI20)</f>
        <v/>
      </c>
      <c r="AX20" s="5">
        <f>IF(ISBLANK('Paste Full'!BJ20),"",'Paste Full'!BJ20)</f>
        <v/>
      </c>
      <c r="AY20" s="5">
        <f>IF(ISBLANK('Paste Full'!BK20),"",'Paste Full'!BK20)</f>
        <v/>
      </c>
      <c r="AZ20" s="6">
        <f>IF(ISBLANK('Paste Full'!BM20),"",'Paste Full'!BM20)</f>
        <v/>
      </c>
      <c r="BA20" s="6">
        <f>IF(ISBLANK('Paste Full'!BN20),"",'Paste Full'!BN20)</f>
        <v/>
      </c>
      <c r="BB20" s="6">
        <f>IF(ISBLANK('Paste Full'!BO20),"",'Paste Full'!BO20)</f>
        <v/>
      </c>
      <c r="BC20" s="6">
        <f>IF(ISBLANK('Paste Full'!BP20),"",'Paste Full'!BP20)</f>
        <v/>
      </c>
      <c r="BD20" s="6">
        <f>IF(ISBLANK('Paste Full'!BR20),"",'Paste Full'!BR20)</f>
        <v/>
      </c>
      <c r="BE20" s="6">
        <f>IF(ISBLANK('Paste Full'!BS20),"",'Paste Full'!BS20)</f>
        <v/>
      </c>
      <c r="BF20" s="6">
        <f>IF(ISBLANK('Paste Full'!BU20),"",'Paste Full'!BU20)</f>
        <v/>
      </c>
      <c r="BG20" s="6">
        <f>IF(ISBLANK('Paste Full'!BV20),"",'Paste Full'!BV20)</f>
        <v/>
      </c>
      <c r="BH20" s="6">
        <f>IF(ISBLANK('Paste Full'!BX20),"",'Paste Full'!BX20)</f>
        <v/>
      </c>
      <c r="BI20" s="6">
        <f>IF(ISBLANK('Paste Full'!BY20),"",'Paste Full'!BY20)</f>
        <v/>
      </c>
      <c r="BJ20" s="13">
        <f>IF(ISBLANK('Paste Full'!BL20),"",'Paste Full'!BL20)</f>
        <v/>
      </c>
      <c r="BK20" s="13">
        <f>IF(ISBLANK('Paste Full'!BQ20),"",'Paste Full'!BQ20)</f>
        <v/>
      </c>
      <c r="BL20" s="13">
        <f>IF(ISBLANK('Paste Full'!BT20),"",'Paste Full'!BT20)</f>
        <v/>
      </c>
      <c r="BM20" s="13">
        <f>IF(ISBLANK('Paste Full'!BW20),"",'Paste Full'!BW20)</f>
        <v/>
      </c>
    </row>
    <row r="21">
      <c r="A21">
        <f>IF(ISBLANK('Paste Full'!C21),"",'Paste Full'!C21)</f>
        <v/>
      </c>
      <c r="B21">
        <f>INDEX($J$1:$R$1, MATCH(MAX($J21:$R21), $J21:$R21, 0))</f>
        <v/>
      </c>
      <c r="C21" s="45">
        <f>IF(ISBLANK('Paste Full'!H21),"",'Paste Full'!H21)</f>
        <v/>
      </c>
      <c r="D21" s="45">
        <f>IF(ISBLANK('Paste Full'!F21),"",'Paste Full'!F21)</f>
        <v/>
      </c>
      <c r="E21" s="45">
        <f>IF(ISBLANK('Paste Full'!G21),"",'Paste Full'!G21)</f>
        <v/>
      </c>
      <c r="F21" s="21">
        <f>IF(ISBLANK('Paste Full'!E21),"",'Paste Full'!E21)</f>
        <v/>
      </c>
      <c r="G21">
        <f>IF(ISBLANK('Paste Full'!CI21),"",'Paste Full'!CI21)</f>
        <v/>
      </c>
      <c r="H21" s="21">
        <f>IF(ISBLANK('Paste Full'!J21),"",'Paste Full'!J21)</f>
        <v/>
      </c>
      <c r="I21" s="21">
        <f>IF(ISBLANK('Paste Full'!D21),"",'Paste Full'!D21)</f>
        <v/>
      </c>
      <c r="J21" s="14">
        <f>AVERAGE(SUMPRODUCT($S21:$BM21,AttWeights!$C$10:$AW$10)/SUM(AttWeights!$C$10:$AW$10),SUMPRODUCT($S21:$BM21,AttWeights!$C$17:$AW$17)/SUM(AttWeights!$C$17:$AW$17))*10</f>
        <v/>
      </c>
      <c r="K21" s="14">
        <f>AVERAGE(SUMPRODUCT($S21:$BM21,AttWeights!$C$7:$AW$7)/SUM(AttWeights!$C$7:$AW$7),SUMPRODUCT($S21:$BM21,AttWeights!$C$15:$AW$15)/SUM(AttWeights!$C$15:$AW$15))*10</f>
        <v/>
      </c>
      <c r="L21" s="14">
        <f>AVERAGE(SUMPRODUCT($S21:$BM21,AttWeights!$C$8:$AW$8)/SUM(AttWeights!$C$8:$AW$8),SUMPRODUCT($S21:$BM21,AttWeights!$C$16:$AW$16)/SUM(AttWeights!$C$16:$AW$16))*10</f>
        <v/>
      </c>
      <c r="M21" s="14">
        <f>AVERAGE(SUMPRODUCT($S21:$BM21,AttWeights!$C$9:$AW$9)/SUM(AttWeights!$C$9:$AW$9),SUMPRODUCT($S21:$BM21,AttWeights!$C$15:$AW$15)/SUM(AttWeights!$C$15:$AW$15))*10</f>
        <v/>
      </c>
      <c r="N21" s="14">
        <f>AVERAGE(SUMPRODUCT($S21:$BM21,AttWeights!$C$6:$AW$6)/SUM(AttWeights!$C$6:$AW$6),SUMPRODUCT($S21:$BM21,AttWeights!$C$14:$AW$14)/SUM(AttWeights!$C$14:$AW$14))*10</f>
        <v/>
      </c>
      <c r="O21" s="14">
        <f>AVERAGE(SUMPRODUCT($S21:$BM21,AttWeights!$C$5:$AW$5)/SUM(AttWeights!$C$5:$AW$5),SUMPRODUCT($S21:$BM21,AttWeights!$C$14:$AW$14)/SUM(AttWeights!$C$14:$AW$14))*10</f>
        <v/>
      </c>
      <c r="P21" s="14">
        <f>AVERAGE(SUMPRODUCT($S21:$BM21,AttWeights!$C$4:$AW$4)/SUM(AttWeights!$C$4:$AW$4),SUMPRODUCT($S21:$BM21,AttWeights!$C$13:$AW$13)/SUM(AttWeights!$C$13:$AW$13))*10</f>
        <v/>
      </c>
      <c r="Q21" s="14">
        <f>AVERAGE(SUMPRODUCT($S21:$BM21,AttWeights!$C$3:$AW$3)/SUM(AttWeights!$C$3:$AW$3),SUMPRODUCT($S21:$BM21,AttWeights!$C$12:$AW$12)/SUM(AttWeights!$C$12:$AW$12))*10</f>
        <v/>
      </c>
      <c r="R21" s="14">
        <f>AVERAGE(SUMPRODUCT($S21:$BM21,AttWeights!$C$2:$AW$2)/SUM(AttWeights!$C$2:$AW$2),SUMPRODUCT($S21:$BM21,AttWeights!$C$11:$AW$11)/SUM(AttWeights!$C$11:$AW$11))*10</f>
        <v/>
      </c>
      <c r="S21" s="3">
        <f>IF(ISBLANK('Paste Full'!AC21),"",'Paste Full'!AC21)</f>
        <v/>
      </c>
      <c r="T21" s="3">
        <f>IF(ISBLANK('Paste Full'!AD21),"",'Paste Full'!AD21)</f>
        <v/>
      </c>
      <c r="U21" s="3">
        <f>IF(ISBLANK('Paste Full'!AE21),"",'Paste Full'!AE21)</f>
        <v/>
      </c>
      <c r="V21" s="3">
        <f>IF(ISBLANK('Paste Full'!AF21),"",'Paste Full'!AF21)</f>
        <v/>
      </c>
      <c r="W21" s="3">
        <f>IF(ISBLANK('Paste Full'!AH21),"",'Paste Full'!AH21)</f>
        <v/>
      </c>
      <c r="X21" s="3">
        <f>IF(ISBLANK('Paste Full'!AI21),"",'Paste Full'!AI21)</f>
        <v/>
      </c>
      <c r="Y21" s="3">
        <f>IF(ISBLANK('Paste Full'!AK21),"",'Paste Full'!AK21)</f>
        <v/>
      </c>
      <c r="Z21" s="3">
        <f>IF(ISBLANK('Paste Full'!AL21),"",'Paste Full'!AL21)</f>
        <v/>
      </c>
      <c r="AA21" s="4">
        <f>IF(ISBLANK('Paste Full'!AM21),"",'Paste Full'!AM21)</f>
        <v/>
      </c>
      <c r="AB21" s="4">
        <f>IF(ISBLANK('Paste Full'!AN21),"",'Paste Full'!AN21)</f>
        <v/>
      </c>
      <c r="AC21" s="4">
        <f>IF(ISBLANK('Paste Full'!AO21),"",'Paste Full'!AO21)</f>
        <v/>
      </c>
      <c r="AD21" s="4">
        <f>IF(ISBLANK('Paste Full'!AP21),"",'Paste Full'!AP21)</f>
        <v/>
      </c>
      <c r="AE21" s="4">
        <f>IF(ISBLANK('Paste Full'!AQ21),"",'Paste Full'!AQ21)</f>
        <v/>
      </c>
      <c r="AF21" s="4">
        <f>IF(ISBLANK('Paste Full'!AR21),"",'Paste Full'!AR21)</f>
        <v/>
      </c>
      <c r="AG21" s="4">
        <f>IF(ISBLANK('Paste Full'!AS21),"",'Paste Full'!AS21)</f>
        <v/>
      </c>
      <c r="AH21" s="4">
        <f>IF(ISBLANK('Paste Full'!AV21),"",'Paste Full'!AV21)</f>
        <v/>
      </c>
      <c r="AI21" s="4">
        <f>IF(ISBLANK('Paste Full'!AT21),"",'Paste Full'!AT21)</f>
        <v/>
      </c>
      <c r="AJ21" s="4">
        <f>IF(ISBLANK('Paste Full'!AU21),"",'Paste Full'!AU21)</f>
        <v/>
      </c>
      <c r="AK21" s="4">
        <f>IF(ISBLANK('Paste Full'!AW21),"",'Paste Full'!AW21)</f>
        <v/>
      </c>
      <c r="AL21" s="5">
        <f>IF(ISBLANK('Paste Full'!AX21),"",'Paste Full'!AX21)</f>
        <v/>
      </c>
      <c r="AM21" s="5">
        <f>IF(ISBLANK('Paste Full'!AY21),"",'Paste Full'!AY21)</f>
        <v/>
      </c>
      <c r="AN21" s="5">
        <f>IF(ISBLANK('Paste Full'!AZ21),"",'Paste Full'!AZ21)</f>
        <v/>
      </c>
      <c r="AO21" s="5">
        <f>IF(ISBLANK('Paste Full'!BA21),"",'Paste Full'!BA21)</f>
        <v/>
      </c>
      <c r="AP21" s="5">
        <f>IF(ISBLANK('Paste Full'!BB21),"",'Paste Full'!BB21)</f>
        <v/>
      </c>
      <c r="AQ21" s="5">
        <f>IF(ISBLANK('Paste Full'!BC21),"",'Paste Full'!BC21)</f>
        <v/>
      </c>
      <c r="AR21" s="5">
        <f>IF(ISBLANK('Paste Full'!BD21),"",'Paste Full'!BD21)</f>
        <v/>
      </c>
      <c r="AS21" s="5">
        <f>IF(ISBLANK('Paste Full'!BE21),"",'Paste Full'!BE21)</f>
        <v/>
      </c>
      <c r="AT21" s="5">
        <f>IF(ISBLANK('Paste Full'!BF21),"",'Paste Full'!BF21)</f>
        <v/>
      </c>
      <c r="AU21" s="5">
        <f>IF(ISBLANK('Paste Full'!BG21),"",'Paste Full'!BG21)</f>
        <v/>
      </c>
      <c r="AV21" s="5">
        <f>IF(ISBLANK('Paste Full'!BH21),"",'Paste Full'!BH21)</f>
        <v/>
      </c>
      <c r="AW21" s="5">
        <f>IF(ISBLANK('Paste Full'!BI21),"",'Paste Full'!BI21)</f>
        <v/>
      </c>
      <c r="AX21" s="5">
        <f>IF(ISBLANK('Paste Full'!BJ21),"",'Paste Full'!BJ21)</f>
        <v/>
      </c>
      <c r="AY21" s="5">
        <f>IF(ISBLANK('Paste Full'!BK21),"",'Paste Full'!BK21)</f>
        <v/>
      </c>
      <c r="AZ21" s="6">
        <f>IF(ISBLANK('Paste Full'!BM21),"",'Paste Full'!BM21)</f>
        <v/>
      </c>
      <c r="BA21" s="6">
        <f>IF(ISBLANK('Paste Full'!BN21),"",'Paste Full'!BN21)</f>
        <v/>
      </c>
      <c r="BB21" s="6">
        <f>IF(ISBLANK('Paste Full'!BO21),"",'Paste Full'!BO21)</f>
        <v/>
      </c>
      <c r="BC21" s="6">
        <f>IF(ISBLANK('Paste Full'!BP21),"",'Paste Full'!BP21)</f>
        <v/>
      </c>
      <c r="BD21" s="6">
        <f>IF(ISBLANK('Paste Full'!BR21),"",'Paste Full'!BR21)</f>
        <v/>
      </c>
      <c r="BE21" s="6">
        <f>IF(ISBLANK('Paste Full'!BS21),"",'Paste Full'!BS21)</f>
        <v/>
      </c>
      <c r="BF21" s="6">
        <f>IF(ISBLANK('Paste Full'!BU21),"",'Paste Full'!BU21)</f>
        <v/>
      </c>
      <c r="BG21" s="6">
        <f>IF(ISBLANK('Paste Full'!BV21),"",'Paste Full'!BV21)</f>
        <v/>
      </c>
      <c r="BH21" s="6">
        <f>IF(ISBLANK('Paste Full'!BX21),"",'Paste Full'!BX21)</f>
        <v/>
      </c>
      <c r="BI21" s="6">
        <f>IF(ISBLANK('Paste Full'!BY21),"",'Paste Full'!BY21)</f>
        <v/>
      </c>
      <c r="BJ21" s="13">
        <f>IF(ISBLANK('Paste Full'!BL21),"",'Paste Full'!BL21)</f>
        <v/>
      </c>
      <c r="BK21" s="13">
        <f>IF(ISBLANK('Paste Full'!BQ21),"",'Paste Full'!BQ21)</f>
        <v/>
      </c>
      <c r="BL21" s="13">
        <f>IF(ISBLANK('Paste Full'!BT21),"",'Paste Full'!BT21)</f>
        <v/>
      </c>
      <c r="BM21" s="13">
        <f>IF(ISBLANK('Paste Full'!BW21),"",'Paste Full'!BW21)</f>
        <v/>
      </c>
    </row>
    <row r="22">
      <c r="A22">
        <f>IF(ISBLANK('Paste Full'!C22),"",'Paste Full'!C22)</f>
        <v/>
      </c>
      <c r="B22">
        <f>INDEX($J$1:$R$1, MATCH(MAX($J22:$R22), $J22:$R22, 0))</f>
        <v/>
      </c>
      <c r="C22" s="45">
        <f>IF(ISBLANK('Paste Full'!H22),"",'Paste Full'!H22)</f>
        <v/>
      </c>
      <c r="D22" s="45">
        <f>IF(ISBLANK('Paste Full'!F22),"",'Paste Full'!F22)</f>
        <v/>
      </c>
      <c r="E22" s="45">
        <f>IF(ISBLANK('Paste Full'!G22),"",'Paste Full'!G22)</f>
        <v/>
      </c>
      <c r="F22" s="21">
        <f>IF(ISBLANK('Paste Full'!E22),"",'Paste Full'!E22)</f>
        <v/>
      </c>
      <c r="G22">
        <f>IF(ISBLANK('Paste Full'!CI22),"",'Paste Full'!CI22)</f>
        <v/>
      </c>
      <c r="H22" s="21">
        <f>IF(ISBLANK('Paste Full'!J22),"",'Paste Full'!J22)</f>
        <v/>
      </c>
      <c r="I22" s="21">
        <f>IF(ISBLANK('Paste Full'!D22),"",'Paste Full'!D22)</f>
        <v/>
      </c>
      <c r="J22" s="14">
        <f>AVERAGE(SUMPRODUCT($S22:$BM22,AttWeights!$C$10:$AW$10)/SUM(AttWeights!$C$10:$AW$10),SUMPRODUCT($S22:$BM22,AttWeights!$C$17:$AW$17)/SUM(AttWeights!$C$17:$AW$17))*10</f>
        <v/>
      </c>
      <c r="K22" s="14">
        <f>AVERAGE(SUMPRODUCT($S22:$BM22,AttWeights!$C$7:$AW$7)/SUM(AttWeights!$C$7:$AW$7),SUMPRODUCT($S22:$BM22,AttWeights!$C$15:$AW$15)/SUM(AttWeights!$C$15:$AW$15))*10</f>
        <v/>
      </c>
      <c r="L22" s="14">
        <f>AVERAGE(SUMPRODUCT($S22:$BM22,AttWeights!$C$8:$AW$8)/SUM(AttWeights!$C$8:$AW$8),SUMPRODUCT($S22:$BM22,AttWeights!$C$16:$AW$16)/SUM(AttWeights!$C$16:$AW$16))*10</f>
        <v/>
      </c>
      <c r="M22" s="14">
        <f>AVERAGE(SUMPRODUCT($S22:$BM22,AttWeights!$C$9:$AW$9)/SUM(AttWeights!$C$9:$AW$9),SUMPRODUCT($S22:$BM22,AttWeights!$C$15:$AW$15)/SUM(AttWeights!$C$15:$AW$15))*10</f>
        <v/>
      </c>
      <c r="N22" s="14">
        <f>AVERAGE(SUMPRODUCT($S22:$BM22,AttWeights!$C$6:$AW$6)/SUM(AttWeights!$C$6:$AW$6),SUMPRODUCT($S22:$BM22,AttWeights!$C$14:$AW$14)/SUM(AttWeights!$C$14:$AW$14))*10</f>
        <v/>
      </c>
      <c r="O22" s="14">
        <f>AVERAGE(SUMPRODUCT($S22:$BM22,AttWeights!$C$5:$AW$5)/SUM(AttWeights!$C$5:$AW$5),SUMPRODUCT($S22:$BM22,AttWeights!$C$14:$AW$14)/SUM(AttWeights!$C$14:$AW$14))*10</f>
        <v/>
      </c>
      <c r="P22" s="14">
        <f>AVERAGE(SUMPRODUCT($S22:$BM22,AttWeights!$C$4:$AW$4)/SUM(AttWeights!$C$4:$AW$4),SUMPRODUCT($S22:$BM22,AttWeights!$C$13:$AW$13)/SUM(AttWeights!$C$13:$AW$13))*10</f>
        <v/>
      </c>
      <c r="Q22" s="14">
        <f>AVERAGE(SUMPRODUCT($S22:$BM22,AttWeights!$C$3:$AW$3)/SUM(AttWeights!$C$3:$AW$3),SUMPRODUCT($S22:$BM22,AttWeights!$C$12:$AW$12)/SUM(AttWeights!$C$12:$AW$12))*10</f>
        <v/>
      </c>
      <c r="R22" s="14">
        <f>AVERAGE(SUMPRODUCT($S22:$BM22,AttWeights!$C$2:$AW$2)/SUM(AttWeights!$C$2:$AW$2),SUMPRODUCT($S22:$BM22,AttWeights!$C$11:$AW$11)/SUM(AttWeights!$C$11:$AW$11))*10</f>
        <v/>
      </c>
      <c r="S22" s="3">
        <f>IF(ISBLANK('Paste Full'!AC22),"",'Paste Full'!AC22)</f>
        <v/>
      </c>
      <c r="T22" s="3">
        <f>IF(ISBLANK('Paste Full'!AD22),"",'Paste Full'!AD22)</f>
        <v/>
      </c>
      <c r="U22" s="3">
        <f>IF(ISBLANK('Paste Full'!AE22),"",'Paste Full'!AE22)</f>
        <v/>
      </c>
      <c r="V22" s="3">
        <f>IF(ISBLANK('Paste Full'!AF22),"",'Paste Full'!AF22)</f>
        <v/>
      </c>
      <c r="W22" s="3">
        <f>IF(ISBLANK('Paste Full'!AH22),"",'Paste Full'!AH22)</f>
        <v/>
      </c>
      <c r="X22" s="3">
        <f>IF(ISBLANK('Paste Full'!AI22),"",'Paste Full'!AI22)</f>
        <v/>
      </c>
      <c r="Y22" s="3">
        <f>IF(ISBLANK('Paste Full'!AK22),"",'Paste Full'!AK22)</f>
        <v/>
      </c>
      <c r="Z22" s="3">
        <f>IF(ISBLANK('Paste Full'!AL22),"",'Paste Full'!AL22)</f>
        <v/>
      </c>
      <c r="AA22" s="4">
        <f>IF(ISBLANK('Paste Full'!AM22),"",'Paste Full'!AM22)</f>
        <v/>
      </c>
      <c r="AB22" s="4">
        <f>IF(ISBLANK('Paste Full'!AN22),"",'Paste Full'!AN22)</f>
        <v/>
      </c>
      <c r="AC22" s="4">
        <f>IF(ISBLANK('Paste Full'!AO22),"",'Paste Full'!AO22)</f>
        <v/>
      </c>
      <c r="AD22" s="4">
        <f>IF(ISBLANK('Paste Full'!AP22),"",'Paste Full'!AP22)</f>
        <v/>
      </c>
      <c r="AE22" s="4">
        <f>IF(ISBLANK('Paste Full'!AQ22),"",'Paste Full'!AQ22)</f>
        <v/>
      </c>
      <c r="AF22" s="4">
        <f>IF(ISBLANK('Paste Full'!AR22),"",'Paste Full'!AR22)</f>
        <v/>
      </c>
      <c r="AG22" s="4">
        <f>IF(ISBLANK('Paste Full'!AS22),"",'Paste Full'!AS22)</f>
        <v/>
      </c>
      <c r="AH22" s="4">
        <f>IF(ISBLANK('Paste Full'!AV22),"",'Paste Full'!AV22)</f>
        <v/>
      </c>
      <c r="AI22" s="4">
        <f>IF(ISBLANK('Paste Full'!AT22),"",'Paste Full'!AT22)</f>
        <v/>
      </c>
      <c r="AJ22" s="4">
        <f>IF(ISBLANK('Paste Full'!AU22),"",'Paste Full'!AU22)</f>
        <v/>
      </c>
      <c r="AK22" s="4">
        <f>IF(ISBLANK('Paste Full'!AW22),"",'Paste Full'!AW22)</f>
        <v/>
      </c>
      <c r="AL22" s="5">
        <f>IF(ISBLANK('Paste Full'!AX22),"",'Paste Full'!AX22)</f>
        <v/>
      </c>
      <c r="AM22" s="5">
        <f>IF(ISBLANK('Paste Full'!AY22),"",'Paste Full'!AY22)</f>
        <v/>
      </c>
      <c r="AN22" s="5">
        <f>IF(ISBLANK('Paste Full'!AZ22),"",'Paste Full'!AZ22)</f>
        <v/>
      </c>
      <c r="AO22" s="5">
        <f>IF(ISBLANK('Paste Full'!BA22),"",'Paste Full'!BA22)</f>
        <v/>
      </c>
      <c r="AP22" s="5">
        <f>IF(ISBLANK('Paste Full'!BB22),"",'Paste Full'!BB22)</f>
        <v/>
      </c>
      <c r="AQ22" s="5">
        <f>IF(ISBLANK('Paste Full'!BC22),"",'Paste Full'!BC22)</f>
        <v/>
      </c>
      <c r="AR22" s="5">
        <f>IF(ISBLANK('Paste Full'!BD22),"",'Paste Full'!BD22)</f>
        <v/>
      </c>
      <c r="AS22" s="5">
        <f>IF(ISBLANK('Paste Full'!BE22),"",'Paste Full'!BE22)</f>
        <v/>
      </c>
      <c r="AT22" s="5">
        <f>IF(ISBLANK('Paste Full'!BF22),"",'Paste Full'!BF22)</f>
        <v/>
      </c>
      <c r="AU22" s="5">
        <f>IF(ISBLANK('Paste Full'!BG22),"",'Paste Full'!BG22)</f>
        <v/>
      </c>
      <c r="AV22" s="5">
        <f>IF(ISBLANK('Paste Full'!BH22),"",'Paste Full'!BH22)</f>
        <v/>
      </c>
      <c r="AW22" s="5">
        <f>IF(ISBLANK('Paste Full'!BI22),"",'Paste Full'!BI22)</f>
        <v/>
      </c>
      <c r="AX22" s="5">
        <f>IF(ISBLANK('Paste Full'!BJ22),"",'Paste Full'!BJ22)</f>
        <v/>
      </c>
      <c r="AY22" s="5">
        <f>IF(ISBLANK('Paste Full'!BK22),"",'Paste Full'!BK22)</f>
        <v/>
      </c>
      <c r="AZ22" s="6">
        <f>IF(ISBLANK('Paste Full'!BM22),"",'Paste Full'!BM22)</f>
        <v/>
      </c>
      <c r="BA22" s="6">
        <f>IF(ISBLANK('Paste Full'!BN22),"",'Paste Full'!BN22)</f>
        <v/>
      </c>
      <c r="BB22" s="6">
        <f>IF(ISBLANK('Paste Full'!BO22),"",'Paste Full'!BO22)</f>
        <v/>
      </c>
      <c r="BC22" s="6">
        <f>IF(ISBLANK('Paste Full'!BP22),"",'Paste Full'!BP22)</f>
        <v/>
      </c>
      <c r="BD22" s="6">
        <f>IF(ISBLANK('Paste Full'!BR22),"",'Paste Full'!BR22)</f>
        <v/>
      </c>
      <c r="BE22" s="6">
        <f>IF(ISBLANK('Paste Full'!BS22),"",'Paste Full'!BS22)</f>
        <v/>
      </c>
      <c r="BF22" s="6">
        <f>IF(ISBLANK('Paste Full'!BU22),"",'Paste Full'!BU22)</f>
        <v/>
      </c>
      <c r="BG22" s="6">
        <f>IF(ISBLANK('Paste Full'!BV22),"",'Paste Full'!BV22)</f>
        <v/>
      </c>
      <c r="BH22" s="6">
        <f>IF(ISBLANK('Paste Full'!BX22),"",'Paste Full'!BX22)</f>
        <v/>
      </c>
      <c r="BI22" s="6">
        <f>IF(ISBLANK('Paste Full'!BY22),"",'Paste Full'!BY22)</f>
        <v/>
      </c>
      <c r="BJ22" s="13">
        <f>IF(ISBLANK('Paste Full'!BL22),"",'Paste Full'!BL22)</f>
        <v/>
      </c>
      <c r="BK22" s="13">
        <f>IF(ISBLANK('Paste Full'!BQ22),"",'Paste Full'!BQ22)</f>
        <v/>
      </c>
      <c r="BL22" s="13">
        <f>IF(ISBLANK('Paste Full'!BT22),"",'Paste Full'!BT22)</f>
        <v/>
      </c>
      <c r="BM22" s="13">
        <f>IF(ISBLANK('Paste Full'!BW22),"",'Paste Full'!BW22)</f>
        <v/>
      </c>
    </row>
    <row r="23">
      <c r="A23">
        <f>IF(ISBLANK('Paste Full'!C23),"",'Paste Full'!C23)</f>
        <v/>
      </c>
      <c r="B23">
        <f>INDEX($J$1:$R$1, MATCH(MAX($J23:$R23), $J23:$R23, 0))</f>
        <v/>
      </c>
      <c r="C23" s="45">
        <f>IF(ISBLANK('Paste Full'!H23),"",'Paste Full'!H23)</f>
        <v/>
      </c>
      <c r="D23" s="45">
        <f>IF(ISBLANK('Paste Full'!F23),"",'Paste Full'!F23)</f>
        <v/>
      </c>
      <c r="E23" s="45">
        <f>IF(ISBLANK('Paste Full'!G23),"",'Paste Full'!G23)</f>
        <v/>
      </c>
      <c r="F23" s="21">
        <f>IF(ISBLANK('Paste Full'!E23),"",'Paste Full'!E23)</f>
        <v/>
      </c>
      <c r="G23">
        <f>IF(ISBLANK('Paste Full'!CI23),"",'Paste Full'!CI23)</f>
        <v/>
      </c>
      <c r="H23" s="21">
        <f>IF(ISBLANK('Paste Full'!J23),"",'Paste Full'!J23)</f>
        <v/>
      </c>
      <c r="I23" s="21">
        <f>IF(ISBLANK('Paste Full'!D23),"",'Paste Full'!D23)</f>
        <v/>
      </c>
      <c r="J23" s="14">
        <f>AVERAGE(SUMPRODUCT($S23:$BM23,AttWeights!$C$10:$AW$10)/SUM(AttWeights!$C$10:$AW$10),SUMPRODUCT($S23:$BM23,AttWeights!$C$17:$AW$17)/SUM(AttWeights!$C$17:$AW$17))*10</f>
        <v/>
      </c>
      <c r="K23" s="14">
        <f>AVERAGE(SUMPRODUCT($S23:$BM23,AttWeights!$C$7:$AW$7)/SUM(AttWeights!$C$7:$AW$7),SUMPRODUCT($S23:$BM23,AttWeights!$C$15:$AW$15)/SUM(AttWeights!$C$15:$AW$15))*10</f>
        <v/>
      </c>
      <c r="L23" s="14">
        <f>AVERAGE(SUMPRODUCT($S23:$BM23,AttWeights!$C$8:$AW$8)/SUM(AttWeights!$C$8:$AW$8),SUMPRODUCT($S23:$BM23,AttWeights!$C$16:$AW$16)/SUM(AttWeights!$C$16:$AW$16))*10</f>
        <v/>
      </c>
      <c r="M23" s="14">
        <f>AVERAGE(SUMPRODUCT($S23:$BM23,AttWeights!$C$9:$AW$9)/SUM(AttWeights!$C$9:$AW$9),SUMPRODUCT($S23:$BM23,AttWeights!$C$15:$AW$15)/SUM(AttWeights!$C$15:$AW$15))*10</f>
        <v/>
      </c>
      <c r="N23" s="14">
        <f>AVERAGE(SUMPRODUCT($S23:$BM23,AttWeights!$C$6:$AW$6)/SUM(AttWeights!$C$6:$AW$6),SUMPRODUCT($S23:$BM23,AttWeights!$C$14:$AW$14)/SUM(AttWeights!$C$14:$AW$14))*10</f>
        <v/>
      </c>
      <c r="O23" s="14">
        <f>AVERAGE(SUMPRODUCT($S23:$BM23,AttWeights!$C$5:$AW$5)/SUM(AttWeights!$C$5:$AW$5),SUMPRODUCT($S23:$BM23,AttWeights!$C$14:$AW$14)/SUM(AttWeights!$C$14:$AW$14))*10</f>
        <v/>
      </c>
      <c r="P23" s="14">
        <f>AVERAGE(SUMPRODUCT($S23:$BM23,AttWeights!$C$4:$AW$4)/SUM(AttWeights!$C$4:$AW$4),SUMPRODUCT($S23:$BM23,AttWeights!$C$13:$AW$13)/SUM(AttWeights!$C$13:$AW$13))*10</f>
        <v/>
      </c>
      <c r="Q23" s="14">
        <f>AVERAGE(SUMPRODUCT($S23:$BM23,AttWeights!$C$3:$AW$3)/SUM(AttWeights!$C$3:$AW$3),SUMPRODUCT($S23:$BM23,AttWeights!$C$12:$AW$12)/SUM(AttWeights!$C$12:$AW$12))*10</f>
        <v/>
      </c>
      <c r="R23" s="14">
        <f>AVERAGE(SUMPRODUCT($S23:$BM23,AttWeights!$C$2:$AW$2)/SUM(AttWeights!$C$2:$AW$2),SUMPRODUCT($S23:$BM23,AttWeights!$C$11:$AW$11)/SUM(AttWeights!$C$11:$AW$11))*10</f>
        <v/>
      </c>
      <c r="S23" s="3">
        <f>IF(ISBLANK('Paste Full'!AC23),"",'Paste Full'!AC23)</f>
        <v/>
      </c>
      <c r="T23" s="3">
        <f>IF(ISBLANK('Paste Full'!AD23),"",'Paste Full'!AD23)</f>
        <v/>
      </c>
      <c r="U23" s="3">
        <f>IF(ISBLANK('Paste Full'!AE23),"",'Paste Full'!AE23)</f>
        <v/>
      </c>
      <c r="V23" s="3">
        <f>IF(ISBLANK('Paste Full'!AF23),"",'Paste Full'!AF23)</f>
        <v/>
      </c>
      <c r="W23" s="3">
        <f>IF(ISBLANK('Paste Full'!AH23),"",'Paste Full'!AH23)</f>
        <v/>
      </c>
      <c r="X23" s="3">
        <f>IF(ISBLANK('Paste Full'!AI23),"",'Paste Full'!AI23)</f>
        <v/>
      </c>
      <c r="Y23" s="3">
        <f>IF(ISBLANK('Paste Full'!AK23),"",'Paste Full'!AK23)</f>
        <v/>
      </c>
      <c r="Z23" s="3">
        <f>IF(ISBLANK('Paste Full'!AL23),"",'Paste Full'!AL23)</f>
        <v/>
      </c>
      <c r="AA23" s="4">
        <f>IF(ISBLANK('Paste Full'!AM23),"",'Paste Full'!AM23)</f>
        <v/>
      </c>
      <c r="AB23" s="4">
        <f>IF(ISBLANK('Paste Full'!AN23),"",'Paste Full'!AN23)</f>
        <v/>
      </c>
      <c r="AC23" s="4">
        <f>IF(ISBLANK('Paste Full'!AO23),"",'Paste Full'!AO23)</f>
        <v/>
      </c>
      <c r="AD23" s="4">
        <f>IF(ISBLANK('Paste Full'!AP23),"",'Paste Full'!AP23)</f>
        <v/>
      </c>
      <c r="AE23" s="4">
        <f>IF(ISBLANK('Paste Full'!AQ23),"",'Paste Full'!AQ23)</f>
        <v/>
      </c>
      <c r="AF23" s="4">
        <f>IF(ISBLANK('Paste Full'!AR23),"",'Paste Full'!AR23)</f>
        <v/>
      </c>
      <c r="AG23" s="4">
        <f>IF(ISBLANK('Paste Full'!AS23),"",'Paste Full'!AS23)</f>
        <v/>
      </c>
      <c r="AH23" s="4">
        <f>IF(ISBLANK('Paste Full'!AV23),"",'Paste Full'!AV23)</f>
        <v/>
      </c>
      <c r="AI23" s="4">
        <f>IF(ISBLANK('Paste Full'!AT23),"",'Paste Full'!AT23)</f>
        <v/>
      </c>
      <c r="AJ23" s="4">
        <f>IF(ISBLANK('Paste Full'!AU23),"",'Paste Full'!AU23)</f>
        <v/>
      </c>
      <c r="AK23" s="4">
        <f>IF(ISBLANK('Paste Full'!AW23),"",'Paste Full'!AW23)</f>
        <v/>
      </c>
      <c r="AL23" s="5">
        <f>IF(ISBLANK('Paste Full'!AX23),"",'Paste Full'!AX23)</f>
        <v/>
      </c>
      <c r="AM23" s="5">
        <f>IF(ISBLANK('Paste Full'!AY23),"",'Paste Full'!AY23)</f>
        <v/>
      </c>
      <c r="AN23" s="5">
        <f>IF(ISBLANK('Paste Full'!AZ23),"",'Paste Full'!AZ23)</f>
        <v/>
      </c>
      <c r="AO23" s="5">
        <f>IF(ISBLANK('Paste Full'!BA23),"",'Paste Full'!BA23)</f>
        <v/>
      </c>
      <c r="AP23" s="5">
        <f>IF(ISBLANK('Paste Full'!BB23),"",'Paste Full'!BB23)</f>
        <v/>
      </c>
      <c r="AQ23" s="5">
        <f>IF(ISBLANK('Paste Full'!BC23),"",'Paste Full'!BC23)</f>
        <v/>
      </c>
      <c r="AR23" s="5">
        <f>IF(ISBLANK('Paste Full'!BD23),"",'Paste Full'!BD23)</f>
        <v/>
      </c>
      <c r="AS23" s="5">
        <f>IF(ISBLANK('Paste Full'!BE23),"",'Paste Full'!BE23)</f>
        <v/>
      </c>
      <c r="AT23" s="5">
        <f>IF(ISBLANK('Paste Full'!BF23),"",'Paste Full'!BF23)</f>
        <v/>
      </c>
      <c r="AU23" s="5">
        <f>IF(ISBLANK('Paste Full'!BG23),"",'Paste Full'!BG23)</f>
        <v/>
      </c>
      <c r="AV23" s="5">
        <f>IF(ISBLANK('Paste Full'!BH23),"",'Paste Full'!BH23)</f>
        <v/>
      </c>
      <c r="AW23" s="5">
        <f>IF(ISBLANK('Paste Full'!BI23),"",'Paste Full'!BI23)</f>
        <v/>
      </c>
      <c r="AX23" s="5">
        <f>IF(ISBLANK('Paste Full'!BJ23),"",'Paste Full'!BJ23)</f>
        <v/>
      </c>
      <c r="AY23" s="5">
        <f>IF(ISBLANK('Paste Full'!BK23),"",'Paste Full'!BK23)</f>
        <v/>
      </c>
      <c r="AZ23" s="6">
        <f>IF(ISBLANK('Paste Full'!BM23),"",'Paste Full'!BM23)</f>
        <v/>
      </c>
      <c r="BA23" s="6">
        <f>IF(ISBLANK('Paste Full'!BN23),"",'Paste Full'!BN23)</f>
        <v/>
      </c>
      <c r="BB23" s="6">
        <f>IF(ISBLANK('Paste Full'!BO23),"",'Paste Full'!BO23)</f>
        <v/>
      </c>
      <c r="BC23" s="6">
        <f>IF(ISBLANK('Paste Full'!BP23),"",'Paste Full'!BP23)</f>
        <v/>
      </c>
      <c r="BD23" s="6">
        <f>IF(ISBLANK('Paste Full'!BR23),"",'Paste Full'!BR23)</f>
        <v/>
      </c>
      <c r="BE23" s="6">
        <f>IF(ISBLANK('Paste Full'!BS23),"",'Paste Full'!BS23)</f>
        <v/>
      </c>
      <c r="BF23" s="6">
        <f>IF(ISBLANK('Paste Full'!BU23),"",'Paste Full'!BU23)</f>
        <v/>
      </c>
      <c r="BG23" s="6">
        <f>IF(ISBLANK('Paste Full'!BV23),"",'Paste Full'!BV23)</f>
        <v/>
      </c>
      <c r="BH23" s="6">
        <f>IF(ISBLANK('Paste Full'!BX23),"",'Paste Full'!BX23)</f>
        <v/>
      </c>
      <c r="BI23" s="6">
        <f>IF(ISBLANK('Paste Full'!BY23),"",'Paste Full'!BY23)</f>
        <v/>
      </c>
      <c r="BJ23" s="13">
        <f>IF(ISBLANK('Paste Full'!BL23),"",'Paste Full'!BL23)</f>
        <v/>
      </c>
      <c r="BK23" s="13">
        <f>IF(ISBLANK('Paste Full'!BQ23),"",'Paste Full'!BQ23)</f>
        <v/>
      </c>
      <c r="BL23" s="13">
        <f>IF(ISBLANK('Paste Full'!BT23),"",'Paste Full'!BT23)</f>
        <v/>
      </c>
      <c r="BM23" s="13">
        <f>IF(ISBLANK('Paste Full'!BW23),"",'Paste Full'!BW23)</f>
        <v/>
      </c>
    </row>
    <row r="24">
      <c r="A24">
        <f>IF(ISBLANK('Paste Full'!C24),"",'Paste Full'!C24)</f>
        <v/>
      </c>
      <c r="B24">
        <f>INDEX($J$1:$R$1, MATCH(MAX($J24:$R24), $J24:$R24, 0))</f>
        <v/>
      </c>
      <c r="C24" s="45">
        <f>IF(ISBLANK('Paste Full'!H24),"",'Paste Full'!H24)</f>
        <v/>
      </c>
      <c r="D24" s="45">
        <f>IF(ISBLANK('Paste Full'!F24),"",'Paste Full'!F24)</f>
        <v/>
      </c>
      <c r="E24" s="45">
        <f>IF(ISBLANK('Paste Full'!G24),"",'Paste Full'!G24)</f>
        <v/>
      </c>
      <c r="F24" s="21">
        <f>IF(ISBLANK('Paste Full'!E24),"",'Paste Full'!E24)</f>
        <v/>
      </c>
      <c r="G24">
        <f>IF(ISBLANK('Paste Full'!CI24),"",'Paste Full'!CI24)</f>
        <v/>
      </c>
      <c r="H24" s="21">
        <f>IF(ISBLANK('Paste Full'!J24),"",'Paste Full'!J24)</f>
        <v/>
      </c>
      <c r="I24" s="21">
        <f>IF(ISBLANK('Paste Full'!D24),"",'Paste Full'!D24)</f>
        <v/>
      </c>
      <c r="J24" s="14">
        <f>AVERAGE(SUMPRODUCT($S24:$BM24,AttWeights!$C$10:$AW$10)/SUM(AttWeights!$C$10:$AW$10),SUMPRODUCT($S24:$BM24,AttWeights!$C$17:$AW$17)/SUM(AttWeights!$C$17:$AW$17))*10</f>
        <v/>
      </c>
      <c r="K24" s="14">
        <f>AVERAGE(SUMPRODUCT($S24:$BM24,AttWeights!$C$7:$AW$7)/SUM(AttWeights!$C$7:$AW$7),SUMPRODUCT($S24:$BM24,AttWeights!$C$15:$AW$15)/SUM(AttWeights!$C$15:$AW$15))*10</f>
        <v/>
      </c>
      <c r="L24" s="14">
        <f>AVERAGE(SUMPRODUCT($S24:$BM24,AttWeights!$C$8:$AW$8)/SUM(AttWeights!$C$8:$AW$8),SUMPRODUCT($S24:$BM24,AttWeights!$C$16:$AW$16)/SUM(AttWeights!$C$16:$AW$16))*10</f>
        <v/>
      </c>
      <c r="M24" s="14">
        <f>AVERAGE(SUMPRODUCT($S24:$BM24,AttWeights!$C$9:$AW$9)/SUM(AttWeights!$C$9:$AW$9),SUMPRODUCT($S24:$BM24,AttWeights!$C$15:$AW$15)/SUM(AttWeights!$C$15:$AW$15))*10</f>
        <v/>
      </c>
      <c r="N24" s="14">
        <f>AVERAGE(SUMPRODUCT($S24:$BM24,AttWeights!$C$6:$AW$6)/SUM(AttWeights!$C$6:$AW$6),SUMPRODUCT($S24:$BM24,AttWeights!$C$14:$AW$14)/SUM(AttWeights!$C$14:$AW$14))*10</f>
        <v/>
      </c>
      <c r="O24" s="14">
        <f>AVERAGE(SUMPRODUCT($S24:$BM24,AttWeights!$C$5:$AW$5)/SUM(AttWeights!$C$5:$AW$5),SUMPRODUCT($S24:$BM24,AttWeights!$C$14:$AW$14)/SUM(AttWeights!$C$14:$AW$14))*10</f>
        <v/>
      </c>
      <c r="P24" s="14">
        <f>AVERAGE(SUMPRODUCT($S24:$BM24,AttWeights!$C$4:$AW$4)/SUM(AttWeights!$C$4:$AW$4),SUMPRODUCT($S24:$BM24,AttWeights!$C$13:$AW$13)/SUM(AttWeights!$C$13:$AW$13))*10</f>
        <v/>
      </c>
      <c r="Q24" s="14">
        <f>AVERAGE(SUMPRODUCT($S24:$BM24,AttWeights!$C$3:$AW$3)/SUM(AttWeights!$C$3:$AW$3),SUMPRODUCT($S24:$BM24,AttWeights!$C$12:$AW$12)/SUM(AttWeights!$C$12:$AW$12))*10</f>
        <v/>
      </c>
      <c r="R24" s="14">
        <f>AVERAGE(SUMPRODUCT($S24:$BM24,AttWeights!$C$2:$AW$2)/SUM(AttWeights!$C$2:$AW$2),SUMPRODUCT($S24:$BM24,AttWeights!$C$11:$AW$11)/SUM(AttWeights!$C$11:$AW$11))*10</f>
        <v/>
      </c>
      <c r="S24" s="3">
        <f>IF(ISBLANK('Paste Full'!AC24),"",'Paste Full'!AC24)</f>
        <v/>
      </c>
      <c r="T24" s="3">
        <f>IF(ISBLANK('Paste Full'!AD24),"",'Paste Full'!AD24)</f>
        <v/>
      </c>
      <c r="U24" s="3">
        <f>IF(ISBLANK('Paste Full'!AE24),"",'Paste Full'!AE24)</f>
        <v/>
      </c>
      <c r="V24" s="3">
        <f>IF(ISBLANK('Paste Full'!AF24),"",'Paste Full'!AF24)</f>
        <v/>
      </c>
      <c r="W24" s="3">
        <f>IF(ISBLANK('Paste Full'!AH24),"",'Paste Full'!AH24)</f>
        <v/>
      </c>
      <c r="X24" s="3">
        <f>IF(ISBLANK('Paste Full'!AI24),"",'Paste Full'!AI24)</f>
        <v/>
      </c>
      <c r="Y24" s="3">
        <f>IF(ISBLANK('Paste Full'!AK24),"",'Paste Full'!AK24)</f>
        <v/>
      </c>
      <c r="Z24" s="3">
        <f>IF(ISBLANK('Paste Full'!AL24),"",'Paste Full'!AL24)</f>
        <v/>
      </c>
      <c r="AA24" s="4">
        <f>IF(ISBLANK('Paste Full'!AM24),"",'Paste Full'!AM24)</f>
        <v/>
      </c>
      <c r="AB24" s="4">
        <f>IF(ISBLANK('Paste Full'!AN24),"",'Paste Full'!AN24)</f>
        <v/>
      </c>
      <c r="AC24" s="4">
        <f>IF(ISBLANK('Paste Full'!AO24),"",'Paste Full'!AO24)</f>
        <v/>
      </c>
      <c r="AD24" s="4">
        <f>IF(ISBLANK('Paste Full'!AP24),"",'Paste Full'!AP24)</f>
        <v/>
      </c>
      <c r="AE24" s="4">
        <f>IF(ISBLANK('Paste Full'!AQ24),"",'Paste Full'!AQ24)</f>
        <v/>
      </c>
      <c r="AF24" s="4">
        <f>IF(ISBLANK('Paste Full'!AR24),"",'Paste Full'!AR24)</f>
        <v/>
      </c>
      <c r="AG24" s="4">
        <f>IF(ISBLANK('Paste Full'!AS24),"",'Paste Full'!AS24)</f>
        <v/>
      </c>
      <c r="AH24" s="4">
        <f>IF(ISBLANK('Paste Full'!AV24),"",'Paste Full'!AV24)</f>
        <v/>
      </c>
      <c r="AI24" s="4">
        <f>IF(ISBLANK('Paste Full'!AT24),"",'Paste Full'!AT24)</f>
        <v/>
      </c>
      <c r="AJ24" s="4">
        <f>IF(ISBLANK('Paste Full'!AU24),"",'Paste Full'!AU24)</f>
        <v/>
      </c>
      <c r="AK24" s="4">
        <f>IF(ISBLANK('Paste Full'!AW24),"",'Paste Full'!AW24)</f>
        <v/>
      </c>
      <c r="AL24" s="5">
        <f>IF(ISBLANK('Paste Full'!AX24),"",'Paste Full'!AX24)</f>
        <v/>
      </c>
      <c r="AM24" s="5">
        <f>IF(ISBLANK('Paste Full'!AY24),"",'Paste Full'!AY24)</f>
        <v/>
      </c>
      <c r="AN24" s="5">
        <f>IF(ISBLANK('Paste Full'!AZ24),"",'Paste Full'!AZ24)</f>
        <v/>
      </c>
      <c r="AO24" s="5">
        <f>IF(ISBLANK('Paste Full'!BA24),"",'Paste Full'!BA24)</f>
        <v/>
      </c>
      <c r="AP24" s="5">
        <f>IF(ISBLANK('Paste Full'!BB24),"",'Paste Full'!BB24)</f>
        <v/>
      </c>
      <c r="AQ24" s="5">
        <f>IF(ISBLANK('Paste Full'!BC24),"",'Paste Full'!BC24)</f>
        <v/>
      </c>
      <c r="AR24" s="5">
        <f>IF(ISBLANK('Paste Full'!BD24),"",'Paste Full'!BD24)</f>
        <v/>
      </c>
      <c r="AS24" s="5">
        <f>IF(ISBLANK('Paste Full'!BE24),"",'Paste Full'!BE24)</f>
        <v/>
      </c>
      <c r="AT24" s="5">
        <f>IF(ISBLANK('Paste Full'!BF24),"",'Paste Full'!BF24)</f>
        <v/>
      </c>
      <c r="AU24" s="5">
        <f>IF(ISBLANK('Paste Full'!BG24),"",'Paste Full'!BG24)</f>
        <v/>
      </c>
      <c r="AV24" s="5">
        <f>IF(ISBLANK('Paste Full'!BH24),"",'Paste Full'!BH24)</f>
        <v/>
      </c>
      <c r="AW24" s="5">
        <f>IF(ISBLANK('Paste Full'!BI24),"",'Paste Full'!BI24)</f>
        <v/>
      </c>
      <c r="AX24" s="5">
        <f>IF(ISBLANK('Paste Full'!BJ24),"",'Paste Full'!BJ24)</f>
        <v/>
      </c>
      <c r="AY24" s="5">
        <f>IF(ISBLANK('Paste Full'!BK24),"",'Paste Full'!BK24)</f>
        <v/>
      </c>
      <c r="AZ24" s="6">
        <f>IF(ISBLANK('Paste Full'!BM24),"",'Paste Full'!BM24)</f>
        <v/>
      </c>
      <c r="BA24" s="6">
        <f>IF(ISBLANK('Paste Full'!BN24),"",'Paste Full'!BN24)</f>
        <v/>
      </c>
      <c r="BB24" s="6">
        <f>IF(ISBLANK('Paste Full'!BO24),"",'Paste Full'!BO24)</f>
        <v/>
      </c>
      <c r="BC24" s="6">
        <f>IF(ISBLANK('Paste Full'!BP24),"",'Paste Full'!BP24)</f>
        <v/>
      </c>
      <c r="BD24" s="6">
        <f>IF(ISBLANK('Paste Full'!BR24),"",'Paste Full'!BR24)</f>
        <v/>
      </c>
      <c r="BE24" s="6">
        <f>IF(ISBLANK('Paste Full'!BS24),"",'Paste Full'!BS24)</f>
        <v/>
      </c>
      <c r="BF24" s="6">
        <f>IF(ISBLANK('Paste Full'!BU24),"",'Paste Full'!BU24)</f>
        <v/>
      </c>
      <c r="BG24" s="6">
        <f>IF(ISBLANK('Paste Full'!BV24),"",'Paste Full'!BV24)</f>
        <v/>
      </c>
      <c r="BH24" s="6">
        <f>IF(ISBLANK('Paste Full'!BX24),"",'Paste Full'!BX24)</f>
        <v/>
      </c>
      <c r="BI24" s="6">
        <f>IF(ISBLANK('Paste Full'!BY24),"",'Paste Full'!BY24)</f>
        <v/>
      </c>
      <c r="BJ24" s="13">
        <f>IF(ISBLANK('Paste Full'!BL24),"",'Paste Full'!BL24)</f>
        <v/>
      </c>
      <c r="BK24" s="13">
        <f>IF(ISBLANK('Paste Full'!BQ24),"",'Paste Full'!BQ24)</f>
        <v/>
      </c>
      <c r="BL24" s="13">
        <f>IF(ISBLANK('Paste Full'!BT24),"",'Paste Full'!BT24)</f>
        <v/>
      </c>
      <c r="BM24" s="13">
        <f>IF(ISBLANK('Paste Full'!BW24),"",'Paste Full'!BW24)</f>
        <v/>
      </c>
    </row>
    <row r="25">
      <c r="A25">
        <f>IF(ISBLANK('Paste Full'!C25),"",'Paste Full'!C25)</f>
        <v/>
      </c>
      <c r="B25">
        <f>INDEX($J$1:$R$1, MATCH(MAX($J25:$R25), $J25:$R25, 0))</f>
        <v/>
      </c>
      <c r="C25" s="45">
        <f>IF(ISBLANK('Paste Full'!H25),"",'Paste Full'!H25)</f>
        <v/>
      </c>
      <c r="D25" s="45">
        <f>IF(ISBLANK('Paste Full'!F25),"",'Paste Full'!F25)</f>
        <v/>
      </c>
      <c r="E25" s="45">
        <f>IF(ISBLANK('Paste Full'!G25),"",'Paste Full'!G25)</f>
        <v/>
      </c>
      <c r="F25" s="21">
        <f>IF(ISBLANK('Paste Full'!E25),"",'Paste Full'!E25)</f>
        <v/>
      </c>
      <c r="G25">
        <f>IF(ISBLANK('Paste Full'!CI25),"",'Paste Full'!CI25)</f>
        <v/>
      </c>
      <c r="H25" s="21">
        <f>IF(ISBLANK('Paste Full'!J25),"",'Paste Full'!J25)</f>
        <v/>
      </c>
      <c r="I25" s="21">
        <f>IF(ISBLANK('Paste Full'!D25),"",'Paste Full'!D25)</f>
        <v/>
      </c>
      <c r="J25" s="14">
        <f>AVERAGE(SUMPRODUCT($S25:$BM25,AttWeights!$C$10:$AW$10)/SUM(AttWeights!$C$10:$AW$10),SUMPRODUCT($S25:$BM25,AttWeights!$C$17:$AW$17)/SUM(AttWeights!$C$17:$AW$17))*10</f>
        <v/>
      </c>
      <c r="K25" s="14">
        <f>AVERAGE(SUMPRODUCT($S25:$BM25,AttWeights!$C$7:$AW$7)/SUM(AttWeights!$C$7:$AW$7),SUMPRODUCT($S25:$BM25,AttWeights!$C$15:$AW$15)/SUM(AttWeights!$C$15:$AW$15))*10</f>
        <v/>
      </c>
      <c r="L25" s="14">
        <f>AVERAGE(SUMPRODUCT($S25:$BM25,AttWeights!$C$8:$AW$8)/SUM(AttWeights!$C$8:$AW$8),SUMPRODUCT($S25:$BM25,AttWeights!$C$16:$AW$16)/SUM(AttWeights!$C$16:$AW$16))*10</f>
        <v/>
      </c>
      <c r="M25" s="14">
        <f>AVERAGE(SUMPRODUCT($S25:$BM25,AttWeights!$C$9:$AW$9)/SUM(AttWeights!$C$9:$AW$9),SUMPRODUCT($S25:$BM25,AttWeights!$C$15:$AW$15)/SUM(AttWeights!$C$15:$AW$15))*10</f>
        <v/>
      </c>
      <c r="N25" s="14">
        <f>AVERAGE(SUMPRODUCT($S25:$BM25,AttWeights!$C$6:$AW$6)/SUM(AttWeights!$C$6:$AW$6),SUMPRODUCT($S25:$BM25,AttWeights!$C$14:$AW$14)/SUM(AttWeights!$C$14:$AW$14))*10</f>
        <v/>
      </c>
      <c r="O25" s="14">
        <f>AVERAGE(SUMPRODUCT($S25:$BM25,AttWeights!$C$5:$AW$5)/SUM(AttWeights!$C$5:$AW$5),SUMPRODUCT($S25:$BM25,AttWeights!$C$14:$AW$14)/SUM(AttWeights!$C$14:$AW$14))*10</f>
        <v/>
      </c>
      <c r="P25" s="14">
        <f>AVERAGE(SUMPRODUCT($S25:$BM25,AttWeights!$C$4:$AW$4)/SUM(AttWeights!$C$4:$AW$4),SUMPRODUCT($S25:$BM25,AttWeights!$C$13:$AW$13)/SUM(AttWeights!$C$13:$AW$13))*10</f>
        <v/>
      </c>
      <c r="Q25" s="14">
        <f>AVERAGE(SUMPRODUCT($S25:$BM25,AttWeights!$C$3:$AW$3)/SUM(AttWeights!$C$3:$AW$3),SUMPRODUCT($S25:$BM25,AttWeights!$C$12:$AW$12)/SUM(AttWeights!$C$12:$AW$12))*10</f>
        <v/>
      </c>
      <c r="R25" s="14">
        <f>AVERAGE(SUMPRODUCT($S25:$BM25,AttWeights!$C$2:$AW$2)/SUM(AttWeights!$C$2:$AW$2),SUMPRODUCT($S25:$BM25,AttWeights!$C$11:$AW$11)/SUM(AttWeights!$C$11:$AW$11))*10</f>
        <v/>
      </c>
      <c r="S25" s="3">
        <f>IF(ISBLANK('Paste Full'!AC25),"",'Paste Full'!AC25)</f>
        <v/>
      </c>
      <c r="T25" s="3">
        <f>IF(ISBLANK('Paste Full'!AD25),"",'Paste Full'!AD25)</f>
        <v/>
      </c>
      <c r="U25" s="3">
        <f>IF(ISBLANK('Paste Full'!AE25),"",'Paste Full'!AE25)</f>
        <v/>
      </c>
      <c r="V25" s="3">
        <f>IF(ISBLANK('Paste Full'!AF25),"",'Paste Full'!AF25)</f>
        <v/>
      </c>
      <c r="W25" s="3">
        <f>IF(ISBLANK('Paste Full'!AH25),"",'Paste Full'!AH25)</f>
        <v/>
      </c>
      <c r="X25" s="3">
        <f>IF(ISBLANK('Paste Full'!AI25),"",'Paste Full'!AI25)</f>
        <v/>
      </c>
      <c r="Y25" s="3">
        <f>IF(ISBLANK('Paste Full'!AK25),"",'Paste Full'!AK25)</f>
        <v/>
      </c>
      <c r="Z25" s="3">
        <f>IF(ISBLANK('Paste Full'!AL25),"",'Paste Full'!AL25)</f>
        <v/>
      </c>
      <c r="AA25" s="4">
        <f>IF(ISBLANK('Paste Full'!AM25),"",'Paste Full'!AM25)</f>
        <v/>
      </c>
      <c r="AB25" s="4">
        <f>IF(ISBLANK('Paste Full'!AN25),"",'Paste Full'!AN25)</f>
        <v/>
      </c>
      <c r="AC25" s="4">
        <f>IF(ISBLANK('Paste Full'!AO25),"",'Paste Full'!AO25)</f>
        <v/>
      </c>
      <c r="AD25" s="4">
        <f>IF(ISBLANK('Paste Full'!AP25),"",'Paste Full'!AP25)</f>
        <v/>
      </c>
      <c r="AE25" s="4">
        <f>IF(ISBLANK('Paste Full'!AQ25),"",'Paste Full'!AQ25)</f>
        <v/>
      </c>
      <c r="AF25" s="4">
        <f>IF(ISBLANK('Paste Full'!AR25),"",'Paste Full'!AR25)</f>
        <v/>
      </c>
      <c r="AG25" s="4">
        <f>IF(ISBLANK('Paste Full'!AS25),"",'Paste Full'!AS25)</f>
        <v/>
      </c>
      <c r="AH25" s="4">
        <f>IF(ISBLANK('Paste Full'!AV25),"",'Paste Full'!AV25)</f>
        <v/>
      </c>
      <c r="AI25" s="4">
        <f>IF(ISBLANK('Paste Full'!AT25),"",'Paste Full'!AT25)</f>
        <v/>
      </c>
      <c r="AJ25" s="4">
        <f>IF(ISBLANK('Paste Full'!AU25),"",'Paste Full'!AU25)</f>
        <v/>
      </c>
      <c r="AK25" s="4">
        <f>IF(ISBLANK('Paste Full'!AW25),"",'Paste Full'!AW25)</f>
        <v/>
      </c>
      <c r="AL25" s="5">
        <f>IF(ISBLANK('Paste Full'!AX25),"",'Paste Full'!AX25)</f>
        <v/>
      </c>
      <c r="AM25" s="5">
        <f>IF(ISBLANK('Paste Full'!AY25),"",'Paste Full'!AY25)</f>
        <v/>
      </c>
      <c r="AN25" s="5">
        <f>IF(ISBLANK('Paste Full'!AZ25),"",'Paste Full'!AZ25)</f>
        <v/>
      </c>
      <c r="AO25" s="5">
        <f>IF(ISBLANK('Paste Full'!BA25),"",'Paste Full'!BA25)</f>
        <v/>
      </c>
      <c r="AP25" s="5">
        <f>IF(ISBLANK('Paste Full'!BB25),"",'Paste Full'!BB25)</f>
        <v/>
      </c>
      <c r="AQ25" s="5">
        <f>IF(ISBLANK('Paste Full'!BC25),"",'Paste Full'!BC25)</f>
        <v/>
      </c>
      <c r="AR25" s="5">
        <f>IF(ISBLANK('Paste Full'!BD25),"",'Paste Full'!BD25)</f>
        <v/>
      </c>
      <c r="AS25" s="5">
        <f>IF(ISBLANK('Paste Full'!BE25),"",'Paste Full'!BE25)</f>
        <v/>
      </c>
      <c r="AT25" s="5">
        <f>IF(ISBLANK('Paste Full'!BF25),"",'Paste Full'!BF25)</f>
        <v/>
      </c>
      <c r="AU25" s="5">
        <f>IF(ISBLANK('Paste Full'!BG25),"",'Paste Full'!BG25)</f>
        <v/>
      </c>
      <c r="AV25" s="5">
        <f>IF(ISBLANK('Paste Full'!BH25),"",'Paste Full'!BH25)</f>
        <v/>
      </c>
      <c r="AW25" s="5">
        <f>IF(ISBLANK('Paste Full'!BI25),"",'Paste Full'!BI25)</f>
        <v/>
      </c>
      <c r="AX25" s="5">
        <f>IF(ISBLANK('Paste Full'!BJ25),"",'Paste Full'!BJ25)</f>
        <v/>
      </c>
      <c r="AY25" s="5">
        <f>IF(ISBLANK('Paste Full'!BK25),"",'Paste Full'!BK25)</f>
        <v/>
      </c>
      <c r="AZ25" s="6">
        <f>IF(ISBLANK('Paste Full'!BM25),"",'Paste Full'!BM25)</f>
        <v/>
      </c>
      <c r="BA25" s="6">
        <f>IF(ISBLANK('Paste Full'!BN25),"",'Paste Full'!BN25)</f>
        <v/>
      </c>
      <c r="BB25" s="6">
        <f>IF(ISBLANK('Paste Full'!BO25),"",'Paste Full'!BO25)</f>
        <v/>
      </c>
      <c r="BC25" s="6">
        <f>IF(ISBLANK('Paste Full'!BP25),"",'Paste Full'!BP25)</f>
        <v/>
      </c>
      <c r="BD25" s="6">
        <f>IF(ISBLANK('Paste Full'!BR25),"",'Paste Full'!BR25)</f>
        <v/>
      </c>
      <c r="BE25" s="6">
        <f>IF(ISBLANK('Paste Full'!BS25),"",'Paste Full'!BS25)</f>
        <v/>
      </c>
      <c r="BF25" s="6">
        <f>IF(ISBLANK('Paste Full'!BU25),"",'Paste Full'!BU25)</f>
        <v/>
      </c>
      <c r="BG25" s="6">
        <f>IF(ISBLANK('Paste Full'!BV25),"",'Paste Full'!BV25)</f>
        <v/>
      </c>
      <c r="BH25" s="6">
        <f>IF(ISBLANK('Paste Full'!BX25),"",'Paste Full'!BX25)</f>
        <v/>
      </c>
      <c r="BI25" s="6">
        <f>IF(ISBLANK('Paste Full'!BY25),"",'Paste Full'!BY25)</f>
        <v/>
      </c>
      <c r="BJ25" s="13">
        <f>IF(ISBLANK('Paste Full'!BL25),"",'Paste Full'!BL25)</f>
        <v/>
      </c>
      <c r="BK25" s="13">
        <f>IF(ISBLANK('Paste Full'!BQ25),"",'Paste Full'!BQ25)</f>
        <v/>
      </c>
      <c r="BL25" s="13">
        <f>IF(ISBLANK('Paste Full'!BT25),"",'Paste Full'!BT25)</f>
        <v/>
      </c>
      <c r="BM25" s="13">
        <f>IF(ISBLANK('Paste Full'!BW25),"",'Paste Full'!BW25)</f>
        <v/>
      </c>
    </row>
    <row r="26">
      <c r="A26">
        <f>IF(ISBLANK('Paste Full'!C26),"",'Paste Full'!C26)</f>
        <v/>
      </c>
      <c r="B26">
        <f>INDEX($J$1:$R$1, MATCH(MAX($J26:$R26), $J26:$R26, 0))</f>
        <v/>
      </c>
      <c r="C26" s="45">
        <f>IF(ISBLANK('Paste Full'!H26),"",'Paste Full'!H26)</f>
        <v/>
      </c>
      <c r="D26" s="45">
        <f>IF(ISBLANK('Paste Full'!F26),"",'Paste Full'!F26)</f>
        <v/>
      </c>
      <c r="E26" s="45">
        <f>IF(ISBLANK('Paste Full'!G26),"",'Paste Full'!G26)</f>
        <v/>
      </c>
      <c r="F26" s="21">
        <f>IF(ISBLANK('Paste Full'!E26),"",'Paste Full'!E26)</f>
        <v/>
      </c>
      <c r="G26">
        <f>IF(ISBLANK('Paste Full'!CI26),"",'Paste Full'!CI26)</f>
        <v/>
      </c>
      <c r="H26" s="21">
        <f>IF(ISBLANK('Paste Full'!J26),"",'Paste Full'!J26)</f>
        <v/>
      </c>
      <c r="I26" s="21">
        <f>IF(ISBLANK('Paste Full'!D26),"",'Paste Full'!D26)</f>
        <v/>
      </c>
      <c r="J26" s="14">
        <f>AVERAGE(SUMPRODUCT($S26:$BM26,AttWeights!$C$10:$AW$10)/SUM(AttWeights!$C$10:$AW$10),SUMPRODUCT($S26:$BM26,AttWeights!$C$17:$AW$17)/SUM(AttWeights!$C$17:$AW$17))*10</f>
        <v/>
      </c>
      <c r="K26" s="14">
        <f>AVERAGE(SUMPRODUCT($S26:$BM26,AttWeights!$C$7:$AW$7)/SUM(AttWeights!$C$7:$AW$7),SUMPRODUCT($S26:$BM26,AttWeights!$C$15:$AW$15)/SUM(AttWeights!$C$15:$AW$15))*10</f>
        <v/>
      </c>
      <c r="L26" s="14">
        <f>AVERAGE(SUMPRODUCT($S26:$BM26,AttWeights!$C$8:$AW$8)/SUM(AttWeights!$C$8:$AW$8),SUMPRODUCT($S26:$BM26,AttWeights!$C$16:$AW$16)/SUM(AttWeights!$C$16:$AW$16))*10</f>
        <v/>
      </c>
      <c r="M26" s="14">
        <f>AVERAGE(SUMPRODUCT($S26:$BM26,AttWeights!$C$9:$AW$9)/SUM(AttWeights!$C$9:$AW$9),SUMPRODUCT($S26:$BM26,AttWeights!$C$15:$AW$15)/SUM(AttWeights!$C$15:$AW$15))*10</f>
        <v/>
      </c>
      <c r="N26" s="14">
        <f>AVERAGE(SUMPRODUCT($S26:$BM26,AttWeights!$C$6:$AW$6)/SUM(AttWeights!$C$6:$AW$6),SUMPRODUCT($S26:$BM26,AttWeights!$C$14:$AW$14)/SUM(AttWeights!$C$14:$AW$14))*10</f>
        <v/>
      </c>
      <c r="O26" s="14">
        <f>AVERAGE(SUMPRODUCT($S26:$BM26,AttWeights!$C$5:$AW$5)/SUM(AttWeights!$C$5:$AW$5),SUMPRODUCT($S26:$BM26,AttWeights!$C$14:$AW$14)/SUM(AttWeights!$C$14:$AW$14))*10</f>
        <v/>
      </c>
      <c r="P26" s="14">
        <f>AVERAGE(SUMPRODUCT($S26:$BM26,AttWeights!$C$4:$AW$4)/SUM(AttWeights!$C$4:$AW$4),SUMPRODUCT($S26:$BM26,AttWeights!$C$13:$AW$13)/SUM(AttWeights!$C$13:$AW$13))*10</f>
        <v/>
      </c>
      <c r="Q26" s="14">
        <f>AVERAGE(SUMPRODUCT($S26:$BM26,AttWeights!$C$3:$AW$3)/SUM(AttWeights!$C$3:$AW$3),SUMPRODUCT($S26:$BM26,AttWeights!$C$12:$AW$12)/SUM(AttWeights!$C$12:$AW$12))*10</f>
        <v/>
      </c>
      <c r="R26" s="14">
        <f>AVERAGE(SUMPRODUCT($S26:$BM26,AttWeights!$C$2:$AW$2)/SUM(AttWeights!$C$2:$AW$2),SUMPRODUCT($S26:$BM26,AttWeights!$C$11:$AW$11)/SUM(AttWeights!$C$11:$AW$11))*10</f>
        <v/>
      </c>
      <c r="S26" s="3">
        <f>IF(ISBLANK('Paste Full'!AC26),"",'Paste Full'!AC26)</f>
        <v/>
      </c>
      <c r="T26" s="3">
        <f>IF(ISBLANK('Paste Full'!AD26),"",'Paste Full'!AD26)</f>
        <v/>
      </c>
      <c r="U26" s="3">
        <f>IF(ISBLANK('Paste Full'!AE26),"",'Paste Full'!AE26)</f>
        <v/>
      </c>
      <c r="V26" s="3">
        <f>IF(ISBLANK('Paste Full'!AF26),"",'Paste Full'!AF26)</f>
        <v/>
      </c>
      <c r="W26" s="3">
        <f>IF(ISBLANK('Paste Full'!AH26),"",'Paste Full'!AH26)</f>
        <v/>
      </c>
      <c r="X26" s="3">
        <f>IF(ISBLANK('Paste Full'!AI26),"",'Paste Full'!AI26)</f>
        <v/>
      </c>
      <c r="Y26" s="3">
        <f>IF(ISBLANK('Paste Full'!AK26),"",'Paste Full'!AK26)</f>
        <v/>
      </c>
      <c r="Z26" s="3">
        <f>IF(ISBLANK('Paste Full'!AL26),"",'Paste Full'!AL26)</f>
        <v/>
      </c>
      <c r="AA26" s="4">
        <f>IF(ISBLANK('Paste Full'!AM26),"",'Paste Full'!AM26)</f>
        <v/>
      </c>
      <c r="AB26" s="4">
        <f>IF(ISBLANK('Paste Full'!AN26),"",'Paste Full'!AN26)</f>
        <v/>
      </c>
      <c r="AC26" s="4">
        <f>IF(ISBLANK('Paste Full'!AO26),"",'Paste Full'!AO26)</f>
        <v/>
      </c>
      <c r="AD26" s="4">
        <f>IF(ISBLANK('Paste Full'!AP26),"",'Paste Full'!AP26)</f>
        <v/>
      </c>
      <c r="AE26" s="4">
        <f>IF(ISBLANK('Paste Full'!AQ26),"",'Paste Full'!AQ26)</f>
        <v/>
      </c>
      <c r="AF26" s="4">
        <f>IF(ISBLANK('Paste Full'!AR26),"",'Paste Full'!AR26)</f>
        <v/>
      </c>
      <c r="AG26" s="4">
        <f>IF(ISBLANK('Paste Full'!AS26),"",'Paste Full'!AS26)</f>
        <v/>
      </c>
      <c r="AH26" s="4">
        <f>IF(ISBLANK('Paste Full'!AV26),"",'Paste Full'!AV26)</f>
        <v/>
      </c>
      <c r="AI26" s="4">
        <f>IF(ISBLANK('Paste Full'!AT26),"",'Paste Full'!AT26)</f>
        <v/>
      </c>
      <c r="AJ26" s="4">
        <f>IF(ISBLANK('Paste Full'!AU26),"",'Paste Full'!AU26)</f>
        <v/>
      </c>
      <c r="AK26" s="4">
        <f>IF(ISBLANK('Paste Full'!AW26),"",'Paste Full'!AW26)</f>
        <v/>
      </c>
      <c r="AL26" s="5">
        <f>IF(ISBLANK('Paste Full'!AX26),"",'Paste Full'!AX26)</f>
        <v/>
      </c>
      <c r="AM26" s="5">
        <f>IF(ISBLANK('Paste Full'!AY26),"",'Paste Full'!AY26)</f>
        <v/>
      </c>
      <c r="AN26" s="5">
        <f>IF(ISBLANK('Paste Full'!AZ26),"",'Paste Full'!AZ26)</f>
        <v/>
      </c>
      <c r="AO26" s="5">
        <f>IF(ISBLANK('Paste Full'!BA26),"",'Paste Full'!BA26)</f>
        <v/>
      </c>
      <c r="AP26" s="5">
        <f>IF(ISBLANK('Paste Full'!BB26),"",'Paste Full'!BB26)</f>
        <v/>
      </c>
      <c r="AQ26" s="5">
        <f>IF(ISBLANK('Paste Full'!BC26),"",'Paste Full'!BC26)</f>
        <v/>
      </c>
      <c r="AR26" s="5">
        <f>IF(ISBLANK('Paste Full'!BD26),"",'Paste Full'!BD26)</f>
        <v/>
      </c>
      <c r="AS26" s="5">
        <f>IF(ISBLANK('Paste Full'!BE26),"",'Paste Full'!BE26)</f>
        <v/>
      </c>
      <c r="AT26" s="5">
        <f>IF(ISBLANK('Paste Full'!BF26),"",'Paste Full'!BF26)</f>
        <v/>
      </c>
      <c r="AU26" s="5">
        <f>IF(ISBLANK('Paste Full'!BG26),"",'Paste Full'!BG26)</f>
        <v/>
      </c>
      <c r="AV26" s="5">
        <f>IF(ISBLANK('Paste Full'!BH26),"",'Paste Full'!BH26)</f>
        <v/>
      </c>
      <c r="AW26" s="5">
        <f>IF(ISBLANK('Paste Full'!BI26),"",'Paste Full'!BI26)</f>
        <v/>
      </c>
      <c r="AX26" s="5">
        <f>IF(ISBLANK('Paste Full'!BJ26),"",'Paste Full'!BJ26)</f>
        <v/>
      </c>
      <c r="AY26" s="5">
        <f>IF(ISBLANK('Paste Full'!BK26),"",'Paste Full'!BK26)</f>
        <v/>
      </c>
      <c r="AZ26" s="6">
        <f>IF(ISBLANK('Paste Full'!BM26),"",'Paste Full'!BM26)</f>
        <v/>
      </c>
      <c r="BA26" s="6">
        <f>IF(ISBLANK('Paste Full'!BN26),"",'Paste Full'!BN26)</f>
        <v/>
      </c>
      <c r="BB26" s="6">
        <f>IF(ISBLANK('Paste Full'!BO26),"",'Paste Full'!BO26)</f>
        <v/>
      </c>
      <c r="BC26" s="6">
        <f>IF(ISBLANK('Paste Full'!BP26),"",'Paste Full'!BP26)</f>
        <v/>
      </c>
      <c r="BD26" s="6">
        <f>IF(ISBLANK('Paste Full'!BR26),"",'Paste Full'!BR26)</f>
        <v/>
      </c>
      <c r="BE26" s="6">
        <f>IF(ISBLANK('Paste Full'!BS26),"",'Paste Full'!BS26)</f>
        <v/>
      </c>
      <c r="BF26" s="6">
        <f>IF(ISBLANK('Paste Full'!BU26),"",'Paste Full'!BU26)</f>
        <v/>
      </c>
      <c r="BG26" s="6">
        <f>IF(ISBLANK('Paste Full'!BV26),"",'Paste Full'!BV26)</f>
        <v/>
      </c>
      <c r="BH26" s="6">
        <f>IF(ISBLANK('Paste Full'!BX26),"",'Paste Full'!BX26)</f>
        <v/>
      </c>
      <c r="BI26" s="6">
        <f>IF(ISBLANK('Paste Full'!BY26),"",'Paste Full'!BY26)</f>
        <v/>
      </c>
      <c r="BJ26" s="13">
        <f>IF(ISBLANK('Paste Full'!BL26),"",'Paste Full'!BL26)</f>
        <v/>
      </c>
      <c r="BK26" s="13">
        <f>IF(ISBLANK('Paste Full'!BQ26),"",'Paste Full'!BQ26)</f>
        <v/>
      </c>
      <c r="BL26" s="13">
        <f>IF(ISBLANK('Paste Full'!BT26),"",'Paste Full'!BT26)</f>
        <v/>
      </c>
      <c r="BM26" s="13">
        <f>IF(ISBLANK('Paste Full'!BW26),"",'Paste Full'!BW26)</f>
        <v/>
      </c>
    </row>
    <row r="27">
      <c r="A27">
        <f>IF(ISBLANK('Paste Full'!C27),"",'Paste Full'!C27)</f>
        <v/>
      </c>
      <c r="B27">
        <f>INDEX($J$1:$R$1, MATCH(MAX($J27:$R27), $J27:$R27, 0))</f>
        <v/>
      </c>
      <c r="C27" s="45">
        <f>IF(ISBLANK('Paste Full'!H27),"",'Paste Full'!H27)</f>
        <v/>
      </c>
      <c r="D27" s="45">
        <f>IF(ISBLANK('Paste Full'!F27),"",'Paste Full'!F27)</f>
        <v/>
      </c>
      <c r="E27" s="45">
        <f>IF(ISBLANK('Paste Full'!G27),"",'Paste Full'!G27)</f>
        <v/>
      </c>
      <c r="F27" s="21">
        <f>IF(ISBLANK('Paste Full'!E27),"",'Paste Full'!E27)</f>
        <v/>
      </c>
      <c r="G27">
        <f>IF(ISBLANK('Paste Full'!CI27),"",'Paste Full'!CI27)</f>
        <v/>
      </c>
      <c r="H27" s="21">
        <f>IF(ISBLANK('Paste Full'!J27),"",'Paste Full'!J27)</f>
        <v/>
      </c>
      <c r="I27" s="21">
        <f>IF(ISBLANK('Paste Full'!D27),"",'Paste Full'!D27)</f>
        <v/>
      </c>
      <c r="J27" s="14">
        <f>AVERAGE(SUMPRODUCT($S27:$BM27,AttWeights!$C$10:$AW$10)/SUM(AttWeights!$C$10:$AW$10),SUMPRODUCT($S27:$BM27,AttWeights!$C$17:$AW$17)/SUM(AttWeights!$C$17:$AW$17))*10</f>
        <v/>
      </c>
      <c r="K27" s="14">
        <f>AVERAGE(SUMPRODUCT($S27:$BM27,AttWeights!$C$7:$AW$7)/SUM(AttWeights!$C$7:$AW$7),SUMPRODUCT($S27:$BM27,AttWeights!$C$15:$AW$15)/SUM(AttWeights!$C$15:$AW$15))*10</f>
        <v/>
      </c>
      <c r="L27" s="14">
        <f>AVERAGE(SUMPRODUCT($S27:$BM27,AttWeights!$C$8:$AW$8)/SUM(AttWeights!$C$8:$AW$8),SUMPRODUCT($S27:$BM27,AttWeights!$C$16:$AW$16)/SUM(AttWeights!$C$16:$AW$16))*10</f>
        <v/>
      </c>
      <c r="M27" s="14">
        <f>AVERAGE(SUMPRODUCT($S27:$BM27,AttWeights!$C$9:$AW$9)/SUM(AttWeights!$C$9:$AW$9),SUMPRODUCT($S27:$BM27,AttWeights!$C$15:$AW$15)/SUM(AttWeights!$C$15:$AW$15))*10</f>
        <v/>
      </c>
      <c r="N27" s="14">
        <f>AVERAGE(SUMPRODUCT($S27:$BM27,AttWeights!$C$6:$AW$6)/SUM(AttWeights!$C$6:$AW$6),SUMPRODUCT($S27:$BM27,AttWeights!$C$14:$AW$14)/SUM(AttWeights!$C$14:$AW$14))*10</f>
        <v/>
      </c>
      <c r="O27" s="14">
        <f>AVERAGE(SUMPRODUCT($S27:$BM27,AttWeights!$C$5:$AW$5)/SUM(AttWeights!$C$5:$AW$5),SUMPRODUCT($S27:$BM27,AttWeights!$C$14:$AW$14)/SUM(AttWeights!$C$14:$AW$14))*10</f>
        <v/>
      </c>
      <c r="P27" s="14">
        <f>AVERAGE(SUMPRODUCT($S27:$BM27,AttWeights!$C$4:$AW$4)/SUM(AttWeights!$C$4:$AW$4),SUMPRODUCT($S27:$BM27,AttWeights!$C$13:$AW$13)/SUM(AttWeights!$C$13:$AW$13))*10</f>
        <v/>
      </c>
      <c r="Q27" s="14">
        <f>AVERAGE(SUMPRODUCT($S27:$BM27,AttWeights!$C$3:$AW$3)/SUM(AttWeights!$C$3:$AW$3),SUMPRODUCT($S27:$BM27,AttWeights!$C$12:$AW$12)/SUM(AttWeights!$C$12:$AW$12))*10</f>
        <v/>
      </c>
      <c r="R27" s="14">
        <f>AVERAGE(SUMPRODUCT($S27:$BM27,AttWeights!$C$2:$AW$2)/SUM(AttWeights!$C$2:$AW$2),SUMPRODUCT($S27:$BM27,AttWeights!$C$11:$AW$11)/SUM(AttWeights!$C$11:$AW$11))*10</f>
        <v/>
      </c>
      <c r="S27" s="3">
        <f>IF(ISBLANK('Paste Full'!AC27),"",'Paste Full'!AC27)</f>
        <v/>
      </c>
      <c r="T27" s="3">
        <f>IF(ISBLANK('Paste Full'!AD27),"",'Paste Full'!AD27)</f>
        <v/>
      </c>
      <c r="U27" s="3">
        <f>IF(ISBLANK('Paste Full'!AE27),"",'Paste Full'!AE27)</f>
        <v/>
      </c>
      <c r="V27" s="3">
        <f>IF(ISBLANK('Paste Full'!AF27),"",'Paste Full'!AF27)</f>
        <v/>
      </c>
      <c r="W27" s="3">
        <f>IF(ISBLANK('Paste Full'!AH27),"",'Paste Full'!AH27)</f>
        <v/>
      </c>
      <c r="X27" s="3">
        <f>IF(ISBLANK('Paste Full'!AI27),"",'Paste Full'!AI27)</f>
        <v/>
      </c>
      <c r="Y27" s="3">
        <f>IF(ISBLANK('Paste Full'!AK27),"",'Paste Full'!AK27)</f>
        <v/>
      </c>
      <c r="Z27" s="3">
        <f>IF(ISBLANK('Paste Full'!AL27),"",'Paste Full'!AL27)</f>
        <v/>
      </c>
      <c r="AA27" s="4">
        <f>IF(ISBLANK('Paste Full'!AM27),"",'Paste Full'!AM27)</f>
        <v/>
      </c>
      <c r="AB27" s="4">
        <f>IF(ISBLANK('Paste Full'!AN27),"",'Paste Full'!AN27)</f>
        <v/>
      </c>
      <c r="AC27" s="4">
        <f>IF(ISBLANK('Paste Full'!AO27),"",'Paste Full'!AO27)</f>
        <v/>
      </c>
      <c r="AD27" s="4">
        <f>IF(ISBLANK('Paste Full'!AP27),"",'Paste Full'!AP27)</f>
        <v/>
      </c>
      <c r="AE27" s="4">
        <f>IF(ISBLANK('Paste Full'!AQ27),"",'Paste Full'!AQ27)</f>
        <v/>
      </c>
      <c r="AF27" s="4">
        <f>IF(ISBLANK('Paste Full'!AR27),"",'Paste Full'!AR27)</f>
        <v/>
      </c>
      <c r="AG27" s="4">
        <f>IF(ISBLANK('Paste Full'!AS27),"",'Paste Full'!AS27)</f>
        <v/>
      </c>
      <c r="AH27" s="4">
        <f>IF(ISBLANK('Paste Full'!AV27),"",'Paste Full'!AV27)</f>
        <v/>
      </c>
      <c r="AI27" s="4">
        <f>IF(ISBLANK('Paste Full'!AT27),"",'Paste Full'!AT27)</f>
        <v/>
      </c>
      <c r="AJ27" s="4">
        <f>IF(ISBLANK('Paste Full'!AU27),"",'Paste Full'!AU27)</f>
        <v/>
      </c>
      <c r="AK27" s="4">
        <f>IF(ISBLANK('Paste Full'!AW27),"",'Paste Full'!AW27)</f>
        <v/>
      </c>
      <c r="AL27" s="5">
        <f>IF(ISBLANK('Paste Full'!AX27),"",'Paste Full'!AX27)</f>
        <v/>
      </c>
      <c r="AM27" s="5">
        <f>IF(ISBLANK('Paste Full'!AY27),"",'Paste Full'!AY27)</f>
        <v/>
      </c>
      <c r="AN27" s="5">
        <f>IF(ISBLANK('Paste Full'!AZ27),"",'Paste Full'!AZ27)</f>
        <v/>
      </c>
      <c r="AO27" s="5">
        <f>IF(ISBLANK('Paste Full'!BA27),"",'Paste Full'!BA27)</f>
        <v/>
      </c>
      <c r="AP27" s="5">
        <f>IF(ISBLANK('Paste Full'!BB27),"",'Paste Full'!BB27)</f>
        <v/>
      </c>
      <c r="AQ27" s="5">
        <f>IF(ISBLANK('Paste Full'!BC27),"",'Paste Full'!BC27)</f>
        <v/>
      </c>
      <c r="AR27" s="5">
        <f>IF(ISBLANK('Paste Full'!BD27),"",'Paste Full'!BD27)</f>
        <v/>
      </c>
      <c r="AS27" s="5">
        <f>IF(ISBLANK('Paste Full'!BE27),"",'Paste Full'!BE27)</f>
        <v/>
      </c>
      <c r="AT27" s="5">
        <f>IF(ISBLANK('Paste Full'!BF27),"",'Paste Full'!BF27)</f>
        <v/>
      </c>
      <c r="AU27" s="5">
        <f>IF(ISBLANK('Paste Full'!BG27),"",'Paste Full'!BG27)</f>
        <v/>
      </c>
      <c r="AV27" s="5">
        <f>IF(ISBLANK('Paste Full'!BH27),"",'Paste Full'!BH27)</f>
        <v/>
      </c>
      <c r="AW27" s="5">
        <f>IF(ISBLANK('Paste Full'!BI27),"",'Paste Full'!BI27)</f>
        <v/>
      </c>
      <c r="AX27" s="5">
        <f>IF(ISBLANK('Paste Full'!BJ27),"",'Paste Full'!BJ27)</f>
        <v/>
      </c>
      <c r="AY27" s="5">
        <f>IF(ISBLANK('Paste Full'!BK27),"",'Paste Full'!BK27)</f>
        <v/>
      </c>
      <c r="AZ27" s="6">
        <f>IF(ISBLANK('Paste Full'!BM27),"",'Paste Full'!BM27)</f>
        <v/>
      </c>
      <c r="BA27" s="6">
        <f>IF(ISBLANK('Paste Full'!BN27),"",'Paste Full'!BN27)</f>
        <v/>
      </c>
      <c r="BB27" s="6">
        <f>IF(ISBLANK('Paste Full'!BO27),"",'Paste Full'!BO27)</f>
        <v/>
      </c>
      <c r="BC27" s="6">
        <f>IF(ISBLANK('Paste Full'!BP27),"",'Paste Full'!BP27)</f>
        <v/>
      </c>
      <c r="BD27" s="6">
        <f>IF(ISBLANK('Paste Full'!BR27),"",'Paste Full'!BR27)</f>
        <v/>
      </c>
      <c r="BE27" s="6">
        <f>IF(ISBLANK('Paste Full'!BS27),"",'Paste Full'!BS27)</f>
        <v/>
      </c>
      <c r="BF27" s="6">
        <f>IF(ISBLANK('Paste Full'!BU27),"",'Paste Full'!BU27)</f>
        <v/>
      </c>
      <c r="BG27" s="6">
        <f>IF(ISBLANK('Paste Full'!BV27),"",'Paste Full'!BV27)</f>
        <v/>
      </c>
      <c r="BH27" s="6">
        <f>IF(ISBLANK('Paste Full'!BX27),"",'Paste Full'!BX27)</f>
        <v/>
      </c>
      <c r="BI27" s="6">
        <f>IF(ISBLANK('Paste Full'!BY27),"",'Paste Full'!BY27)</f>
        <v/>
      </c>
      <c r="BJ27" s="13">
        <f>IF(ISBLANK('Paste Full'!BL27),"",'Paste Full'!BL27)</f>
        <v/>
      </c>
      <c r="BK27" s="13">
        <f>IF(ISBLANK('Paste Full'!BQ27),"",'Paste Full'!BQ27)</f>
        <v/>
      </c>
      <c r="BL27" s="13">
        <f>IF(ISBLANK('Paste Full'!BT27),"",'Paste Full'!BT27)</f>
        <v/>
      </c>
      <c r="BM27" s="13">
        <f>IF(ISBLANK('Paste Full'!BW27),"",'Paste Full'!BW27)</f>
        <v/>
      </c>
    </row>
    <row r="28">
      <c r="A28">
        <f>IF(ISBLANK('Paste Full'!C28),"",'Paste Full'!C28)</f>
        <v/>
      </c>
      <c r="B28">
        <f>INDEX($J$1:$R$1, MATCH(MAX($J28:$R28), $J28:$R28, 0))</f>
        <v/>
      </c>
      <c r="C28" s="45">
        <f>IF(ISBLANK('Paste Full'!H28),"",'Paste Full'!H28)</f>
        <v/>
      </c>
      <c r="D28" s="45">
        <f>IF(ISBLANK('Paste Full'!F28),"",'Paste Full'!F28)</f>
        <v/>
      </c>
      <c r="E28" s="45">
        <f>IF(ISBLANK('Paste Full'!G28),"",'Paste Full'!G28)</f>
        <v/>
      </c>
      <c r="F28" s="21">
        <f>IF(ISBLANK('Paste Full'!E28),"",'Paste Full'!E28)</f>
        <v/>
      </c>
      <c r="G28">
        <f>IF(ISBLANK('Paste Full'!CI28),"",'Paste Full'!CI28)</f>
        <v/>
      </c>
      <c r="H28" s="21">
        <f>IF(ISBLANK('Paste Full'!J28),"",'Paste Full'!J28)</f>
        <v/>
      </c>
      <c r="I28" s="21">
        <f>IF(ISBLANK('Paste Full'!D28),"",'Paste Full'!D28)</f>
        <v/>
      </c>
      <c r="J28" s="14">
        <f>AVERAGE(SUMPRODUCT($S28:$BM28,AttWeights!$C$10:$AW$10)/SUM(AttWeights!$C$10:$AW$10),SUMPRODUCT($S28:$BM28,AttWeights!$C$17:$AW$17)/SUM(AttWeights!$C$17:$AW$17))*10</f>
        <v/>
      </c>
      <c r="K28" s="14">
        <f>AVERAGE(SUMPRODUCT($S28:$BM28,AttWeights!$C$7:$AW$7)/SUM(AttWeights!$C$7:$AW$7),SUMPRODUCT($S28:$BM28,AttWeights!$C$15:$AW$15)/SUM(AttWeights!$C$15:$AW$15))*10</f>
        <v/>
      </c>
      <c r="L28" s="14">
        <f>AVERAGE(SUMPRODUCT($S28:$BM28,AttWeights!$C$8:$AW$8)/SUM(AttWeights!$C$8:$AW$8),SUMPRODUCT($S28:$BM28,AttWeights!$C$16:$AW$16)/SUM(AttWeights!$C$16:$AW$16))*10</f>
        <v/>
      </c>
      <c r="M28" s="14">
        <f>AVERAGE(SUMPRODUCT($S28:$BM28,AttWeights!$C$9:$AW$9)/SUM(AttWeights!$C$9:$AW$9),SUMPRODUCT($S28:$BM28,AttWeights!$C$15:$AW$15)/SUM(AttWeights!$C$15:$AW$15))*10</f>
        <v/>
      </c>
      <c r="N28" s="14">
        <f>AVERAGE(SUMPRODUCT($S28:$BM28,AttWeights!$C$6:$AW$6)/SUM(AttWeights!$C$6:$AW$6),SUMPRODUCT($S28:$BM28,AttWeights!$C$14:$AW$14)/SUM(AttWeights!$C$14:$AW$14))*10</f>
        <v/>
      </c>
      <c r="O28" s="14">
        <f>AVERAGE(SUMPRODUCT($S28:$BM28,AttWeights!$C$5:$AW$5)/SUM(AttWeights!$C$5:$AW$5),SUMPRODUCT($S28:$BM28,AttWeights!$C$14:$AW$14)/SUM(AttWeights!$C$14:$AW$14))*10</f>
        <v/>
      </c>
      <c r="P28" s="14">
        <f>AVERAGE(SUMPRODUCT($S28:$BM28,AttWeights!$C$4:$AW$4)/SUM(AttWeights!$C$4:$AW$4),SUMPRODUCT($S28:$BM28,AttWeights!$C$13:$AW$13)/SUM(AttWeights!$C$13:$AW$13))*10</f>
        <v/>
      </c>
      <c r="Q28" s="14">
        <f>AVERAGE(SUMPRODUCT($S28:$BM28,AttWeights!$C$3:$AW$3)/SUM(AttWeights!$C$3:$AW$3),SUMPRODUCT($S28:$BM28,AttWeights!$C$12:$AW$12)/SUM(AttWeights!$C$12:$AW$12))*10</f>
        <v/>
      </c>
      <c r="R28" s="14">
        <f>AVERAGE(SUMPRODUCT($S28:$BM28,AttWeights!$C$2:$AW$2)/SUM(AttWeights!$C$2:$AW$2),SUMPRODUCT($S28:$BM28,AttWeights!$C$11:$AW$11)/SUM(AttWeights!$C$11:$AW$11))*10</f>
        <v/>
      </c>
      <c r="S28" s="3">
        <f>IF(ISBLANK('Paste Full'!AC28),"",'Paste Full'!AC28)</f>
        <v/>
      </c>
      <c r="T28" s="3">
        <f>IF(ISBLANK('Paste Full'!AD28),"",'Paste Full'!AD28)</f>
        <v/>
      </c>
      <c r="U28" s="3">
        <f>IF(ISBLANK('Paste Full'!AE28),"",'Paste Full'!AE28)</f>
        <v/>
      </c>
      <c r="V28" s="3">
        <f>IF(ISBLANK('Paste Full'!AF28),"",'Paste Full'!AF28)</f>
        <v/>
      </c>
      <c r="W28" s="3">
        <f>IF(ISBLANK('Paste Full'!AH28),"",'Paste Full'!AH28)</f>
        <v/>
      </c>
      <c r="X28" s="3">
        <f>IF(ISBLANK('Paste Full'!AI28),"",'Paste Full'!AI28)</f>
        <v/>
      </c>
      <c r="Y28" s="3">
        <f>IF(ISBLANK('Paste Full'!AK28),"",'Paste Full'!AK28)</f>
        <v/>
      </c>
      <c r="Z28" s="3">
        <f>IF(ISBLANK('Paste Full'!AL28),"",'Paste Full'!AL28)</f>
        <v/>
      </c>
      <c r="AA28" s="4">
        <f>IF(ISBLANK('Paste Full'!AM28),"",'Paste Full'!AM28)</f>
        <v/>
      </c>
      <c r="AB28" s="4">
        <f>IF(ISBLANK('Paste Full'!AN28),"",'Paste Full'!AN28)</f>
        <v/>
      </c>
      <c r="AC28" s="4">
        <f>IF(ISBLANK('Paste Full'!AO28),"",'Paste Full'!AO28)</f>
        <v/>
      </c>
      <c r="AD28" s="4">
        <f>IF(ISBLANK('Paste Full'!AP28),"",'Paste Full'!AP28)</f>
        <v/>
      </c>
      <c r="AE28" s="4">
        <f>IF(ISBLANK('Paste Full'!AQ28),"",'Paste Full'!AQ28)</f>
        <v/>
      </c>
      <c r="AF28" s="4">
        <f>IF(ISBLANK('Paste Full'!AR28),"",'Paste Full'!AR28)</f>
        <v/>
      </c>
      <c r="AG28" s="4">
        <f>IF(ISBLANK('Paste Full'!AS28),"",'Paste Full'!AS28)</f>
        <v/>
      </c>
      <c r="AH28" s="4">
        <f>IF(ISBLANK('Paste Full'!AV28),"",'Paste Full'!AV28)</f>
        <v/>
      </c>
      <c r="AI28" s="4">
        <f>IF(ISBLANK('Paste Full'!AT28),"",'Paste Full'!AT28)</f>
        <v/>
      </c>
      <c r="AJ28" s="4">
        <f>IF(ISBLANK('Paste Full'!AU28),"",'Paste Full'!AU28)</f>
        <v/>
      </c>
      <c r="AK28" s="4">
        <f>IF(ISBLANK('Paste Full'!AW28),"",'Paste Full'!AW28)</f>
        <v/>
      </c>
      <c r="AL28" s="5">
        <f>IF(ISBLANK('Paste Full'!AX28),"",'Paste Full'!AX28)</f>
        <v/>
      </c>
      <c r="AM28" s="5">
        <f>IF(ISBLANK('Paste Full'!AY28),"",'Paste Full'!AY28)</f>
        <v/>
      </c>
      <c r="AN28" s="5">
        <f>IF(ISBLANK('Paste Full'!AZ28),"",'Paste Full'!AZ28)</f>
        <v/>
      </c>
      <c r="AO28" s="5">
        <f>IF(ISBLANK('Paste Full'!BA28),"",'Paste Full'!BA28)</f>
        <v/>
      </c>
      <c r="AP28" s="5">
        <f>IF(ISBLANK('Paste Full'!BB28),"",'Paste Full'!BB28)</f>
        <v/>
      </c>
      <c r="AQ28" s="5">
        <f>IF(ISBLANK('Paste Full'!BC28),"",'Paste Full'!BC28)</f>
        <v/>
      </c>
      <c r="AR28" s="5">
        <f>IF(ISBLANK('Paste Full'!BD28),"",'Paste Full'!BD28)</f>
        <v/>
      </c>
      <c r="AS28" s="5">
        <f>IF(ISBLANK('Paste Full'!BE28),"",'Paste Full'!BE28)</f>
        <v/>
      </c>
      <c r="AT28" s="5">
        <f>IF(ISBLANK('Paste Full'!BF28),"",'Paste Full'!BF28)</f>
        <v/>
      </c>
      <c r="AU28" s="5">
        <f>IF(ISBLANK('Paste Full'!BG28),"",'Paste Full'!BG28)</f>
        <v/>
      </c>
      <c r="AV28" s="5">
        <f>IF(ISBLANK('Paste Full'!BH28),"",'Paste Full'!BH28)</f>
        <v/>
      </c>
      <c r="AW28" s="5">
        <f>IF(ISBLANK('Paste Full'!BI28),"",'Paste Full'!BI28)</f>
        <v/>
      </c>
      <c r="AX28" s="5">
        <f>IF(ISBLANK('Paste Full'!BJ28),"",'Paste Full'!BJ28)</f>
        <v/>
      </c>
      <c r="AY28" s="5">
        <f>IF(ISBLANK('Paste Full'!BK28),"",'Paste Full'!BK28)</f>
        <v/>
      </c>
      <c r="AZ28" s="6">
        <f>IF(ISBLANK('Paste Full'!BM28),"",'Paste Full'!BM28)</f>
        <v/>
      </c>
      <c r="BA28" s="6">
        <f>IF(ISBLANK('Paste Full'!BN28),"",'Paste Full'!BN28)</f>
        <v/>
      </c>
      <c r="BB28" s="6">
        <f>IF(ISBLANK('Paste Full'!BO28),"",'Paste Full'!BO28)</f>
        <v/>
      </c>
      <c r="BC28" s="6">
        <f>IF(ISBLANK('Paste Full'!BP28),"",'Paste Full'!BP28)</f>
        <v/>
      </c>
      <c r="BD28" s="6">
        <f>IF(ISBLANK('Paste Full'!BR28),"",'Paste Full'!BR28)</f>
        <v/>
      </c>
      <c r="BE28" s="6">
        <f>IF(ISBLANK('Paste Full'!BS28),"",'Paste Full'!BS28)</f>
        <v/>
      </c>
      <c r="BF28" s="6">
        <f>IF(ISBLANK('Paste Full'!BU28),"",'Paste Full'!BU28)</f>
        <v/>
      </c>
      <c r="BG28" s="6">
        <f>IF(ISBLANK('Paste Full'!BV28),"",'Paste Full'!BV28)</f>
        <v/>
      </c>
      <c r="BH28" s="6">
        <f>IF(ISBLANK('Paste Full'!BX28),"",'Paste Full'!BX28)</f>
        <v/>
      </c>
      <c r="BI28" s="6">
        <f>IF(ISBLANK('Paste Full'!BY28),"",'Paste Full'!BY28)</f>
        <v/>
      </c>
      <c r="BJ28" s="13">
        <f>IF(ISBLANK('Paste Full'!BL28),"",'Paste Full'!BL28)</f>
        <v/>
      </c>
      <c r="BK28" s="13">
        <f>IF(ISBLANK('Paste Full'!BQ28),"",'Paste Full'!BQ28)</f>
        <v/>
      </c>
      <c r="BL28" s="13">
        <f>IF(ISBLANK('Paste Full'!BT28),"",'Paste Full'!BT28)</f>
        <v/>
      </c>
      <c r="BM28" s="13">
        <f>IF(ISBLANK('Paste Full'!BW28),"",'Paste Full'!BW28)</f>
        <v/>
      </c>
    </row>
    <row r="29">
      <c r="A29">
        <f>IF(ISBLANK('Paste Full'!C29),"",'Paste Full'!C29)</f>
        <v/>
      </c>
      <c r="B29">
        <f>INDEX($J$1:$R$1, MATCH(MAX($J29:$R29), $J29:$R29, 0))</f>
        <v/>
      </c>
      <c r="C29" s="45">
        <f>IF(ISBLANK('Paste Full'!H29),"",'Paste Full'!H29)</f>
        <v/>
      </c>
      <c r="D29" s="45">
        <f>IF(ISBLANK('Paste Full'!F29),"",'Paste Full'!F29)</f>
        <v/>
      </c>
      <c r="E29" s="45">
        <f>IF(ISBLANK('Paste Full'!G29),"",'Paste Full'!G29)</f>
        <v/>
      </c>
      <c r="F29" s="21">
        <f>IF(ISBLANK('Paste Full'!E29),"",'Paste Full'!E29)</f>
        <v/>
      </c>
      <c r="G29">
        <f>IF(ISBLANK('Paste Full'!CI29),"",'Paste Full'!CI29)</f>
        <v/>
      </c>
      <c r="H29" s="21">
        <f>IF(ISBLANK('Paste Full'!J29),"",'Paste Full'!J29)</f>
        <v/>
      </c>
      <c r="I29" s="21">
        <f>IF(ISBLANK('Paste Full'!D29),"",'Paste Full'!D29)</f>
        <v/>
      </c>
      <c r="J29" s="14">
        <f>AVERAGE(SUMPRODUCT($S29:$BM29,AttWeights!$C$10:$AW$10)/SUM(AttWeights!$C$10:$AW$10),SUMPRODUCT($S29:$BM29,AttWeights!$C$17:$AW$17)/SUM(AttWeights!$C$17:$AW$17))*10</f>
        <v/>
      </c>
      <c r="K29" s="14">
        <f>AVERAGE(SUMPRODUCT($S29:$BM29,AttWeights!$C$7:$AW$7)/SUM(AttWeights!$C$7:$AW$7),SUMPRODUCT($S29:$BM29,AttWeights!$C$15:$AW$15)/SUM(AttWeights!$C$15:$AW$15))*10</f>
        <v/>
      </c>
      <c r="L29" s="14">
        <f>AVERAGE(SUMPRODUCT($S29:$BM29,AttWeights!$C$8:$AW$8)/SUM(AttWeights!$C$8:$AW$8),SUMPRODUCT($S29:$BM29,AttWeights!$C$16:$AW$16)/SUM(AttWeights!$C$16:$AW$16))*10</f>
        <v/>
      </c>
      <c r="M29" s="14">
        <f>AVERAGE(SUMPRODUCT($S29:$BM29,AttWeights!$C$9:$AW$9)/SUM(AttWeights!$C$9:$AW$9),SUMPRODUCT($S29:$BM29,AttWeights!$C$15:$AW$15)/SUM(AttWeights!$C$15:$AW$15))*10</f>
        <v/>
      </c>
      <c r="N29" s="14">
        <f>AVERAGE(SUMPRODUCT($S29:$BM29,AttWeights!$C$6:$AW$6)/SUM(AttWeights!$C$6:$AW$6),SUMPRODUCT($S29:$BM29,AttWeights!$C$14:$AW$14)/SUM(AttWeights!$C$14:$AW$14))*10</f>
        <v/>
      </c>
      <c r="O29" s="14">
        <f>AVERAGE(SUMPRODUCT($S29:$BM29,AttWeights!$C$5:$AW$5)/SUM(AttWeights!$C$5:$AW$5),SUMPRODUCT($S29:$BM29,AttWeights!$C$14:$AW$14)/SUM(AttWeights!$C$14:$AW$14))*10</f>
        <v/>
      </c>
      <c r="P29" s="14">
        <f>AVERAGE(SUMPRODUCT($S29:$BM29,AttWeights!$C$4:$AW$4)/SUM(AttWeights!$C$4:$AW$4),SUMPRODUCT($S29:$BM29,AttWeights!$C$13:$AW$13)/SUM(AttWeights!$C$13:$AW$13))*10</f>
        <v/>
      </c>
      <c r="Q29" s="14">
        <f>AVERAGE(SUMPRODUCT($S29:$BM29,AttWeights!$C$3:$AW$3)/SUM(AttWeights!$C$3:$AW$3),SUMPRODUCT($S29:$BM29,AttWeights!$C$12:$AW$12)/SUM(AttWeights!$C$12:$AW$12))*10</f>
        <v/>
      </c>
      <c r="R29" s="14">
        <f>AVERAGE(SUMPRODUCT($S29:$BM29,AttWeights!$C$2:$AW$2)/SUM(AttWeights!$C$2:$AW$2),SUMPRODUCT($S29:$BM29,AttWeights!$C$11:$AW$11)/SUM(AttWeights!$C$11:$AW$11))*10</f>
        <v/>
      </c>
      <c r="S29" s="3">
        <f>IF(ISBLANK('Paste Full'!AC29),"",'Paste Full'!AC29)</f>
        <v/>
      </c>
      <c r="T29" s="3">
        <f>IF(ISBLANK('Paste Full'!AD29),"",'Paste Full'!AD29)</f>
        <v/>
      </c>
      <c r="U29" s="3">
        <f>IF(ISBLANK('Paste Full'!AE29),"",'Paste Full'!AE29)</f>
        <v/>
      </c>
      <c r="V29" s="3">
        <f>IF(ISBLANK('Paste Full'!AF29),"",'Paste Full'!AF29)</f>
        <v/>
      </c>
      <c r="W29" s="3">
        <f>IF(ISBLANK('Paste Full'!AH29),"",'Paste Full'!AH29)</f>
        <v/>
      </c>
      <c r="X29" s="3">
        <f>IF(ISBLANK('Paste Full'!AI29),"",'Paste Full'!AI29)</f>
        <v/>
      </c>
      <c r="Y29" s="3">
        <f>IF(ISBLANK('Paste Full'!AK29),"",'Paste Full'!AK29)</f>
        <v/>
      </c>
      <c r="Z29" s="3">
        <f>IF(ISBLANK('Paste Full'!AL29),"",'Paste Full'!AL29)</f>
        <v/>
      </c>
      <c r="AA29" s="4">
        <f>IF(ISBLANK('Paste Full'!AM29),"",'Paste Full'!AM29)</f>
        <v/>
      </c>
      <c r="AB29" s="4">
        <f>IF(ISBLANK('Paste Full'!AN29),"",'Paste Full'!AN29)</f>
        <v/>
      </c>
      <c r="AC29" s="4">
        <f>IF(ISBLANK('Paste Full'!AO29),"",'Paste Full'!AO29)</f>
        <v/>
      </c>
      <c r="AD29" s="4">
        <f>IF(ISBLANK('Paste Full'!AP29),"",'Paste Full'!AP29)</f>
        <v/>
      </c>
      <c r="AE29" s="4">
        <f>IF(ISBLANK('Paste Full'!AQ29),"",'Paste Full'!AQ29)</f>
        <v/>
      </c>
      <c r="AF29" s="4">
        <f>IF(ISBLANK('Paste Full'!AR29),"",'Paste Full'!AR29)</f>
        <v/>
      </c>
      <c r="AG29" s="4">
        <f>IF(ISBLANK('Paste Full'!AS29),"",'Paste Full'!AS29)</f>
        <v/>
      </c>
      <c r="AH29" s="4">
        <f>IF(ISBLANK('Paste Full'!AV29),"",'Paste Full'!AV29)</f>
        <v/>
      </c>
      <c r="AI29" s="4">
        <f>IF(ISBLANK('Paste Full'!AT29),"",'Paste Full'!AT29)</f>
        <v/>
      </c>
      <c r="AJ29" s="4">
        <f>IF(ISBLANK('Paste Full'!AU29),"",'Paste Full'!AU29)</f>
        <v/>
      </c>
      <c r="AK29" s="4">
        <f>IF(ISBLANK('Paste Full'!AW29),"",'Paste Full'!AW29)</f>
        <v/>
      </c>
      <c r="AL29" s="5">
        <f>IF(ISBLANK('Paste Full'!AX29),"",'Paste Full'!AX29)</f>
        <v/>
      </c>
      <c r="AM29" s="5">
        <f>IF(ISBLANK('Paste Full'!AY29),"",'Paste Full'!AY29)</f>
        <v/>
      </c>
      <c r="AN29" s="5">
        <f>IF(ISBLANK('Paste Full'!AZ29),"",'Paste Full'!AZ29)</f>
        <v/>
      </c>
      <c r="AO29" s="5">
        <f>IF(ISBLANK('Paste Full'!BA29),"",'Paste Full'!BA29)</f>
        <v/>
      </c>
      <c r="AP29" s="5">
        <f>IF(ISBLANK('Paste Full'!BB29),"",'Paste Full'!BB29)</f>
        <v/>
      </c>
      <c r="AQ29" s="5">
        <f>IF(ISBLANK('Paste Full'!BC29),"",'Paste Full'!BC29)</f>
        <v/>
      </c>
      <c r="AR29" s="5">
        <f>IF(ISBLANK('Paste Full'!BD29),"",'Paste Full'!BD29)</f>
        <v/>
      </c>
      <c r="AS29" s="5">
        <f>IF(ISBLANK('Paste Full'!BE29),"",'Paste Full'!BE29)</f>
        <v/>
      </c>
      <c r="AT29" s="5">
        <f>IF(ISBLANK('Paste Full'!BF29),"",'Paste Full'!BF29)</f>
        <v/>
      </c>
      <c r="AU29" s="5">
        <f>IF(ISBLANK('Paste Full'!BG29),"",'Paste Full'!BG29)</f>
        <v/>
      </c>
      <c r="AV29" s="5">
        <f>IF(ISBLANK('Paste Full'!BH29),"",'Paste Full'!BH29)</f>
        <v/>
      </c>
      <c r="AW29" s="5">
        <f>IF(ISBLANK('Paste Full'!BI29),"",'Paste Full'!BI29)</f>
        <v/>
      </c>
      <c r="AX29" s="5">
        <f>IF(ISBLANK('Paste Full'!BJ29),"",'Paste Full'!BJ29)</f>
        <v/>
      </c>
      <c r="AY29" s="5">
        <f>IF(ISBLANK('Paste Full'!BK29),"",'Paste Full'!BK29)</f>
        <v/>
      </c>
      <c r="AZ29" s="6">
        <f>IF(ISBLANK('Paste Full'!BM29),"",'Paste Full'!BM29)</f>
        <v/>
      </c>
      <c r="BA29" s="6">
        <f>IF(ISBLANK('Paste Full'!BN29),"",'Paste Full'!BN29)</f>
        <v/>
      </c>
      <c r="BB29" s="6">
        <f>IF(ISBLANK('Paste Full'!BO29),"",'Paste Full'!BO29)</f>
        <v/>
      </c>
      <c r="BC29" s="6">
        <f>IF(ISBLANK('Paste Full'!BP29),"",'Paste Full'!BP29)</f>
        <v/>
      </c>
      <c r="BD29" s="6">
        <f>IF(ISBLANK('Paste Full'!BR29),"",'Paste Full'!BR29)</f>
        <v/>
      </c>
      <c r="BE29" s="6">
        <f>IF(ISBLANK('Paste Full'!BS29),"",'Paste Full'!BS29)</f>
        <v/>
      </c>
      <c r="BF29" s="6">
        <f>IF(ISBLANK('Paste Full'!BU29),"",'Paste Full'!BU29)</f>
        <v/>
      </c>
      <c r="BG29" s="6">
        <f>IF(ISBLANK('Paste Full'!BV29),"",'Paste Full'!BV29)</f>
        <v/>
      </c>
      <c r="BH29" s="6">
        <f>IF(ISBLANK('Paste Full'!BX29),"",'Paste Full'!BX29)</f>
        <v/>
      </c>
      <c r="BI29" s="6">
        <f>IF(ISBLANK('Paste Full'!BY29),"",'Paste Full'!BY29)</f>
        <v/>
      </c>
      <c r="BJ29" s="13">
        <f>IF(ISBLANK('Paste Full'!BL29),"",'Paste Full'!BL29)</f>
        <v/>
      </c>
      <c r="BK29" s="13">
        <f>IF(ISBLANK('Paste Full'!BQ29),"",'Paste Full'!BQ29)</f>
        <v/>
      </c>
      <c r="BL29" s="13">
        <f>IF(ISBLANK('Paste Full'!BT29),"",'Paste Full'!BT29)</f>
        <v/>
      </c>
      <c r="BM29" s="13">
        <f>IF(ISBLANK('Paste Full'!BW29),"",'Paste Full'!BW29)</f>
        <v/>
      </c>
    </row>
    <row r="30">
      <c r="A30">
        <f>IF(ISBLANK('Paste Full'!C30),"",'Paste Full'!C30)</f>
        <v/>
      </c>
      <c r="B30">
        <f>INDEX($J$1:$R$1, MATCH(MAX($J30:$R30), $J30:$R30, 0))</f>
        <v/>
      </c>
      <c r="C30" s="45">
        <f>IF(ISBLANK('Paste Full'!H30),"",'Paste Full'!H30)</f>
        <v/>
      </c>
      <c r="D30" s="45">
        <f>IF(ISBLANK('Paste Full'!F30),"",'Paste Full'!F30)</f>
        <v/>
      </c>
      <c r="E30" s="45">
        <f>IF(ISBLANK('Paste Full'!G30),"",'Paste Full'!G30)</f>
        <v/>
      </c>
      <c r="F30" s="21">
        <f>IF(ISBLANK('Paste Full'!E30),"",'Paste Full'!E30)</f>
        <v/>
      </c>
      <c r="G30">
        <f>IF(ISBLANK('Paste Full'!CI30),"",'Paste Full'!CI30)</f>
        <v/>
      </c>
      <c r="H30" s="21">
        <f>IF(ISBLANK('Paste Full'!J30),"",'Paste Full'!J30)</f>
        <v/>
      </c>
      <c r="I30" s="21">
        <f>IF(ISBLANK('Paste Full'!D30),"",'Paste Full'!D30)</f>
        <v/>
      </c>
      <c r="J30" s="14">
        <f>AVERAGE(SUMPRODUCT($S30:$BM30,AttWeights!$C$10:$AW$10)/SUM(AttWeights!$C$10:$AW$10),SUMPRODUCT($S30:$BM30,AttWeights!$C$17:$AW$17)/SUM(AttWeights!$C$17:$AW$17))*10</f>
        <v/>
      </c>
      <c r="K30" s="14">
        <f>AVERAGE(SUMPRODUCT($S30:$BM30,AttWeights!$C$7:$AW$7)/SUM(AttWeights!$C$7:$AW$7),SUMPRODUCT($S30:$BM30,AttWeights!$C$15:$AW$15)/SUM(AttWeights!$C$15:$AW$15))*10</f>
        <v/>
      </c>
      <c r="L30" s="14">
        <f>AVERAGE(SUMPRODUCT($S30:$BM30,AttWeights!$C$8:$AW$8)/SUM(AttWeights!$C$8:$AW$8),SUMPRODUCT($S30:$BM30,AttWeights!$C$16:$AW$16)/SUM(AttWeights!$C$16:$AW$16))*10</f>
        <v/>
      </c>
      <c r="M30" s="14">
        <f>AVERAGE(SUMPRODUCT($S30:$BM30,AttWeights!$C$9:$AW$9)/SUM(AttWeights!$C$9:$AW$9),SUMPRODUCT($S30:$BM30,AttWeights!$C$15:$AW$15)/SUM(AttWeights!$C$15:$AW$15))*10</f>
        <v/>
      </c>
      <c r="N30" s="14">
        <f>AVERAGE(SUMPRODUCT($S30:$BM30,AttWeights!$C$6:$AW$6)/SUM(AttWeights!$C$6:$AW$6),SUMPRODUCT($S30:$BM30,AttWeights!$C$14:$AW$14)/SUM(AttWeights!$C$14:$AW$14))*10</f>
        <v/>
      </c>
      <c r="O30" s="14">
        <f>AVERAGE(SUMPRODUCT($S30:$BM30,AttWeights!$C$5:$AW$5)/SUM(AttWeights!$C$5:$AW$5),SUMPRODUCT($S30:$BM30,AttWeights!$C$14:$AW$14)/SUM(AttWeights!$C$14:$AW$14))*10</f>
        <v/>
      </c>
      <c r="P30" s="14">
        <f>AVERAGE(SUMPRODUCT($S30:$BM30,AttWeights!$C$4:$AW$4)/SUM(AttWeights!$C$4:$AW$4),SUMPRODUCT($S30:$BM30,AttWeights!$C$13:$AW$13)/SUM(AttWeights!$C$13:$AW$13))*10</f>
        <v/>
      </c>
      <c r="Q30" s="14">
        <f>AVERAGE(SUMPRODUCT($S30:$BM30,AttWeights!$C$3:$AW$3)/SUM(AttWeights!$C$3:$AW$3),SUMPRODUCT($S30:$BM30,AttWeights!$C$12:$AW$12)/SUM(AttWeights!$C$12:$AW$12))*10</f>
        <v/>
      </c>
      <c r="R30" s="14">
        <f>AVERAGE(SUMPRODUCT($S30:$BM30,AttWeights!$C$2:$AW$2)/SUM(AttWeights!$C$2:$AW$2),SUMPRODUCT($S30:$BM30,AttWeights!$C$11:$AW$11)/SUM(AttWeights!$C$11:$AW$11))*10</f>
        <v/>
      </c>
      <c r="S30" s="3">
        <f>IF(ISBLANK('Paste Full'!AC30),"",'Paste Full'!AC30)</f>
        <v/>
      </c>
      <c r="T30" s="3">
        <f>IF(ISBLANK('Paste Full'!AD30),"",'Paste Full'!AD30)</f>
        <v/>
      </c>
      <c r="U30" s="3">
        <f>IF(ISBLANK('Paste Full'!AE30),"",'Paste Full'!AE30)</f>
        <v/>
      </c>
      <c r="V30" s="3">
        <f>IF(ISBLANK('Paste Full'!AF30),"",'Paste Full'!AF30)</f>
        <v/>
      </c>
      <c r="W30" s="3">
        <f>IF(ISBLANK('Paste Full'!AH30),"",'Paste Full'!AH30)</f>
        <v/>
      </c>
      <c r="X30" s="3">
        <f>IF(ISBLANK('Paste Full'!AI30),"",'Paste Full'!AI30)</f>
        <v/>
      </c>
      <c r="Y30" s="3">
        <f>IF(ISBLANK('Paste Full'!AK30),"",'Paste Full'!AK30)</f>
        <v/>
      </c>
      <c r="Z30" s="3">
        <f>IF(ISBLANK('Paste Full'!AL30),"",'Paste Full'!AL30)</f>
        <v/>
      </c>
      <c r="AA30" s="4">
        <f>IF(ISBLANK('Paste Full'!AM30),"",'Paste Full'!AM30)</f>
        <v/>
      </c>
      <c r="AB30" s="4">
        <f>IF(ISBLANK('Paste Full'!AN30),"",'Paste Full'!AN30)</f>
        <v/>
      </c>
      <c r="AC30" s="4">
        <f>IF(ISBLANK('Paste Full'!AO30),"",'Paste Full'!AO30)</f>
        <v/>
      </c>
      <c r="AD30" s="4">
        <f>IF(ISBLANK('Paste Full'!AP30),"",'Paste Full'!AP30)</f>
        <v/>
      </c>
      <c r="AE30" s="4">
        <f>IF(ISBLANK('Paste Full'!AQ30),"",'Paste Full'!AQ30)</f>
        <v/>
      </c>
      <c r="AF30" s="4">
        <f>IF(ISBLANK('Paste Full'!AR30),"",'Paste Full'!AR30)</f>
        <v/>
      </c>
      <c r="AG30" s="4">
        <f>IF(ISBLANK('Paste Full'!AS30),"",'Paste Full'!AS30)</f>
        <v/>
      </c>
      <c r="AH30" s="4">
        <f>IF(ISBLANK('Paste Full'!AV30),"",'Paste Full'!AV30)</f>
        <v/>
      </c>
      <c r="AI30" s="4">
        <f>IF(ISBLANK('Paste Full'!AT30),"",'Paste Full'!AT30)</f>
        <v/>
      </c>
      <c r="AJ30" s="4">
        <f>IF(ISBLANK('Paste Full'!AU30),"",'Paste Full'!AU30)</f>
        <v/>
      </c>
      <c r="AK30" s="4">
        <f>IF(ISBLANK('Paste Full'!AW30),"",'Paste Full'!AW30)</f>
        <v/>
      </c>
      <c r="AL30" s="5">
        <f>IF(ISBLANK('Paste Full'!AX30),"",'Paste Full'!AX30)</f>
        <v/>
      </c>
      <c r="AM30" s="5">
        <f>IF(ISBLANK('Paste Full'!AY30),"",'Paste Full'!AY30)</f>
        <v/>
      </c>
      <c r="AN30" s="5">
        <f>IF(ISBLANK('Paste Full'!AZ30),"",'Paste Full'!AZ30)</f>
        <v/>
      </c>
      <c r="AO30" s="5">
        <f>IF(ISBLANK('Paste Full'!BA30),"",'Paste Full'!BA30)</f>
        <v/>
      </c>
      <c r="AP30" s="5">
        <f>IF(ISBLANK('Paste Full'!BB30),"",'Paste Full'!BB30)</f>
        <v/>
      </c>
      <c r="AQ30" s="5">
        <f>IF(ISBLANK('Paste Full'!BC30),"",'Paste Full'!BC30)</f>
        <v/>
      </c>
      <c r="AR30" s="5">
        <f>IF(ISBLANK('Paste Full'!BD30),"",'Paste Full'!BD30)</f>
        <v/>
      </c>
      <c r="AS30" s="5">
        <f>IF(ISBLANK('Paste Full'!BE30),"",'Paste Full'!BE30)</f>
        <v/>
      </c>
      <c r="AT30" s="5">
        <f>IF(ISBLANK('Paste Full'!BF30),"",'Paste Full'!BF30)</f>
        <v/>
      </c>
      <c r="AU30" s="5">
        <f>IF(ISBLANK('Paste Full'!BG30),"",'Paste Full'!BG30)</f>
        <v/>
      </c>
      <c r="AV30" s="5">
        <f>IF(ISBLANK('Paste Full'!BH30),"",'Paste Full'!BH30)</f>
        <v/>
      </c>
      <c r="AW30" s="5">
        <f>IF(ISBLANK('Paste Full'!BI30),"",'Paste Full'!BI30)</f>
        <v/>
      </c>
      <c r="AX30" s="5">
        <f>IF(ISBLANK('Paste Full'!BJ30),"",'Paste Full'!BJ30)</f>
        <v/>
      </c>
      <c r="AY30" s="5">
        <f>IF(ISBLANK('Paste Full'!BK30),"",'Paste Full'!BK30)</f>
        <v/>
      </c>
      <c r="AZ30" s="6">
        <f>IF(ISBLANK('Paste Full'!BM30),"",'Paste Full'!BM30)</f>
        <v/>
      </c>
      <c r="BA30" s="6">
        <f>IF(ISBLANK('Paste Full'!BN30),"",'Paste Full'!BN30)</f>
        <v/>
      </c>
      <c r="BB30" s="6">
        <f>IF(ISBLANK('Paste Full'!BO30),"",'Paste Full'!BO30)</f>
        <v/>
      </c>
      <c r="BC30" s="6">
        <f>IF(ISBLANK('Paste Full'!BP30),"",'Paste Full'!BP30)</f>
        <v/>
      </c>
      <c r="BD30" s="6">
        <f>IF(ISBLANK('Paste Full'!BR30),"",'Paste Full'!BR30)</f>
        <v/>
      </c>
      <c r="BE30" s="6">
        <f>IF(ISBLANK('Paste Full'!BS30),"",'Paste Full'!BS30)</f>
        <v/>
      </c>
      <c r="BF30" s="6">
        <f>IF(ISBLANK('Paste Full'!BU30),"",'Paste Full'!BU30)</f>
        <v/>
      </c>
      <c r="BG30" s="6">
        <f>IF(ISBLANK('Paste Full'!BV30),"",'Paste Full'!BV30)</f>
        <v/>
      </c>
      <c r="BH30" s="6">
        <f>IF(ISBLANK('Paste Full'!BX30),"",'Paste Full'!BX30)</f>
        <v/>
      </c>
      <c r="BI30" s="6">
        <f>IF(ISBLANK('Paste Full'!BY30),"",'Paste Full'!BY30)</f>
        <v/>
      </c>
      <c r="BJ30" s="13">
        <f>IF(ISBLANK('Paste Full'!BL30),"",'Paste Full'!BL30)</f>
        <v/>
      </c>
      <c r="BK30" s="13">
        <f>IF(ISBLANK('Paste Full'!BQ30),"",'Paste Full'!BQ30)</f>
        <v/>
      </c>
      <c r="BL30" s="13">
        <f>IF(ISBLANK('Paste Full'!BT30),"",'Paste Full'!BT30)</f>
        <v/>
      </c>
      <c r="BM30" s="13">
        <f>IF(ISBLANK('Paste Full'!BW30),"",'Paste Full'!BW30)</f>
        <v/>
      </c>
    </row>
    <row r="31">
      <c r="A31">
        <f>IF(ISBLANK('Paste Full'!C31),"",'Paste Full'!C31)</f>
        <v/>
      </c>
      <c r="B31">
        <f>INDEX($J$1:$R$1, MATCH(MAX($J31:$R31), $J31:$R31, 0))</f>
        <v/>
      </c>
      <c r="C31" s="45">
        <f>IF(ISBLANK('Paste Full'!H31),"",'Paste Full'!H31)</f>
        <v/>
      </c>
      <c r="D31" s="45">
        <f>IF(ISBLANK('Paste Full'!F31),"",'Paste Full'!F31)</f>
        <v/>
      </c>
      <c r="E31" s="45">
        <f>IF(ISBLANK('Paste Full'!G31),"",'Paste Full'!G31)</f>
        <v/>
      </c>
      <c r="F31" s="21">
        <f>IF(ISBLANK('Paste Full'!E31),"",'Paste Full'!E31)</f>
        <v/>
      </c>
      <c r="G31">
        <f>IF(ISBLANK('Paste Full'!CI31),"",'Paste Full'!CI31)</f>
        <v/>
      </c>
      <c r="H31" s="21">
        <f>IF(ISBLANK('Paste Full'!J31),"",'Paste Full'!J31)</f>
        <v/>
      </c>
      <c r="I31" s="21">
        <f>IF(ISBLANK('Paste Full'!D31),"",'Paste Full'!D31)</f>
        <v/>
      </c>
      <c r="J31" s="14">
        <f>AVERAGE(SUMPRODUCT($S31:$BM31,AttWeights!$C$10:$AW$10)/SUM(AttWeights!$C$10:$AW$10),SUMPRODUCT($S31:$BM31,AttWeights!$C$17:$AW$17)/SUM(AttWeights!$C$17:$AW$17))*10</f>
        <v/>
      </c>
      <c r="K31" s="14">
        <f>AVERAGE(SUMPRODUCT($S31:$BM31,AttWeights!$C$7:$AW$7)/SUM(AttWeights!$C$7:$AW$7),SUMPRODUCT($S31:$BM31,AttWeights!$C$15:$AW$15)/SUM(AttWeights!$C$15:$AW$15))*10</f>
        <v/>
      </c>
      <c r="L31" s="14">
        <f>AVERAGE(SUMPRODUCT($S31:$BM31,AttWeights!$C$8:$AW$8)/SUM(AttWeights!$C$8:$AW$8),SUMPRODUCT($S31:$BM31,AttWeights!$C$16:$AW$16)/SUM(AttWeights!$C$16:$AW$16))*10</f>
        <v/>
      </c>
      <c r="M31" s="14">
        <f>AVERAGE(SUMPRODUCT($S31:$BM31,AttWeights!$C$9:$AW$9)/SUM(AttWeights!$C$9:$AW$9),SUMPRODUCT($S31:$BM31,AttWeights!$C$15:$AW$15)/SUM(AttWeights!$C$15:$AW$15))*10</f>
        <v/>
      </c>
      <c r="N31" s="14">
        <f>AVERAGE(SUMPRODUCT($S31:$BM31,AttWeights!$C$6:$AW$6)/SUM(AttWeights!$C$6:$AW$6),SUMPRODUCT($S31:$BM31,AttWeights!$C$14:$AW$14)/SUM(AttWeights!$C$14:$AW$14))*10</f>
        <v/>
      </c>
      <c r="O31" s="14">
        <f>AVERAGE(SUMPRODUCT($S31:$BM31,AttWeights!$C$5:$AW$5)/SUM(AttWeights!$C$5:$AW$5),SUMPRODUCT($S31:$BM31,AttWeights!$C$14:$AW$14)/SUM(AttWeights!$C$14:$AW$14))*10</f>
        <v/>
      </c>
      <c r="P31" s="14">
        <f>AVERAGE(SUMPRODUCT($S31:$BM31,AttWeights!$C$4:$AW$4)/SUM(AttWeights!$C$4:$AW$4),SUMPRODUCT($S31:$BM31,AttWeights!$C$13:$AW$13)/SUM(AttWeights!$C$13:$AW$13))*10</f>
        <v/>
      </c>
      <c r="Q31" s="14">
        <f>AVERAGE(SUMPRODUCT($S31:$BM31,AttWeights!$C$3:$AW$3)/SUM(AttWeights!$C$3:$AW$3),SUMPRODUCT($S31:$BM31,AttWeights!$C$12:$AW$12)/SUM(AttWeights!$C$12:$AW$12))*10</f>
        <v/>
      </c>
      <c r="R31" s="14">
        <f>AVERAGE(SUMPRODUCT($S31:$BM31,AttWeights!$C$2:$AW$2)/SUM(AttWeights!$C$2:$AW$2),SUMPRODUCT($S31:$BM31,AttWeights!$C$11:$AW$11)/SUM(AttWeights!$C$11:$AW$11))*10</f>
        <v/>
      </c>
      <c r="S31" s="3">
        <f>IF(ISBLANK('Paste Full'!AC31),"",'Paste Full'!AC31)</f>
        <v/>
      </c>
      <c r="T31" s="3">
        <f>IF(ISBLANK('Paste Full'!AD31),"",'Paste Full'!AD31)</f>
        <v/>
      </c>
      <c r="U31" s="3">
        <f>IF(ISBLANK('Paste Full'!AE31),"",'Paste Full'!AE31)</f>
        <v/>
      </c>
      <c r="V31" s="3">
        <f>IF(ISBLANK('Paste Full'!AF31),"",'Paste Full'!AF31)</f>
        <v/>
      </c>
      <c r="W31" s="3">
        <f>IF(ISBLANK('Paste Full'!AH31),"",'Paste Full'!AH31)</f>
        <v/>
      </c>
      <c r="X31" s="3">
        <f>IF(ISBLANK('Paste Full'!AI31),"",'Paste Full'!AI31)</f>
        <v/>
      </c>
      <c r="Y31" s="3">
        <f>IF(ISBLANK('Paste Full'!AK31),"",'Paste Full'!AK31)</f>
        <v/>
      </c>
      <c r="Z31" s="3">
        <f>IF(ISBLANK('Paste Full'!AL31),"",'Paste Full'!AL31)</f>
        <v/>
      </c>
      <c r="AA31" s="4">
        <f>IF(ISBLANK('Paste Full'!AM31),"",'Paste Full'!AM31)</f>
        <v/>
      </c>
      <c r="AB31" s="4">
        <f>IF(ISBLANK('Paste Full'!AN31),"",'Paste Full'!AN31)</f>
        <v/>
      </c>
      <c r="AC31" s="4">
        <f>IF(ISBLANK('Paste Full'!AO31),"",'Paste Full'!AO31)</f>
        <v/>
      </c>
      <c r="AD31" s="4">
        <f>IF(ISBLANK('Paste Full'!AP31),"",'Paste Full'!AP31)</f>
        <v/>
      </c>
      <c r="AE31" s="4">
        <f>IF(ISBLANK('Paste Full'!AQ31),"",'Paste Full'!AQ31)</f>
        <v/>
      </c>
      <c r="AF31" s="4">
        <f>IF(ISBLANK('Paste Full'!AR31),"",'Paste Full'!AR31)</f>
        <v/>
      </c>
      <c r="AG31" s="4">
        <f>IF(ISBLANK('Paste Full'!AS31),"",'Paste Full'!AS31)</f>
        <v/>
      </c>
      <c r="AH31" s="4">
        <f>IF(ISBLANK('Paste Full'!AV31),"",'Paste Full'!AV31)</f>
        <v/>
      </c>
      <c r="AI31" s="4">
        <f>IF(ISBLANK('Paste Full'!AT31),"",'Paste Full'!AT31)</f>
        <v/>
      </c>
      <c r="AJ31" s="4">
        <f>IF(ISBLANK('Paste Full'!AU31),"",'Paste Full'!AU31)</f>
        <v/>
      </c>
      <c r="AK31" s="4">
        <f>IF(ISBLANK('Paste Full'!AW31),"",'Paste Full'!AW31)</f>
        <v/>
      </c>
      <c r="AL31" s="5">
        <f>IF(ISBLANK('Paste Full'!AX31),"",'Paste Full'!AX31)</f>
        <v/>
      </c>
      <c r="AM31" s="5">
        <f>IF(ISBLANK('Paste Full'!AY31),"",'Paste Full'!AY31)</f>
        <v/>
      </c>
      <c r="AN31" s="5">
        <f>IF(ISBLANK('Paste Full'!AZ31),"",'Paste Full'!AZ31)</f>
        <v/>
      </c>
      <c r="AO31" s="5">
        <f>IF(ISBLANK('Paste Full'!BA31),"",'Paste Full'!BA31)</f>
        <v/>
      </c>
      <c r="AP31" s="5">
        <f>IF(ISBLANK('Paste Full'!BB31),"",'Paste Full'!BB31)</f>
        <v/>
      </c>
      <c r="AQ31" s="5">
        <f>IF(ISBLANK('Paste Full'!BC31),"",'Paste Full'!BC31)</f>
        <v/>
      </c>
      <c r="AR31" s="5">
        <f>IF(ISBLANK('Paste Full'!BD31),"",'Paste Full'!BD31)</f>
        <v/>
      </c>
      <c r="AS31" s="5">
        <f>IF(ISBLANK('Paste Full'!BE31),"",'Paste Full'!BE31)</f>
        <v/>
      </c>
      <c r="AT31" s="5">
        <f>IF(ISBLANK('Paste Full'!BF31),"",'Paste Full'!BF31)</f>
        <v/>
      </c>
      <c r="AU31" s="5">
        <f>IF(ISBLANK('Paste Full'!BG31),"",'Paste Full'!BG31)</f>
        <v/>
      </c>
      <c r="AV31" s="5">
        <f>IF(ISBLANK('Paste Full'!BH31),"",'Paste Full'!BH31)</f>
        <v/>
      </c>
      <c r="AW31" s="5">
        <f>IF(ISBLANK('Paste Full'!BI31),"",'Paste Full'!BI31)</f>
        <v/>
      </c>
      <c r="AX31" s="5">
        <f>IF(ISBLANK('Paste Full'!BJ31),"",'Paste Full'!BJ31)</f>
        <v/>
      </c>
      <c r="AY31" s="5">
        <f>IF(ISBLANK('Paste Full'!BK31),"",'Paste Full'!BK31)</f>
        <v/>
      </c>
      <c r="AZ31" s="6">
        <f>IF(ISBLANK('Paste Full'!BM31),"",'Paste Full'!BM31)</f>
        <v/>
      </c>
      <c r="BA31" s="6">
        <f>IF(ISBLANK('Paste Full'!BN31),"",'Paste Full'!BN31)</f>
        <v/>
      </c>
      <c r="BB31" s="6">
        <f>IF(ISBLANK('Paste Full'!BO31),"",'Paste Full'!BO31)</f>
        <v/>
      </c>
      <c r="BC31" s="6">
        <f>IF(ISBLANK('Paste Full'!BP31),"",'Paste Full'!BP31)</f>
        <v/>
      </c>
      <c r="BD31" s="6">
        <f>IF(ISBLANK('Paste Full'!BR31),"",'Paste Full'!BR31)</f>
        <v/>
      </c>
      <c r="BE31" s="6">
        <f>IF(ISBLANK('Paste Full'!BS31),"",'Paste Full'!BS31)</f>
        <v/>
      </c>
      <c r="BF31" s="6">
        <f>IF(ISBLANK('Paste Full'!BU31),"",'Paste Full'!BU31)</f>
        <v/>
      </c>
      <c r="BG31" s="6">
        <f>IF(ISBLANK('Paste Full'!BV31),"",'Paste Full'!BV31)</f>
        <v/>
      </c>
      <c r="BH31" s="6">
        <f>IF(ISBLANK('Paste Full'!BX31),"",'Paste Full'!BX31)</f>
        <v/>
      </c>
      <c r="BI31" s="6">
        <f>IF(ISBLANK('Paste Full'!BY31),"",'Paste Full'!BY31)</f>
        <v/>
      </c>
      <c r="BJ31" s="13">
        <f>IF(ISBLANK('Paste Full'!BL31),"",'Paste Full'!BL31)</f>
        <v/>
      </c>
      <c r="BK31" s="13">
        <f>IF(ISBLANK('Paste Full'!BQ31),"",'Paste Full'!BQ31)</f>
        <v/>
      </c>
      <c r="BL31" s="13">
        <f>IF(ISBLANK('Paste Full'!BT31),"",'Paste Full'!BT31)</f>
        <v/>
      </c>
      <c r="BM31" s="13">
        <f>IF(ISBLANK('Paste Full'!BW31),"",'Paste Full'!BW31)</f>
        <v/>
      </c>
    </row>
    <row r="32">
      <c r="A32">
        <f>IF(ISBLANK('Paste Full'!C32),"",'Paste Full'!C32)</f>
        <v/>
      </c>
      <c r="B32">
        <f>INDEX($J$1:$R$1, MATCH(MAX($J32:$R32), $J32:$R32, 0))</f>
        <v/>
      </c>
      <c r="C32" s="45">
        <f>IF(ISBLANK('Paste Full'!H32),"",'Paste Full'!H32)</f>
        <v/>
      </c>
      <c r="D32" s="45">
        <f>IF(ISBLANK('Paste Full'!F32),"",'Paste Full'!F32)</f>
        <v/>
      </c>
      <c r="E32" s="45">
        <f>IF(ISBLANK('Paste Full'!G32),"",'Paste Full'!G32)</f>
        <v/>
      </c>
      <c r="F32" s="21">
        <f>IF(ISBLANK('Paste Full'!E32),"",'Paste Full'!E32)</f>
        <v/>
      </c>
      <c r="G32">
        <f>IF(ISBLANK('Paste Full'!CI32),"",'Paste Full'!CI32)</f>
        <v/>
      </c>
      <c r="H32" s="21">
        <f>IF(ISBLANK('Paste Full'!J32),"",'Paste Full'!J32)</f>
        <v/>
      </c>
      <c r="I32" s="21">
        <f>IF(ISBLANK('Paste Full'!D32),"",'Paste Full'!D32)</f>
        <v/>
      </c>
      <c r="J32" s="14">
        <f>AVERAGE(SUMPRODUCT($S32:$BM32,AttWeights!$C$10:$AW$10)/SUM(AttWeights!$C$10:$AW$10),SUMPRODUCT($S32:$BM32,AttWeights!$C$17:$AW$17)/SUM(AttWeights!$C$17:$AW$17))*10</f>
        <v/>
      </c>
      <c r="K32" s="14">
        <f>AVERAGE(SUMPRODUCT($S32:$BM32,AttWeights!$C$7:$AW$7)/SUM(AttWeights!$C$7:$AW$7),SUMPRODUCT($S32:$BM32,AttWeights!$C$15:$AW$15)/SUM(AttWeights!$C$15:$AW$15))*10</f>
        <v/>
      </c>
      <c r="L32" s="14">
        <f>AVERAGE(SUMPRODUCT($S32:$BM32,AttWeights!$C$8:$AW$8)/SUM(AttWeights!$C$8:$AW$8),SUMPRODUCT($S32:$BM32,AttWeights!$C$16:$AW$16)/SUM(AttWeights!$C$16:$AW$16))*10</f>
        <v/>
      </c>
      <c r="M32" s="14">
        <f>AVERAGE(SUMPRODUCT($S32:$BM32,AttWeights!$C$9:$AW$9)/SUM(AttWeights!$C$9:$AW$9),SUMPRODUCT($S32:$BM32,AttWeights!$C$15:$AW$15)/SUM(AttWeights!$C$15:$AW$15))*10</f>
        <v/>
      </c>
      <c r="N32" s="14">
        <f>AVERAGE(SUMPRODUCT($S32:$BM32,AttWeights!$C$6:$AW$6)/SUM(AttWeights!$C$6:$AW$6),SUMPRODUCT($S32:$BM32,AttWeights!$C$14:$AW$14)/SUM(AttWeights!$C$14:$AW$14))*10</f>
        <v/>
      </c>
      <c r="O32" s="14">
        <f>AVERAGE(SUMPRODUCT($S32:$BM32,AttWeights!$C$5:$AW$5)/SUM(AttWeights!$C$5:$AW$5),SUMPRODUCT($S32:$BM32,AttWeights!$C$14:$AW$14)/SUM(AttWeights!$C$14:$AW$14))*10</f>
        <v/>
      </c>
      <c r="P32" s="14">
        <f>AVERAGE(SUMPRODUCT($S32:$BM32,AttWeights!$C$4:$AW$4)/SUM(AttWeights!$C$4:$AW$4),SUMPRODUCT($S32:$BM32,AttWeights!$C$13:$AW$13)/SUM(AttWeights!$C$13:$AW$13))*10</f>
        <v/>
      </c>
      <c r="Q32" s="14">
        <f>AVERAGE(SUMPRODUCT($S32:$BM32,AttWeights!$C$3:$AW$3)/SUM(AttWeights!$C$3:$AW$3),SUMPRODUCT($S32:$BM32,AttWeights!$C$12:$AW$12)/SUM(AttWeights!$C$12:$AW$12))*10</f>
        <v/>
      </c>
      <c r="R32" s="14">
        <f>AVERAGE(SUMPRODUCT($S32:$BM32,AttWeights!$C$2:$AW$2)/SUM(AttWeights!$C$2:$AW$2),SUMPRODUCT($S32:$BM32,AttWeights!$C$11:$AW$11)/SUM(AttWeights!$C$11:$AW$11))*10</f>
        <v/>
      </c>
      <c r="S32" s="3">
        <f>IF(ISBLANK('Paste Full'!AC32),"",'Paste Full'!AC32)</f>
        <v/>
      </c>
      <c r="T32" s="3">
        <f>IF(ISBLANK('Paste Full'!AD32),"",'Paste Full'!AD32)</f>
        <v/>
      </c>
      <c r="U32" s="3">
        <f>IF(ISBLANK('Paste Full'!AE32),"",'Paste Full'!AE32)</f>
        <v/>
      </c>
      <c r="V32" s="3">
        <f>IF(ISBLANK('Paste Full'!AF32),"",'Paste Full'!AF32)</f>
        <v/>
      </c>
      <c r="W32" s="3">
        <f>IF(ISBLANK('Paste Full'!AH32),"",'Paste Full'!AH32)</f>
        <v/>
      </c>
      <c r="X32" s="3">
        <f>IF(ISBLANK('Paste Full'!AI32),"",'Paste Full'!AI32)</f>
        <v/>
      </c>
      <c r="Y32" s="3">
        <f>IF(ISBLANK('Paste Full'!AK32),"",'Paste Full'!AK32)</f>
        <v/>
      </c>
      <c r="Z32" s="3">
        <f>IF(ISBLANK('Paste Full'!AL32),"",'Paste Full'!AL32)</f>
        <v/>
      </c>
      <c r="AA32" s="4">
        <f>IF(ISBLANK('Paste Full'!AM32),"",'Paste Full'!AM32)</f>
        <v/>
      </c>
      <c r="AB32" s="4">
        <f>IF(ISBLANK('Paste Full'!AN32),"",'Paste Full'!AN32)</f>
        <v/>
      </c>
      <c r="AC32" s="4">
        <f>IF(ISBLANK('Paste Full'!AO32),"",'Paste Full'!AO32)</f>
        <v/>
      </c>
      <c r="AD32" s="4">
        <f>IF(ISBLANK('Paste Full'!AP32),"",'Paste Full'!AP32)</f>
        <v/>
      </c>
      <c r="AE32" s="4">
        <f>IF(ISBLANK('Paste Full'!AQ32),"",'Paste Full'!AQ32)</f>
        <v/>
      </c>
      <c r="AF32" s="4">
        <f>IF(ISBLANK('Paste Full'!AR32),"",'Paste Full'!AR32)</f>
        <v/>
      </c>
      <c r="AG32" s="4">
        <f>IF(ISBLANK('Paste Full'!AS32),"",'Paste Full'!AS32)</f>
        <v/>
      </c>
      <c r="AH32" s="4">
        <f>IF(ISBLANK('Paste Full'!AV32),"",'Paste Full'!AV32)</f>
        <v/>
      </c>
      <c r="AI32" s="4">
        <f>IF(ISBLANK('Paste Full'!AT32),"",'Paste Full'!AT32)</f>
        <v/>
      </c>
      <c r="AJ32" s="4">
        <f>IF(ISBLANK('Paste Full'!AU32),"",'Paste Full'!AU32)</f>
        <v/>
      </c>
      <c r="AK32" s="4">
        <f>IF(ISBLANK('Paste Full'!AW32),"",'Paste Full'!AW32)</f>
        <v/>
      </c>
      <c r="AL32" s="5">
        <f>IF(ISBLANK('Paste Full'!AX32),"",'Paste Full'!AX32)</f>
        <v/>
      </c>
      <c r="AM32" s="5">
        <f>IF(ISBLANK('Paste Full'!AY32),"",'Paste Full'!AY32)</f>
        <v/>
      </c>
      <c r="AN32" s="5">
        <f>IF(ISBLANK('Paste Full'!AZ32),"",'Paste Full'!AZ32)</f>
        <v/>
      </c>
      <c r="AO32" s="5">
        <f>IF(ISBLANK('Paste Full'!BA32),"",'Paste Full'!BA32)</f>
        <v/>
      </c>
      <c r="AP32" s="5">
        <f>IF(ISBLANK('Paste Full'!BB32),"",'Paste Full'!BB32)</f>
        <v/>
      </c>
      <c r="AQ32" s="5">
        <f>IF(ISBLANK('Paste Full'!BC32),"",'Paste Full'!BC32)</f>
        <v/>
      </c>
      <c r="AR32" s="5">
        <f>IF(ISBLANK('Paste Full'!BD32),"",'Paste Full'!BD32)</f>
        <v/>
      </c>
      <c r="AS32" s="5">
        <f>IF(ISBLANK('Paste Full'!BE32),"",'Paste Full'!BE32)</f>
        <v/>
      </c>
      <c r="AT32" s="5">
        <f>IF(ISBLANK('Paste Full'!BF32),"",'Paste Full'!BF32)</f>
        <v/>
      </c>
      <c r="AU32" s="5">
        <f>IF(ISBLANK('Paste Full'!BG32),"",'Paste Full'!BG32)</f>
        <v/>
      </c>
      <c r="AV32" s="5">
        <f>IF(ISBLANK('Paste Full'!BH32),"",'Paste Full'!BH32)</f>
        <v/>
      </c>
      <c r="AW32" s="5">
        <f>IF(ISBLANK('Paste Full'!BI32),"",'Paste Full'!BI32)</f>
        <v/>
      </c>
      <c r="AX32" s="5">
        <f>IF(ISBLANK('Paste Full'!BJ32),"",'Paste Full'!BJ32)</f>
        <v/>
      </c>
      <c r="AY32" s="5">
        <f>IF(ISBLANK('Paste Full'!BK32),"",'Paste Full'!BK32)</f>
        <v/>
      </c>
      <c r="AZ32" s="6">
        <f>IF(ISBLANK('Paste Full'!BM32),"",'Paste Full'!BM32)</f>
        <v/>
      </c>
      <c r="BA32" s="6">
        <f>IF(ISBLANK('Paste Full'!BN32),"",'Paste Full'!BN32)</f>
        <v/>
      </c>
      <c r="BB32" s="6">
        <f>IF(ISBLANK('Paste Full'!BO32),"",'Paste Full'!BO32)</f>
        <v/>
      </c>
      <c r="BC32" s="6">
        <f>IF(ISBLANK('Paste Full'!BP32),"",'Paste Full'!BP32)</f>
        <v/>
      </c>
      <c r="BD32" s="6">
        <f>IF(ISBLANK('Paste Full'!BR32),"",'Paste Full'!BR32)</f>
        <v/>
      </c>
      <c r="BE32" s="6">
        <f>IF(ISBLANK('Paste Full'!BS32),"",'Paste Full'!BS32)</f>
        <v/>
      </c>
      <c r="BF32" s="6">
        <f>IF(ISBLANK('Paste Full'!BU32),"",'Paste Full'!BU32)</f>
        <v/>
      </c>
      <c r="BG32" s="6">
        <f>IF(ISBLANK('Paste Full'!BV32),"",'Paste Full'!BV32)</f>
        <v/>
      </c>
      <c r="BH32" s="6">
        <f>IF(ISBLANK('Paste Full'!BX32),"",'Paste Full'!BX32)</f>
        <v/>
      </c>
      <c r="BI32" s="6">
        <f>IF(ISBLANK('Paste Full'!BY32),"",'Paste Full'!BY32)</f>
        <v/>
      </c>
      <c r="BJ32" s="13">
        <f>IF(ISBLANK('Paste Full'!BL32),"",'Paste Full'!BL32)</f>
        <v/>
      </c>
      <c r="BK32" s="13">
        <f>IF(ISBLANK('Paste Full'!BQ32),"",'Paste Full'!BQ32)</f>
        <v/>
      </c>
      <c r="BL32" s="13">
        <f>IF(ISBLANK('Paste Full'!BT32),"",'Paste Full'!BT32)</f>
        <v/>
      </c>
      <c r="BM32" s="13">
        <f>IF(ISBLANK('Paste Full'!BW32),"",'Paste Full'!BW32)</f>
        <v/>
      </c>
    </row>
    <row r="33">
      <c r="A33">
        <f>IF(ISBLANK('Paste Full'!C33),"",'Paste Full'!C33)</f>
        <v/>
      </c>
      <c r="B33">
        <f>INDEX($J$1:$R$1, MATCH(MAX($J33:$R33), $J33:$R33, 0))</f>
        <v/>
      </c>
      <c r="C33" s="45">
        <f>IF(ISBLANK('Paste Full'!H33),"",'Paste Full'!H33)</f>
        <v/>
      </c>
      <c r="D33" s="45">
        <f>IF(ISBLANK('Paste Full'!F33),"",'Paste Full'!F33)</f>
        <v/>
      </c>
      <c r="E33" s="45">
        <f>IF(ISBLANK('Paste Full'!G33),"",'Paste Full'!G33)</f>
        <v/>
      </c>
      <c r="F33" s="21">
        <f>IF(ISBLANK('Paste Full'!E33),"",'Paste Full'!E33)</f>
        <v/>
      </c>
      <c r="G33">
        <f>IF(ISBLANK('Paste Full'!CI33),"",'Paste Full'!CI33)</f>
        <v/>
      </c>
      <c r="H33" s="21">
        <f>IF(ISBLANK('Paste Full'!J33),"",'Paste Full'!J33)</f>
        <v/>
      </c>
      <c r="I33" s="21">
        <f>IF(ISBLANK('Paste Full'!D33),"",'Paste Full'!D33)</f>
        <v/>
      </c>
      <c r="J33" s="14">
        <f>AVERAGE(SUMPRODUCT($S33:$BM33,AttWeights!$C$10:$AW$10)/SUM(AttWeights!$C$10:$AW$10),SUMPRODUCT($S33:$BM33,AttWeights!$C$17:$AW$17)/SUM(AttWeights!$C$17:$AW$17))*10</f>
        <v/>
      </c>
      <c r="K33" s="14">
        <f>AVERAGE(SUMPRODUCT($S33:$BM33,AttWeights!$C$7:$AW$7)/SUM(AttWeights!$C$7:$AW$7),SUMPRODUCT($S33:$BM33,AttWeights!$C$15:$AW$15)/SUM(AttWeights!$C$15:$AW$15))*10</f>
        <v/>
      </c>
      <c r="L33" s="14">
        <f>AVERAGE(SUMPRODUCT($S33:$BM33,AttWeights!$C$8:$AW$8)/SUM(AttWeights!$C$8:$AW$8),SUMPRODUCT($S33:$BM33,AttWeights!$C$16:$AW$16)/SUM(AttWeights!$C$16:$AW$16))*10</f>
        <v/>
      </c>
      <c r="M33" s="14">
        <f>AVERAGE(SUMPRODUCT($S33:$BM33,AttWeights!$C$9:$AW$9)/SUM(AttWeights!$C$9:$AW$9),SUMPRODUCT($S33:$BM33,AttWeights!$C$15:$AW$15)/SUM(AttWeights!$C$15:$AW$15))*10</f>
        <v/>
      </c>
      <c r="N33" s="14">
        <f>AVERAGE(SUMPRODUCT($S33:$BM33,AttWeights!$C$6:$AW$6)/SUM(AttWeights!$C$6:$AW$6),SUMPRODUCT($S33:$BM33,AttWeights!$C$14:$AW$14)/SUM(AttWeights!$C$14:$AW$14))*10</f>
        <v/>
      </c>
      <c r="O33" s="14">
        <f>AVERAGE(SUMPRODUCT($S33:$BM33,AttWeights!$C$5:$AW$5)/SUM(AttWeights!$C$5:$AW$5),SUMPRODUCT($S33:$BM33,AttWeights!$C$14:$AW$14)/SUM(AttWeights!$C$14:$AW$14))*10</f>
        <v/>
      </c>
      <c r="P33" s="14">
        <f>AVERAGE(SUMPRODUCT($S33:$BM33,AttWeights!$C$4:$AW$4)/SUM(AttWeights!$C$4:$AW$4),SUMPRODUCT($S33:$BM33,AttWeights!$C$13:$AW$13)/SUM(AttWeights!$C$13:$AW$13))*10</f>
        <v/>
      </c>
      <c r="Q33" s="14">
        <f>AVERAGE(SUMPRODUCT($S33:$BM33,AttWeights!$C$3:$AW$3)/SUM(AttWeights!$C$3:$AW$3),SUMPRODUCT($S33:$BM33,AttWeights!$C$12:$AW$12)/SUM(AttWeights!$C$12:$AW$12))*10</f>
        <v/>
      </c>
      <c r="R33" s="14">
        <f>AVERAGE(SUMPRODUCT($S33:$BM33,AttWeights!$C$2:$AW$2)/SUM(AttWeights!$C$2:$AW$2),SUMPRODUCT($S33:$BM33,AttWeights!$C$11:$AW$11)/SUM(AttWeights!$C$11:$AW$11))*10</f>
        <v/>
      </c>
      <c r="S33" s="3">
        <f>IF(ISBLANK('Paste Full'!AC33),"",'Paste Full'!AC33)</f>
        <v/>
      </c>
      <c r="T33" s="3">
        <f>IF(ISBLANK('Paste Full'!AD33),"",'Paste Full'!AD33)</f>
        <v/>
      </c>
      <c r="U33" s="3">
        <f>IF(ISBLANK('Paste Full'!AE33),"",'Paste Full'!AE33)</f>
        <v/>
      </c>
      <c r="V33" s="3">
        <f>IF(ISBLANK('Paste Full'!AF33),"",'Paste Full'!AF33)</f>
        <v/>
      </c>
      <c r="W33" s="3">
        <f>IF(ISBLANK('Paste Full'!AH33),"",'Paste Full'!AH33)</f>
        <v/>
      </c>
      <c r="X33" s="3">
        <f>IF(ISBLANK('Paste Full'!AI33),"",'Paste Full'!AI33)</f>
        <v/>
      </c>
      <c r="Y33" s="3">
        <f>IF(ISBLANK('Paste Full'!AK33),"",'Paste Full'!AK33)</f>
        <v/>
      </c>
      <c r="Z33" s="3">
        <f>IF(ISBLANK('Paste Full'!AL33),"",'Paste Full'!AL33)</f>
        <v/>
      </c>
      <c r="AA33" s="4">
        <f>IF(ISBLANK('Paste Full'!AM33),"",'Paste Full'!AM33)</f>
        <v/>
      </c>
      <c r="AB33" s="4">
        <f>IF(ISBLANK('Paste Full'!AN33),"",'Paste Full'!AN33)</f>
        <v/>
      </c>
      <c r="AC33" s="4">
        <f>IF(ISBLANK('Paste Full'!AO33),"",'Paste Full'!AO33)</f>
        <v/>
      </c>
      <c r="AD33" s="4">
        <f>IF(ISBLANK('Paste Full'!AP33),"",'Paste Full'!AP33)</f>
        <v/>
      </c>
      <c r="AE33" s="4">
        <f>IF(ISBLANK('Paste Full'!AQ33),"",'Paste Full'!AQ33)</f>
        <v/>
      </c>
      <c r="AF33" s="4">
        <f>IF(ISBLANK('Paste Full'!AR33),"",'Paste Full'!AR33)</f>
        <v/>
      </c>
      <c r="AG33" s="4">
        <f>IF(ISBLANK('Paste Full'!AS33),"",'Paste Full'!AS33)</f>
        <v/>
      </c>
      <c r="AH33" s="4">
        <f>IF(ISBLANK('Paste Full'!AV33),"",'Paste Full'!AV33)</f>
        <v/>
      </c>
      <c r="AI33" s="4">
        <f>IF(ISBLANK('Paste Full'!AT33),"",'Paste Full'!AT33)</f>
        <v/>
      </c>
      <c r="AJ33" s="4">
        <f>IF(ISBLANK('Paste Full'!AU33),"",'Paste Full'!AU33)</f>
        <v/>
      </c>
      <c r="AK33" s="4">
        <f>IF(ISBLANK('Paste Full'!AW33),"",'Paste Full'!AW33)</f>
        <v/>
      </c>
      <c r="AL33" s="5">
        <f>IF(ISBLANK('Paste Full'!AX33),"",'Paste Full'!AX33)</f>
        <v/>
      </c>
      <c r="AM33" s="5">
        <f>IF(ISBLANK('Paste Full'!AY33),"",'Paste Full'!AY33)</f>
        <v/>
      </c>
      <c r="AN33" s="5">
        <f>IF(ISBLANK('Paste Full'!AZ33),"",'Paste Full'!AZ33)</f>
        <v/>
      </c>
      <c r="AO33" s="5">
        <f>IF(ISBLANK('Paste Full'!BA33),"",'Paste Full'!BA33)</f>
        <v/>
      </c>
      <c r="AP33" s="5">
        <f>IF(ISBLANK('Paste Full'!BB33),"",'Paste Full'!BB33)</f>
        <v/>
      </c>
      <c r="AQ33" s="5">
        <f>IF(ISBLANK('Paste Full'!BC33),"",'Paste Full'!BC33)</f>
        <v/>
      </c>
      <c r="AR33" s="5">
        <f>IF(ISBLANK('Paste Full'!BD33),"",'Paste Full'!BD33)</f>
        <v/>
      </c>
      <c r="AS33" s="5">
        <f>IF(ISBLANK('Paste Full'!BE33),"",'Paste Full'!BE33)</f>
        <v/>
      </c>
      <c r="AT33" s="5">
        <f>IF(ISBLANK('Paste Full'!BF33),"",'Paste Full'!BF33)</f>
        <v/>
      </c>
      <c r="AU33" s="5">
        <f>IF(ISBLANK('Paste Full'!BG33),"",'Paste Full'!BG33)</f>
        <v/>
      </c>
      <c r="AV33" s="5">
        <f>IF(ISBLANK('Paste Full'!BH33),"",'Paste Full'!BH33)</f>
        <v/>
      </c>
      <c r="AW33" s="5">
        <f>IF(ISBLANK('Paste Full'!BI33),"",'Paste Full'!BI33)</f>
        <v/>
      </c>
      <c r="AX33" s="5">
        <f>IF(ISBLANK('Paste Full'!BJ33),"",'Paste Full'!BJ33)</f>
        <v/>
      </c>
      <c r="AY33" s="5">
        <f>IF(ISBLANK('Paste Full'!BK33),"",'Paste Full'!BK33)</f>
        <v/>
      </c>
      <c r="AZ33" s="6">
        <f>IF(ISBLANK('Paste Full'!BM33),"",'Paste Full'!BM33)</f>
        <v/>
      </c>
      <c r="BA33" s="6">
        <f>IF(ISBLANK('Paste Full'!BN33),"",'Paste Full'!BN33)</f>
        <v/>
      </c>
      <c r="BB33" s="6">
        <f>IF(ISBLANK('Paste Full'!BO33),"",'Paste Full'!BO33)</f>
        <v/>
      </c>
      <c r="BC33" s="6">
        <f>IF(ISBLANK('Paste Full'!BP33),"",'Paste Full'!BP33)</f>
        <v/>
      </c>
      <c r="BD33" s="6">
        <f>IF(ISBLANK('Paste Full'!BR33),"",'Paste Full'!BR33)</f>
        <v/>
      </c>
      <c r="BE33" s="6">
        <f>IF(ISBLANK('Paste Full'!BS33),"",'Paste Full'!BS33)</f>
        <v/>
      </c>
      <c r="BF33" s="6">
        <f>IF(ISBLANK('Paste Full'!BU33),"",'Paste Full'!BU33)</f>
        <v/>
      </c>
      <c r="BG33" s="6">
        <f>IF(ISBLANK('Paste Full'!BV33),"",'Paste Full'!BV33)</f>
        <v/>
      </c>
      <c r="BH33" s="6">
        <f>IF(ISBLANK('Paste Full'!BX33),"",'Paste Full'!BX33)</f>
        <v/>
      </c>
      <c r="BI33" s="6">
        <f>IF(ISBLANK('Paste Full'!BY33),"",'Paste Full'!BY33)</f>
        <v/>
      </c>
      <c r="BJ33" s="13">
        <f>IF(ISBLANK('Paste Full'!BL33),"",'Paste Full'!BL33)</f>
        <v/>
      </c>
      <c r="BK33" s="13">
        <f>IF(ISBLANK('Paste Full'!BQ33),"",'Paste Full'!BQ33)</f>
        <v/>
      </c>
      <c r="BL33" s="13">
        <f>IF(ISBLANK('Paste Full'!BT33),"",'Paste Full'!BT33)</f>
        <v/>
      </c>
      <c r="BM33" s="13">
        <f>IF(ISBLANK('Paste Full'!BW33),"",'Paste Full'!BW33)</f>
        <v/>
      </c>
    </row>
    <row r="34">
      <c r="A34">
        <f>IF(ISBLANK('Paste Full'!C34),"",'Paste Full'!C34)</f>
        <v/>
      </c>
      <c r="B34">
        <f>INDEX($J$1:$R$1, MATCH(MAX($J34:$R34), $J34:$R34, 0))</f>
        <v/>
      </c>
      <c r="C34" s="45">
        <f>IF(ISBLANK('Paste Full'!H34),"",'Paste Full'!H34)</f>
        <v/>
      </c>
      <c r="D34" s="45">
        <f>IF(ISBLANK('Paste Full'!F34),"",'Paste Full'!F34)</f>
        <v/>
      </c>
      <c r="E34" s="45">
        <f>IF(ISBLANK('Paste Full'!G34),"",'Paste Full'!G34)</f>
        <v/>
      </c>
      <c r="F34" s="21">
        <f>IF(ISBLANK('Paste Full'!E34),"",'Paste Full'!E34)</f>
        <v/>
      </c>
      <c r="G34">
        <f>IF(ISBLANK('Paste Full'!CI34),"",'Paste Full'!CI34)</f>
        <v/>
      </c>
      <c r="H34" s="21">
        <f>IF(ISBLANK('Paste Full'!J34),"",'Paste Full'!J34)</f>
        <v/>
      </c>
      <c r="I34" s="21">
        <f>IF(ISBLANK('Paste Full'!D34),"",'Paste Full'!D34)</f>
        <v/>
      </c>
      <c r="J34" s="14">
        <f>AVERAGE(SUMPRODUCT($S34:$BM34,AttWeights!$C$10:$AW$10)/SUM(AttWeights!$C$10:$AW$10),SUMPRODUCT($S34:$BM34,AttWeights!$C$17:$AW$17)/SUM(AttWeights!$C$17:$AW$17))*10</f>
        <v/>
      </c>
      <c r="K34" s="14">
        <f>AVERAGE(SUMPRODUCT($S34:$BM34,AttWeights!$C$7:$AW$7)/SUM(AttWeights!$C$7:$AW$7),SUMPRODUCT($S34:$BM34,AttWeights!$C$15:$AW$15)/SUM(AttWeights!$C$15:$AW$15))*10</f>
        <v/>
      </c>
      <c r="L34" s="14">
        <f>AVERAGE(SUMPRODUCT($S34:$BM34,AttWeights!$C$8:$AW$8)/SUM(AttWeights!$C$8:$AW$8),SUMPRODUCT($S34:$BM34,AttWeights!$C$16:$AW$16)/SUM(AttWeights!$C$16:$AW$16))*10</f>
        <v/>
      </c>
      <c r="M34" s="14">
        <f>AVERAGE(SUMPRODUCT($S34:$BM34,AttWeights!$C$9:$AW$9)/SUM(AttWeights!$C$9:$AW$9),SUMPRODUCT($S34:$BM34,AttWeights!$C$15:$AW$15)/SUM(AttWeights!$C$15:$AW$15))*10</f>
        <v/>
      </c>
      <c r="N34" s="14">
        <f>AVERAGE(SUMPRODUCT($S34:$BM34,AttWeights!$C$6:$AW$6)/SUM(AttWeights!$C$6:$AW$6),SUMPRODUCT($S34:$BM34,AttWeights!$C$14:$AW$14)/SUM(AttWeights!$C$14:$AW$14))*10</f>
        <v/>
      </c>
      <c r="O34" s="14">
        <f>AVERAGE(SUMPRODUCT($S34:$BM34,AttWeights!$C$5:$AW$5)/SUM(AttWeights!$C$5:$AW$5),SUMPRODUCT($S34:$BM34,AttWeights!$C$14:$AW$14)/SUM(AttWeights!$C$14:$AW$14))*10</f>
        <v/>
      </c>
      <c r="P34" s="14">
        <f>AVERAGE(SUMPRODUCT($S34:$BM34,AttWeights!$C$4:$AW$4)/SUM(AttWeights!$C$4:$AW$4),SUMPRODUCT($S34:$BM34,AttWeights!$C$13:$AW$13)/SUM(AttWeights!$C$13:$AW$13))*10</f>
        <v/>
      </c>
      <c r="Q34" s="14">
        <f>AVERAGE(SUMPRODUCT($S34:$BM34,AttWeights!$C$3:$AW$3)/SUM(AttWeights!$C$3:$AW$3),SUMPRODUCT($S34:$BM34,AttWeights!$C$12:$AW$12)/SUM(AttWeights!$C$12:$AW$12))*10</f>
        <v/>
      </c>
      <c r="R34" s="14">
        <f>AVERAGE(SUMPRODUCT($S34:$BM34,AttWeights!$C$2:$AW$2)/SUM(AttWeights!$C$2:$AW$2),SUMPRODUCT($S34:$BM34,AttWeights!$C$11:$AW$11)/SUM(AttWeights!$C$11:$AW$11))*10</f>
        <v/>
      </c>
      <c r="S34" s="3">
        <f>IF(ISBLANK('Paste Full'!AC34),"",'Paste Full'!AC34)</f>
        <v/>
      </c>
      <c r="T34" s="3">
        <f>IF(ISBLANK('Paste Full'!AD34),"",'Paste Full'!AD34)</f>
        <v/>
      </c>
      <c r="U34" s="3">
        <f>IF(ISBLANK('Paste Full'!AE34),"",'Paste Full'!AE34)</f>
        <v/>
      </c>
      <c r="V34" s="3">
        <f>IF(ISBLANK('Paste Full'!AF34),"",'Paste Full'!AF34)</f>
        <v/>
      </c>
      <c r="W34" s="3">
        <f>IF(ISBLANK('Paste Full'!AH34),"",'Paste Full'!AH34)</f>
        <v/>
      </c>
      <c r="X34" s="3">
        <f>IF(ISBLANK('Paste Full'!AI34),"",'Paste Full'!AI34)</f>
        <v/>
      </c>
      <c r="Y34" s="3">
        <f>IF(ISBLANK('Paste Full'!AK34),"",'Paste Full'!AK34)</f>
        <v/>
      </c>
      <c r="Z34" s="3">
        <f>IF(ISBLANK('Paste Full'!AL34),"",'Paste Full'!AL34)</f>
        <v/>
      </c>
      <c r="AA34" s="4">
        <f>IF(ISBLANK('Paste Full'!AM34),"",'Paste Full'!AM34)</f>
        <v/>
      </c>
      <c r="AB34" s="4">
        <f>IF(ISBLANK('Paste Full'!AN34),"",'Paste Full'!AN34)</f>
        <v/>
      </c>
      <c r="AC34" s="4">
        <f>IF(ISBLANK('Paste Full'!AO34),"",'Paste Full'!AO34)</f>
        <v/>
      </c>
      <c r="AD34" s="4">
        <f>IF(ISBLANK('Paste Full'!AP34),"",'Paste Full'!AP34)</f>
        <v/>
      </c>
      <c r="AE34" s="4">
        <f>IF(ISBLANK('Paste Full'!AQ34),"",'Paste Full'!AQ34)</f>
        <v/>
      </c>
      <c r="AF34" s="4">
        <f>IF(ISBLANK('Paste Full'!AR34),"",'Paste Full'!AR34)</f>
        <v/>
      </c>
      <c r="AG34" s="4">
        <f>IF(ISBLANK('Paste Full'!AS34),"",'Paste Full'!AS34)</f>
        <v/>
      </c>
      <c r="AH34" s="4">
        <f>IF(ISBLANK('Paste Full'!AV34),"",'Paste Full'!AV34)</f>
        <v/>
      </c>
      <c r="AI34" s="4">
        <f>IF(ISBLANK('Paste Full'!AT34),"",'Paste Full'!AT34)</f>
        <v/>
      </c>
      <c r="AJ34" s="4">
        <f>IF(ISBLANK('Paste Full'!AU34),"",'Paste Full'!AU34)</f>
        <v/>
      </c>
      <c r="AK34" s="4">
        <f>IF(ISBLANK('Paste Full'!AW34),"",'Paste Full'!AW34)</f>
        <v/>
      </c>
      <c r="AL34" s="5">
        <f>IF(ISBLANK('Paste Full'!AX34),"",'Paste Full'!AX34)</f>
        <v/>
      </c>
      <c r="AM34" s="5">
        <f>IF(ISBLANK('Paste Full'!AY34),"",'Paste Full'!AY34)</f>
        <v/>
      </c>
      <c r="AN34" s="5">
        <f>IF(ISBLANK('Paste Full'!AZ34),"",'Paste Full'!AZ34)</f>
        <v/>
      </c>
      <c r="AO34" s="5">
        <f>IF(ISBLANK('Paste Full'!BA34),"",'Paste Full'!BA34)</f>
        <v/>
      </c>
      <c r="AP34" s="5">
        <f>IF(ISBLANK('Paste Full'!BB34),"",'Paste Full'!BB34)</f>
        <v/>
      </c>
      <c r="AQ34" s="5">
        <f>IF(ISBLANK('Paste Full'!BC34),"",'Paste Full'!BC34)</f>
        <v/>
      </c>
      <c r="AR34" s="5">
        <f>IF(ISBLANK('Paste Full'!BD34),"",'Paste Full'!BD34)</f>
        <v/>
      </c>
      <c r="AS34" s="5">
        <f>IF(ISBLANK('Paste Full'!BE34),"",'Paste Full'!BE34)</f>
        <v/>
      </c>
      <c r="AT34" s="5">
        <f>IF(ISBLANK('Paste Full'!BF34),"",'Paste Full'!BF34)</f>
        <v/>
      </c>
      <c r="AU34" s="5">
        <f>IF(ISBLANK('Paste Full'!BG34),"",'Paste Full'!BG34)</f>
        <v/>
      </c>
      <c r="AV34" s="5">
        <f>IF(ISBLANK('Paste Full'!BH34),"",'Paste Full'!BH34)</f>
        <v/>
      </c>
      <c r="AW34" s="5">
        <f>IF(ISBLANK('Paste Full'!BI34),"",'Paste Full'!BI34)</f>
        <v/>
      </c>
      <c r="AX34" s="5">
        <f>IF(ISBLANK('Paste Full'!BJ34),"",'Paste Full'!BJ34)</f>
        <v/>
      </c>
      <c r="AY34" s="5">
        <f>IF(ISBLANK('Paste Full'!BK34),"",'Paste Full'!BK34)</f>
        <v/>
      </c>
      <c r="AZ34" s="6">
        <f>IF(ISBLANK('Paste Full'!BM34),"",'Paste Full'!BM34)</f>
        <v/>
      </c>
      <c r="BA34" s="6">
        <f>IF(ISBLANK('Paste Full'!BN34),"",'Paste Full'!BN34)</f>
        <v/>
      </c>
      <c r="BB34" s="6">
        <f>IF(ISBLANK('Paste Full'!BO34),"",'Paste Full'!BO34)</f>
        <v/>
      </c>
      <c r="BC34" s="6">
        <f>IF(ISBLANK('Paste Full'!BP34),"",'Paste Full'!BP34)</f>
        <v/>
      </c>
      <c r="BD34" s="6">
        <f>IF(ISBLANK('Paste Full'!BR34),"",'Paste Full'!BR34)</f>
        <v/>
      </c>
      <c r="BE34" s="6">
        <f>IF(ISBLANK('Paste Full'!BS34),"",'Paste Full'!BS34)</f>
        <v/>
      </c>
      <c r="BF34" s="6">
        <f>IF(ISBLANK('Paste Full'!BU34),"",'Paste Full'!BU34)</f>
        <v/>
      </c>
      <c r="BG34" s="6">
        <f>IF(ISBLANK('Paste Full'!BV34),"",'Paste Full'!BV34)</f>
        <v/>
      </c>
      <c r="BH34" s="6">
        <f>IF(ISBLANK('Paste Full'!BX34),"",'Paste Full'!BX34)</f>
        <v/>
      </c>
      <c r="BI34" s="6">
        <f>IF(ISBLANK('Paste Full'!BY34),"",'Paste Full'!BY34)</f>
        <v/>
      </c>
      <c r="BJ34" s="13">
        <f>IF(ISBLANK('Paste Full'!BL34),"",'Paste Full'!BL34)</f>
        <v/>
      </c>
      <c r="BK34" s="13">
        <f>IF(ISBLANK('Paste Full'!BQ34),"",'Paste Full'!BQ34)</f>
        <v/>
      </c>
      <c r="BL34" s="13">
        <f>IF(ISBLANK('Paste Full'!BT34),"",'Paste Full'!BT34)</f>
        <v/>
      </c>
      <c r="BM34" s="13">
        <f>IF(ISBLANK('Paste Full'!BW34),"",'Paste Full'!BW34)</f>
        <v/>
      </c>
    </row>
    <row r="35">
      <c r="A35">
        <f>IF(ISBLANK('Paste Full'!C35),"",'Paste Full'!C35)</f>
        <v/>
      </c>
      <c r="B35">
        <f>INDEX($J$1:$R$1, MATCH(MAX($J35:$R35), $J35:$R35, 0))</f>
        <v/>
      </c>
      <c r="C35" s="45">
        <f>IF(ISBLANK('Paste Full'!H35),"",'Paste Full'!H35)</f>
        <v/>
      </c>
      <c r="D35" s="45">
        <f>IF(ISBLANK('Paste Full'!F35),"",'Paste Full'!F35)</f>
        <v/>
      </c>
      <c r="E35" s="45">
        <f>IF(ISBLANK('Paste Full'!G35),"",'Paste Full'!G35)</f>
        <v/>
      </c>
      <c r="F35" s="21">
        <f>IF(ISBLANK('Paste Full'!E35),"",'Paste Full'!E35)</f>
        <v/>
      </c>
      <c r="G35">
        <f>IF(ISBLANK('Paste Full'!CI35),"",'Paste Full'!CI35)</f>
        <v/>
      </c>
      <c r="H35" s="21">
        <f>IF(ISBLANK('Paste Full'!J35),"",'Paste Full'!J35)</f>
        <v/>
      </c>
      <c r="I35" s="21">
        <f>IF(ISBLANK('Paste Full'!D35),"",'Paste Full'!D35)</f>
        <v/>
      </c>
      <c r="J35" s="14">
        <f>AVERAGE(SUMPRODUCT($S35:$BM35,AttWeights!$C$10:$AW$10)/SUM(AttWeights!$C$10:$AW$10),SUMPRODUCT($S35:$BM35,AttWeights!$C$17:$AW$17)/SUM(AttWeights!$C$17:$AW$17))*10</f>
        <v/>
      </c>
      <c r="K35" s="14">
        <f>AVERAGE(SUMPRODUCT($S35:$BM35,AttWeights!$C$7:$AW$7)/SUM(AttWeights!$C$7:$AW$7),SUMPRODUCT($S35:$BM35,AttWeights!$C$15:$AW$15)/SUM(AttWeights!$C$15:$AW$15))*10</f>
        <v/>
      </c>
      <c r="L35" s="14">
        <f>AVERAGE(SUMPRODUCT($S35:$BM35,AttWeights!$C$8:$AW$8)/SUM(AttWeights!$C$8:$AW$8),SUMPRODUCT($S35:$BM35,AttWeights!$C$16:$AW$16)/SUM(AttWeights!$C$16:$AW$16))*10</f>
        <v/>
      </c>
      <c r="M35" s="14">
        <f>AVERAGE(SUMPRODUCT($S35:$BM35,AttWeights!$C$9:$AW$9)/SUM(AttWeights!$C$9:$AW$9),SUMPRODUCT($S35:$BM35,AttWeights!$C$15:$AW$15)/SUM(AttWeights!$C$15:$AW$15))*10</f>
        <v/>
      </c>
      <c r="N35" s="14">
        <f>AVERAGE(SUMPRODUCT($S35:$BM35,AttWeights!$C$6:$AW$6)/SUM(AttWeights!$C$6:$AW$6),SUMPRODUCT($S35:$BM35,AttWeights!$C$14:$AW$14)/SUM(AttWeights!$C$14:$AW$14))*10</f>
        <v/>
      </c>
      <c r="O35" s="14">
        <f>AVERAGE(SUMPRODUCT($S35:$BM35,AttWeights!$C$5:$AW$5)/SUM(AttWeights!$C$5:$AW$5),SUMPRODUCT($S35:$BM35,AttWeights!$C$14:$AW$14)/SUM(AttWeights!$C$14:$AW$14))*10</f>
        <v/>
      </c>
      <c r="P35" s="14">
        <f>AVERAGE(SUMPRODUCT($S35:$BM35,AttWeights!$C$4:$AW$4)/SUM(AttWeights!$C$4:$AW$4),SUMPRODUCT($S35:$BM35,AttWeights!$C$13:$AW$13)/SUM(AttWeights!$C$13:$AW$13))*10</f>
        <v/>
      </c>
      <c r="Q35" s="14">
        <f>AVERAGE(SUMPRODUCT($S35:$BM35,AttWeights!$C$3:$AW$3)/SUM(AttWeights!$C$3:$AW$3),SUMPRODUCT($S35:$BM35,AttWeights!$C$12:$AW$12)/SUM(AttWeights!$C$12:$AW$12))*10</f>
        <v/>
      </c>
      <c r="R35" s="14">
        <f>AVERAGE(SUMPRODUCT($S35:$BM35,AttWeights!$C$2:$AW$2)/SUM(AttWeights!$C$2:$AW$2),SUMPRODUCT($S35:$BM35,AttWeights!$C$11:$AW$11)/SUM(AttWeights!$C$11:$AW$11))*10</f>
        <v/>
      </c>
      <c r="S35" s="3">
        <f>IF(ISBLANK('Paste Full'!AC35),"",'Paste Full'!AC35)</f>
        <v/>
      </c>
      <c r="T35" s="3">
        <f>IF(ISBLANK('Paste Full'!AD35),"",'Paste Full'!AD35)</f>
        <v/>
      </c>
      <c r="U35" s="3">
        <f>IF(ISBLANK('Paste Full'!AE35),"",'Paste Full'!AE35)</f>
        <v/>
      </c>
      <c r="V35" s="3">
        <f>IF(ISBLANK('Paste Full'!AF35),"",'Paste Full'!AF35)</f>
        <v/>
      </c>
      <c r="W35" s="3">
        <f>IF(ISBLANK('Paste Full'!AH35),"",'Paste Full'!AH35)</f>
        <v/>
      </c>
      <c r="X35" s="3">
        <f>IF(ISBLANK('Paste Full'!AI35),"",'Paste Full'!AI35)</f>
        <v/>
      </c>
      <c r="Y35" s="3">
        <f>IF(ISBLANK('Paste Full'!AK35),"",'Paste Full'!AK35)</f>
        <v/>
      </c>
      <c r="Z35" s="3">
        <f>IF(ISBLANK('Paste Full'!AL35),"",'Paste Full'!AL35)</f>
        <v/>
      </c>
      <c r="AA35" s="4">
        <f>IF(ISBLANK('Paste Full'!AM35),"",'Paste Full'!AM35)</f>
        <v/>
      </c>
      <c r="AB35" s="4">
        <f>IF(ISBLANK('Paste Full'!AN35),"",'Paste Full'!AN35)</f>
        <v/>
      </c>
      <c r="AC35" s="4">
        <f>IF(ISBLANK('Paste Full'!AO35),"",'Paste Full'!AO35)</f>
        <v/>
      </c>
      <c r="AD35" s="4">
        <f>IF(ISBLANK('Paste Full'!AP35),"",'Paste Full'!AP35)</f>
        <v/>
      </c>
      <c r="AE35" s="4">
        <f>IF(ISBLANK('Paste Full'!AQ35),"",'Paste Full'!AQ35)</f>
        <v/>
      </c>
      <c r="AF35" s="4">
        <f>IF(ISBLANK('Paste Full'!AR35),"",'Paste Full'!AR35)</f>
        <v/>
      </c>
      <c r="AG35" s="4">
        <f>IF(ISBLANK('Paste Full'!AS35),"",'Paste Full'!AS35)</f>
        <v/>
      </c>
      <c r="AH35" s="4">
        <f>IF(ISBLANK('Paste Full'!AV35),"",'Paste Full'!AV35)</f>
        <v/>
      </c>
      <c r="AI35" s="4">
        <f>IF(ISBLANK('Paste Full'!AT35),"",'Paste Full'!AT35)</f>
        <v/>
      </c>
      <c r="AJ35" s="4">
        <f>IF(ISBLANK('Paste Full'!AU35),"",'Paste Full'!AU35)</f>
        <v/>
      </c>
      <c r="AK35" s="4">
        <f>IF(ISBLANK('Paste Full'!AW35),"",'Paste Full'!AW35)</f>
        <v/>
      </c>
      <c r="AL35" s="5">
        <f>IF(ISBLANK('Paste Full'!AX35),"",'Paste Full'!AX35)</f>
        <v/>
      </c>
      <c r="AM35" s="5">
        <f>IF(ISBLANK('Paste Full'!AY35),"",'Paste Full'!AY35)</f>
        <v/>
      </c>
      <c r="AN35" s="5">
        <f>IF(ISBLANK('Paste Full'!AZ35),"",'Paste Full'!AZ35)</f>
        <v/>
      </c>
      <c r="AO35" s="5">
        <f>IF(ISBLANK('Paste Full'!BA35),"",'Paste Full'!BA35)</f>
        <v/>
      </c>
      <c r="AP35" s="5">
        <f>IF(ISBLANK('Paste Full'!BB35),"",'Paste Full'!BB35)</f>
        <v/>
      </c>
      <c r="AQ35" s="5">
        <f>IF(ISBLANK('Paste Full'!BC35),"",'Paste Full'!BC35)</f>
        <v/>
      </c>
      <c r="AR35" s="5">
        <f>IF(ISBLANK('Paste Full'!BD35),"",'Paste Full'!BD35)</f>
        <v/>
      </c>
      <c r="AS35" s="5">
        <f>IF(ISBLANK('Paste Full'!BE35),"",'Paste Full'!BE35)</f>
        <v/>
      </c>
      <c r="AT35" s="5">
        <f>IF(ISBLANK('Paste Full'!BF35),"",'Paste Full'!BF35)</f>
        <v/>
      </c>
      <c r="AU35" s="5">
        <f>IF(ISBLANK('Paste Full'!BG35),"",'Paste Full'!BG35)</f>
        <v/>
      </c>
      <c r="AV35" s="5">
        <f>IF(ISBLANK('Paste Full'!BH35),"",'Paste Full'!BH35)</f>
        <v/>
      </c>
      <c r="AW35" s="5">
        <f>IF(ISBLANK('Paste Full'!BI35),"",'Paste Full'!BI35)</f>
        <v/>
      </c>
      <c r="AX35" s="5">
        <f>IF(ISBLANK('Paste Full'!BJ35),"",'Paste Full'!BJ35)</f>
        <v/>
      </c>
      <c r="AY35" s="5">
        <f>IF(ISBLANK('Paste Full'!BK35),"",'Paste Full'!BK35)</f>
        <v/>
      </c>
      <c r="AZ35" s="6">
        <f>IF(ISBLANK('Paste Full'!BM35),"",'Paste Full'!BM35)</f>
        <v/>
      </c>
      <c r="BA35" s="6">
        <f>IF(ISBLANK('Paste Full'!BN35),"",'Paste Full'!BN35)</f>
        <v/>
      </c>
      <c r="BB35" s="6">
        <f>IF(ISBLANK('Paste Full'!BO35),"",'Paste Full'!BO35)</f>
        <v/>
      </c>
      <c r="BC35" s="6">
        <f>IF(ISBLANK('Paste Full'!BP35),"",'Paste Full'!BP35)</f>
        <v/>
      </c>
      <c r="BD35" s="6">
        <f>IF(ISBLANK('Paste Full'!BR35),"",'Paste Full'!BR35)</f>
        <v/>
      </c>
      <c r="BE35" s="6">
        <f>IF(ISBLANK('Paste Full'!BS35),"",'Paste Full'!BS35)</f>
        <v/>
      </c>
      <c r="BF35" s="6">
        <f>IF(ISBLANK('Paste Full'!BU35),"",'Paste Full'!BU35)</f>
        <v/>
      </c>
      <c r="BG35" s="6">
        <f>IF(ISBLANK('Paste Full'!BV35),"",'Paste Full'!BV35)</f>
        <v/>
      </c>
      <c r="BH35" s="6">
        <f>IF(ISBLANK('Paste Full'!BX35),"",'Paste Full'!BX35)</f>
        <v/>
      </c>
      <c r="BI35" s="6">
        <f>IF(ISBLANK('Paste Full'!BY35),"",'Paste Full'!BY35)</f>
        <v/>
      </c>
      <c r="BJ35" s="13">
        <f>IF(ISBLANK('Paste Full'!BL35),"",'Paste Full'!BL35)</f>
        <v/>
      </c>
      <c r="BK35" s="13">
        <f>IF(ISBLANK('Paste Full'!BQ35),"",'Paste Full'!BQ35)</f>
        <v/>
      </c>
      <c r="BL35" s="13">
        <f>IF(ISBLANK('Paste Full'!BT35),"",'Paste Full'!BT35)</f>
        <v/>
      </c>
      <c r="BM35" s="13">
        <f>IF(ISBLANK('Paste Full'!BW35),"",'Paste Full'!BW35)</f>
        <v/>
      </c>
    </row>
    <row r="36">
      <c r="A36">
        <f>IF(ISBLANK('Paste Full'!C36),"",'Paste Full'!C36)</f>
        <v/>
      </c>
      <c r="B36">
        <f>INDEX($J$1:$R$1, MATCH(MAX($J36:$R36), $J36:$R36, 0))</f>
        <v/>
      </c>
      <c r="C36" s="45">
        <f>IF(ISBLANK('Paste Full'!H36),"",'Paste Full'!H36)</f>
        <v/>
      </c>
      <c r="D36" s="45">
        <f>IF(ISBLANK('Paste Full'!F36),"",'Paste Full'!F36)</f>
        <v/>
      </c>
      <c r="E36" s="45">
        <f>IF(ISBLANK('Paste Full'!G36),"",'Paste Full'!G36)</f>
        <v/>
      </c>
      <c r="F36" s="21">
        <f>IF(ISBLANK('Paste Full'!E36),"",'Paste Full'!E36)</f>
        <v/>
      </c>
      <c r="G36">
        <f>IF(ISBLANK('Paste Full'!CI36),"",'Paste Full'!CI36)</f>
        <v/>
      </c>
      <c r="H36" s="21">
        <f>IF(ISBLANK('Paste Full'!J36),"",'Paste Full'!J36)</f>
        <v/>
      </c>
      <c r="I36" s="21">
        <f>IF(ISBLANK('Paste Full'!D36),"",'Paste Full'!D36)</f>
        <v/>
      </c>
      <c r="J36" s="14">
        <f>AVERAGE(SUMPRODUCT($S36:$BM36,AttWeights!$C$10:$AW$10)/SUM(AttWeights!$C$10:$AW$10),SUMPRODUCT($S36:$BM36,AttWeights!$C$17:$AW$17)/SUM(AttWeights!$C$17:$AW$17))*10</f>
        <v/>
      </c>
      <c r="K36" s="14">
        <f>AVERAGE(SUMPRODUCT($S36:$BM36,AttWeights!$C$7:$AW$7)/SUM(AttWeights!$C$7:$AW$7),SUMPRODUCT($S36:$BM36,AttWeights!$C$15:$AW$15)/SUM(AttWeights!$C$15:$AW$15))*10</f>
        <v/>
      </c>
      <c r="L36" s="14">
        <f>AVERAGE(SUMPRODUCT($S36:$BM36,AttWeights!$C$8:$AW$8)/SUM(AttWeights!$C$8:$AW$8),SUMPRODUCT($S36:$BM36,AttWeights!$C$16:$AW$16)/SUM(AttWeights!$C$16:$AW$16))*10</f>
        <v/>
      </c>
      <c r="M36" s="14">
        <f>AVERAGE(SUMPRODUCT($S36:$BM36,AttWeights!$C$9:$AW$9)/SUM(AttWeights!$C$9:$AW$9),SUMPRODUCT($S36:$BM36,AttWeights!$C$15:$AW$15)/SUM(AttWeights!$C$15:$AW$15))*10</f>
        <v/>
      </c>
      <c r="N36" s="14">
        <f>AVERAGE(SUMPRODUCT($S36:$BM36,AttWeights!$C$6:$AW$6)/SUM(AttWeights!$C$6:$AW$6),SUMPRODUCT($S36:$BM36,AttWeights!$C$14:$AW$14)/SUM(AttWeights!$C$14:$AW$14))*10</f>
        <v/>
      </c>
      <c r="O36" s="14">
        <f>AVERAGE(SUMPRODUCT($S36:$BM36,AttWeights!$C$5:$AW$5)/SUM(AttWeights!$C$5:$AW$5),SUMPRODUCT($S36:$BM36,AttWeights!$C$14:$AW$14)/SUM(AttWeights!$C$14:$AW$14))*10</f>
        <v/>
      </c>
      <c r="P36" s="14">
        <f>AVERAGE(SUMPRODUCT($S36:$BM36,AttWeights!$C$4:$AW$4)/SUM(AttWeights!$C$4:$AW$4),SUMPRODUCT($S36:$BM36,AttWeights!$C$13:$AW$13)/SUM(AttWeights!$C$13:$AW$13))*10</f>
        <v/>
      </c>
      <c r="Q36" s="14">
        <f>AVERAGE(SUMPRODUCT($S36:$BM36,AttWeights!$C$3:$AW$3)/SUM(AttWeights!$C$3:$AW$3),SUMPRODUCT($S36:$BM36,AttWeights!$C$12:$AW$12)/SUM(AttWeights!$C$12:$AW$12))*10</f>
        <v/>
      </c>
      <c r="R36" s="14">
        <f>AVERAGE(SUMPRODUCT($S36:$BM36,AttWeights!$C$2:$AW$2)/SUM(AttWeights!$C$2:$AW$2),SUMPRODUCT($S36:$BM36,AttWeights!$C$11:$AW$11)/SUM(AttWeights!$C$11:$AW$11))*10</f>
        <v/>
      </c>
      <c r="S36" s="3">
        <f>IF(ISBLANK('Paste Full'!AC36),"",'Paste Full'!AC36)</f>
        <v/>
      </c>
      <c r="T36" s="3">
        <f>IF(ISBLANK('Paste Full'!AD36),"",'Paste Full'!AD36)</f>
        <v/>
      </c>
      <c r="U36" s="3">
        <f>IF(ISBLANK('Paste Full'!AE36),"",'Paste Full'!AE36)</f>
        <v/>
      </c>
      <c r="V36" s="3">
        <f>IF(ISBLANK('Paste Full'!AF36),"",'Paste Full'!AF36)</f>
        <v/>
      </c>
      <c r="W36" s="3">
        <f>IF(ISBLANK('Paste Full'!AH36),"",'Paste Full'!AH36)</f>
        <v/>
      </c>
      <c r="X36" s="3">
        <f>IF(ISBLANK('Paste Full'!AI36),"",'Paste Full'!AI36)</f>
        <v/>
      </c>
      <c r="Y36" s="3">
        <f>IF(ISBLANK('Paste Full'!AK36),"",'Paste Full'!AK36)</f>
        <v/>
      </c>
      <c r="Z36" s="3">
        <f>IF(ISBLANK('Paste Full'!AL36),"",'Paste Full'!AL36)</f>
        <v/>
      </c>
      <c r="AA36" s="4">
        <f>IF(ISBLANK('Paste Full'!AM36),"",'Paste Full'!AM36)</f>
        <v/>
      </c>
      <c r="AB36" s="4">
        <f>IF(ISBLANK('Paste Full'!AN36),"",'Paste Full'!AN36)</f>
        <v/>
      </c>
      <c r="AC36" s="4">
        <f>IF(ISBLANK('Paste Full'!AO36),"",'Paste Full'!AO36)</f>
        <v/>
      </c>
      <c r="AD36" s="4">
        <f>IF(ISBLANK('Paste Full'!AP36),"",'Paste Full'!AP36)</f>
        <v/>
      </c>
      <c r="AE36" s="4">
        <f>IF(ISBLANK('Paste Full'!AQ36),"",'Paste Full'!AQ36)</f>
        <v/>
      </c>
      <c r="AF36" s="4">
        <f>IF(ISBLANK('Paste Full'!AR36),"",'Paste Full'!AR36)</f>
        <v/>
      </c>
      <c r="AG36" s="4">
        <f>IF(ISBLANK('Paste Full'!AS36),"",'Paste Full'!AS36)</f>
        <v/>
      </c>
      <c r="AH36" s="4">
        <f>IF(ISBLANK('Paste Full'!AV36),"",'Paste Full'!AV36)</f>
        <v/>
      </c>
      <c r="AI36" s="4">
        <f>IF(ISBLANK('Paste Full'!AT36),"",'Paste Full'!AT36)</f>
        <v/>
      </c>
      <c r="AJ36" s="4">
        <f>IF(ISBLANK('Paste Full'!AU36),"",'Paste Full'!AU36)</f>
        <v/>
      </c>
      <c r="AK36" s="4">
        <f>IF(ISBLANK('Paste Full'!AW36),"",'Paste Full'!AW36)</f>
        <v/>
      </c>
      <c r="AL36" s="5">
        <f>IF(ISBLANK('Paste Full'!AX36),"",'Paste Full'!AX36)</f>
        <v/>
      </c>
      <c r="AM36" s="5">
        <f>IF(ISBLANK('Paste Full'!AY36),"",'Paste Full'!AY36)</f>
        <v/>
      </c>
      <c r="AN36" s="5">
        <f>IF(ISBLANK('Paste Full'!AZ36),"",'Paste Full'!AZ36)</f>
        <v/>
      </c>
      <c r="AO36" s="5">
        <f>IF(ISBLANK('Paste Full'!BA36),"",'Paste Full'!BA36)</f>
        <v/>
      </c>
      <c r="AP36" s="5">
        <f>IF(ISBLANK('Paste Full'!BB36),"",'Paste Full'!BB36)</f>
        <v/>
      </c>
      <c r="AQ36" s="5">
        <f>IF(ISBLANK('Paste Full'!BC36),"",'Paste Full'!BC36)</f>
        <v/>
      </c>
      <c r="AR36" s="5">
        <f>IF(ISBLANK('Paste Full'!BD36),"",'Paste Full'!BD36)</f>
        <v/>
      </c>
      <c r="AS36" s="5">
        <f>IF(ISBLANK('Paste Full'!BE36),"",'Paste Full'!BE36)</f>
        <v/>
      </c>
      <c r="AT36" s="5">
        <f>IF(ISBLANK('Paste Full'!BF36),"",'Paste Full'!BF36)</f>
        <v/>
      </c>
      <c r="AU36" s="5">
        <f>IF(ISBLANK('Paste Full'!BG36),"",'Paste Full'!BG36)</f>
        <v/>
      </c>
      <c r="AV36" s="5">
        <f>IF(ISBLANK('Paste Full'!BH36),"",'Paste Full'!BH36)</f>
        <v/>
      </c>
      <c r="AW36" s="5">
        <f>IF(ISBLANK('Paste Full'!BI36),"",'Paste Full'!BI36)</f>
        <v/>
      </c>
      <c r="AX36" s="5">
        <f>IF(ISBLANK('Paste Full'!BJ36),"",'Paste Full'!BJ36)</f>
        <v/>
      </c>
      <c r="AY36" s="5">
        <f>IF(ISBLANK('Paste Full'!BK36),"",'Paste Full'!BK36)</f>
        <v/>
      </c>
      <c r="AZ36" s="6">
        <f>IF(ISBLANK('Paste Full'!BM36),"",'Paste Full'!BM36)</f>
        <v/>
      </c>
      <c r="BA36" s="6">
        <f>IF(ISBLANK('Paste Full'!BN36),"",'Paste Full'!BN36)</f>
        <v/>
      </c>
      <c r="BB36" s="6">
        <f>IF(ISBLANK('Paste Full'!BO36),"",'Paste Full'!BO36)</f>
        <v/>
      </c>
      <c r="BC36" s="6">
        <f>IF(ISBLANK('Paste Full'!BP36),"",'Paste Full'!BP36)</f>
        <v/>
      </c>
      <c r="BD36" s="6">
        <f>IF(ISBLANK('Paste Full'!BR36),"",'Paste Full'!BR36)</f>
        <v/>
      </c>
      <c r="BE36" s="6">
        <f>IF(ISBLANK('Paste Full'!BS36),"",'Paste Full'!BS36)</f>
        <v/>
      </c>
      <c r="BF36" s="6">
        <f>IF(ISBLANK('Paste Full'!BU36),"",'Paste Full'!BU36)</f>
        <v/>
      </c>
      <c r="BG36" s="6">
        <f>IF(ISBLANK('Paste Full'!BV36),"",'Paste Full'!BV36)</f>
        <v/>
      </c>
      <c r="BH36" s="6">
        <f>IF(ISBLANK('Paste Full'!BX36),"",'Paste Full'!BX36)</f>
        <v/>
      </c>
      <c r="BI36" s="6">
        <f>IF(ISBLANK('Paste Full'!BY36),"",'Paste Full'!BY36)</f>
        <v/>
      </c>
      <c r="BJ36" s="13">
        <f>IF(ISBLANK('Paste Full'!BL36),"",'Paste Full'!BL36)</f>
        <v/>
      </c>
      <c r="BK36" s="13">
        <f>IF(ISBLANK('Paste Full'!BQ36),"",'Paste Full'!BQ36)</f>
        <v/>
      </c>
      <c r="BL36" s="13">
        <f>IF(ISBLANK('Paste Full'!BT36),"",'Paste Full'!BT36)</f>
        <v/>
      </c>
      <c r="BM36" s="13">
        <f>IF(ISBLANK('Paste Full'!BW36),"",'Paste Full'!BW36)</f>
        <v/>
      </c>
    </row>
    <row r="37">
      <c r="A37">
        <f>IF(ISBLANK('Paste Full'!C37),"",'Paste Full'!C37)</f>
        <v/>
      </c>
      <c r="B37">
        <f>INDEX($J$1:$R$1, MATCH(MAX($J37:$R37), $J37:$R37, 0))</f>
        <v/>
      </c>
      <c r="C37" s="45">
        <f>IF(ISBLANK('Paste Full'!H37),"",'Paste Full'!H37)</f>
        <v/>
      </c>
      <c r="D37" s="45">
        <f>IF(ISBLANK('Paste Full'!F37),"",'Paste Full'!F37)</f>
        <v/>
      </c>
      <c r="E37" s="45">
        <f>IF(ISBLANK('Paste Full'!G37),"",'Paste Full'!G37)</f>
        <v/>
      </c>
      <c r="F37" s="21">
        <f>IF(ISBLANK('Paste Full'!E37),"",'Paste Full'!E37)</f>
        <v/>
      </c>
      <c r="G37">
        <f>IF(ISBLANK('Paste Full'!CI37),"",'Paste Full'!CI37)</f>
        <v/>
      </c>
      <c r="H37" s="21">
        <f>IF(ISBLANK('Paste Full'!J37),"",'Paste Full'!J37)</f>
        <v/>
      </c>
      <c r="I37" s="21">
        <f>IF(ISBLANK('Paste Full'!D37),"",'Paste Full'!D37)</f>
        <v/>
      </c>
      <c r="J37" s="14">
        <f>AVERAGE(SUMPRODUCT($S37:$BM37,AttWeights!$C$10:$AW$10)/SUM(AttWeights!$C$10:$AW$10),SUMPRODUCT($S37:$BM37,AttWeights!$C$17:$AW$17)/SUM(AttWeights!$C$17:$AW$17))*10</f>
        <v/>
      </c>
      <c r="K37" s="14">
        <f>AVERAGE(SUMPRODUCT($S37:$BM37,AttWeights!$C$7:$AW$7)/SUM(AttWeights!$C$7:$AW$7),SUMPRODUCT($S37:$BM37,AttWeights!$C$15:$AW$15)/SUM(AttWeights!$C$15:$AW$15))*10</f>
        <v/>
      </c>
      <c r="L37" s="14">
        <f>AVERAGE(SUMPRODUCT($S37:$BM37,AttWeights!$C$8:$AW$8)/SUM(AttWeights!$C$8:$AW$8),SUMPRODUCT($S37:$BM37,AttWeights!$C$16:$AW$16)/SUM(AttWeights!$C$16:$AW$16))*10</f>
        <v/>
      </c>
      <c r="M37" s="14">
        <f>AVERAGE(SUMPRODUCT($S37:$BM37,AttWeights!$C$9:$AW$9)/SUM(AttWeights!$C$9:$AW$9),SUMPRODUCT($S37:$BM37,AttWeights!$C$15:$AW$15)/SUM(AttWeights!$C$15:$AW$15))*10</f>
        <v/>
      </c>
      <c r="N37" s="14">
        <f>AVERAGE(SUMPRODUCT($S37:$BM37,AttWeights!$C$6:$AW$6)/SUM(AttWeights!$C$6:$AW$6),SUMPRODUCT($S37:$BM37,AttWeights!$C$14:$AW$14)/SUM(AttWeights!$C$14:$AW$14))*10</f>
        <v/>
      </c>
      <c r="O37" s="14">
        <f>AVERAGE(SUMPRODUCT($S37:$BM37,AttWeights!$C$5:$AW$5)/SUM(AttWeights!$C$5:$AW$5),SUMPRODUCT($S37:$BM37,AttWeights!$C$14:$AW$14)/SUM(AttWeights!$C$14:$AW$14))*10</f>
        <v/>
      </c>
      <c r="P37" s="14">
        <f>AVERAGE(SUMPRODUCT($S37:$BM37,AttWeights!$C$4:$AW$4)/SUM(AttWeights!$C$4:$AW$4),SUMPRODUCT($S37:$BM37,AttWeights!$C$13:$AW$13)/SUM(AttWeights!$C$13:$AW$13))*10</f>
        <v/>
      </c>
      <c r="Q37" s="14">
        <f>AVERAGE(SUMPRODUCT($S37:$BM37,AttWeights!$C$3:$AW$3)/SUM(AttWeights!$C$3:$AW$3),SUMPRODUCT($S37:$BM37,AttWeights!$C$12:$AW$12)/SUM(AttWeights!$C$12:$AW$12))*10</f>
        <v/>
      </c>
      <c r="R37" s="14">
        <f>AVERAGE(SUMPRODUCT($S37:$BM37,AttWeights!$C$2:$AW$2)/SUM(AttWeights!$C$2:$AW$2),SUMPRODUCT($S37:$BM37,AttWeights!$C$11:$AW$11)/SUM(AttWeights!$C$11:$AW$11))*10</f>
        <v/>
      </c>
      <c r="S37" s="3">
        <f>IF(ISBLANK('Paste Full'!AC37),"",'Paste Full'!AC37)</f>
        <v/>
      </c>
      <c r="T37" s="3">
        <f>IF(ISBLANK('Paste Full'!AD37),"",'Paste Full'!AD37)</f>
        <v/>
      </c>
      <c r="U37" s="3">
        <f>IF(ISBLANK('Paste Full'!AE37),"",'Paste Full'!AE37)</f>
        <v/>
      </c>
      <c r="V37" s="3">
        <f>IF(ISBLANK('Paste Full'!AF37),"",'Paste Full'!AF37)</f>
        <v/>
      </c>
      <c r="W37" s="3">
        <f>IF(ISBLANK('Paste Full'!AH37),"",'Paste Full'!AH37)</f>
        <v/>
      </c>
      <c r="X37" s="3">
        <f>IF(ISBLANK('Paste Full'!AI37),"",'Paste Full'!AI37)</f>
        <v/>
      </c>
      <c r="Y37" s="3">
        <f>IF(ISBLANK('Paste Full'!AK37),"",'Paste Full'!AK37)</f>
        <v/>
      </c>
      <c r="Z37" s="3">
        <f>IF(ISBLANK('Paste Full'!AL37),"",'Paste Full'!AL37)</f>
        <v/>
      </c>
      <c r="AA37" s="4">
        <f>IF(ISBLANK('Paste Full'!AM37),"",'Paste Full'!AM37)</f>
        <v/>
      </c>
      <c r="AB37" s="4">
        <f>IF(ISBLANK('Paste Full'!AN37),"",'Paste Full'!AN37)</f>
        <v/>
      </c>
      <c r="AC37" s="4">
        <f>IF(ISBLANK('Paste Full'!AO37),"",'Paste Full'!AO37)</f>
        <v/>
      </c>
      <c r="AD37" s="4">
        <f>IF(ISBLANK('Paste Full'!AP37),"",'Paste Full'!AP37)</f>
        <v/>
      </c>
      <c r="AE37" s="4">
        <f>IF(ISBLANK('Paste Full'!AQ37),"",'Paste Full'!AQ37)</f>
        <v/>
      </c>
      <c r="AF37" s="4">
        <f>IF(ISBLANK('Paste Full'!AR37),"",'Paste Full'!AR37)</f>
        <v/>
      </c>
      <c r="AG37" s="4">
        <f>IF(ISBLANK('Paste Full'!AS37),"",'Paste Full'!AS37)</f>
        <v/>
      </c>
      <c r="AH37" s="4">
        <f>IF(ISBLANK('Paste Full'!AV37),"",'Paste Full'!AV37)</f>
        <v/>
      </c>
      <c r="AI37" s="4">
        <f>IF(ISBLANK('Paste Full'!AT37),"",'Paste Full'!AT37)</f>
        <v/>
      </c>
      <c r="AJ37" s="4">
        <f>IF(ISBLANK('Paste Full'!AU37),"",'Paste Full'!AU37)</f>
        <v/>
      </c>
      <c r="AK37" s="4">
        <f>IF(ISBLANK('Paste Full'!AW37),"",'Paste Full'!AW37)</f>
        <v/>
      </c>
      <c r="AL37" s="5">
        <f>IF(ISBLANK('Paste Full'!AX37),"",'Paste Full'!AX37)</f>
        <v/>
      </c>
      <c r="AM37" s="5">
        <f>IF(ISBLANK('Paste Full'!AY37),"",'Paste Full'!AY37)</f>
        <v/>
      </c>
      <c r="AN37" s="5">
        <f>IF(ISBLANK('Paste Full'!AZ37),"",'Paste Full'!AZ37)</f>
        <v/>
      </c>
      <c r="AO37" s="5">
        <f>IF(ISBLANK('Paste Full'!BA37),"",'Paste Full'!BA37)</f>
        <v/>
      </c>
      <c r="AP37" s="5">
        <f>IF(ISBLANK('Paste Full'!BB37),"",'Paste Full'!BB37)</f>
        <v/>
      </c>
      <c r="AQ37" s="5">
        <f>IF(ISBLANK('Paste Full'!BC37),"",'Paste Full'!BC37)</f>
        <v/>
      </c>
      <c r="AR37" s="5">
        <f>IF(ISBLANK('Paste Full'!BD37),"",'Paste Full'!BD37)</f>
        <v/>
      </c>
      <c r="AS37" s="5">
        <f>IF(ISBLANK('Paste Full'!BE37),"",'Paste Full'!BE37)</f>
        <v/>
      </c>
      <c r="AT37" s="5">
        <f>IF(ISBLANK('Paste Full'!BF37),"",'Paste Full'!BF37)</f>
        <v/>
      </c>
      <c r="AU37" s="5">
        <f>IF(ISBLANK('Paste Full'!BG37),"",'Paste Full'!BG37)</f>
        <v/>
      </c>
      <c r="AV37" s="5">
        <f>IF(ISBLANK('Paste Full'!BH37),"",'Paste Full'!BH37)</f>
        <v/>
      </c>
      <c r="AW37" s="5">
        <f>IF(ISBLANK('Paste Full'!BI37),"",'Paste Full'!BI37)</f>
        <v/>
      </c>
      <c r="AX37" s="5">
        <f>IF(ISBLANK('Paste Full'!BJ37),"",'Paste Full'!BJ37)</f>
        <v/>
      </c>
      <c r="AY37" s="5">
        <f>IF(ISBLANK('Paste Full'!BK37),"",'Paste Full'!BK37)</f>
        <v/>
      </c>
      <c r="AZ37" s="6">
        <f>IF(ISBLANK('Paste Full'!BM37),"",'Paste Full'!BM37)</f>
        <v/>
      </c>
      <c r="BA37" s="6">
        <f>IF(ISBLANK('Paste Full'!BN37),"",'Paste Full'!BN37)</f>
        <v/>
      </c>
      <c r="BB37" s="6">
        <f>IF(ISBLANK('Paste Full'!BO37),"",'Paste Full'!BO37)</f>
        <v/>
      </c>
      <c r="BC37" s="6">
        <f>IF(ISBLANK('Paste Full'!BP37),"",'Paste Full'!BP37)</f>
        <v/>
      </c>
      <c r="BD37" s="6">
        <f>IF(ISBLANK('Paste Full'!BR37),"",'Paste Full'!BR37)</f>
        <v/>
      </c>
      <c r="BE37" s="6">
        <f>IF(ISBLANK('Paste Full'!BS37),"",'Paste Full'!BS37)</f>
        <v/>
      </c>
      <c r="BF37" s="6">
        <f>IF(ISBLANK('Paste Full'!BU37),"",'Paste Full'!BU37)</f>
        <v/>
      </c>
      <c r="BG37" s="6">
        <f>IF(ISBLANK('Paste Full'!BV37),"",'Paste Full'!BV37)</f>
        <v/>
      </c>
      <c r="BH37" s="6">
        <f>IF(ISBLANK('Paste Full'!BX37),"",'Paste Full'!BX37)</f>
        <v/>
      </c>
      <c r="BI37" s="6">
        <f>IF(ISBLANK('Paste Full'!BY37),"",'Paste Full'!BY37)</f>
        <v/>
      </c>
      <c r="BJ37" s="13">
        <f>IF(ISBLANK('Paste Full'!BL37),"",'Paste Full'!BL37)</f>
        <v/>
      </c>
      <c r="BK37" s="13">
        <f>IF(ISBLANK('Paste Full'!BQ37),"",'Paste Full'!BQ37)</f>
        <v/>
      </c>
      <c r="BL37" s="13">
        <f>IF(ISBLANK('Paste Full'!BT37),"",'Paste Full'!BT37)</f>
        <v/>
      </c>
      <c r="BM37" s="13">
        <f>IF(ISBLANK('Paste Full'!BW37),"",'Paste Full'!BW37)</f>
        <v/>
      </c>
    </row>
    <row r="38">
      <c r="A38">
        <f>IF(ISBLANK('Paste Full'!C38),"",'Paste Full'!C38)</f>
        <v/>
      </c>
      <c r="B38">
        <f>INDEX($J$1:$R$1, MATCH(MAX($J38:$R38), $J38:$R38, 0))</f>
        <v/>
      </c>
      <c r="C38" s="45">
        <f>IF(ISBLANK('Paste Full'!H38),"",'Paste Full'!H38)</f>
        <v/>
      </c>
      <c r="D38" s="45">
        <f>IF(ISBLANK('Paste Full'!F38),"",'Paste Full'!F38)</f>
        <v/>
      </c>
      <c r="E38" s="45">
        <f>IF(ISBLANK('Paste Full'!G38),"",'Paste Full'!G38)</f>
        <v/>
      </c>
      <c r="F38" s="21">
        <f>IF(ISBLANK('Paste Full'!E38),"",'Paste Full'!E38)</f>
        <v/>
      </c>
      <c r="G38">
        <f>IF(ISBLANK('Paste Full'!CI38),"",'Paste Full'!CI38)</f>
        <v/>
      </c>
      <c r="H38" s="21">
        <f>IF(ISBLANK('Paste Full'!J38),"",'Paste Full'!J38)</f>
        <v/>
      </c>
      <c r="I38" s="21">
        <f>IF(ISBLANK('Paste Full'!D38),"",'Paste Full'!D38)</f>
        <v/>
      </c>
      <c r="J38" s="14">
        <f>AVERAGE(SUMPRODUCT($S38:$BM38,AttWeights!$C$10:$AW$10)/SUM(AttWeights!$C$10:$AW$10),SUMPRODUCT($S38:$BM38,AttWeights!$C$17:$AW$17)/SUM(AttWeights!$C$17:$AW$17))*10</f>
        <v/>
      </c>
      <c r="K38" s="14">
        <f>AVERAGE(SUMPRODUCT($S38:$BM38,AttWeights!$C$7:$AW$7)/SUM(AttWeights!$C$7:$AW$7),SUMPRODUCT($S38:$BM38,AttWeights!$C$15:$AW$15)/SUM(AttWeights!$C$15:$AW$15))*10</f>
        <v/>
      </c>
      <c r="L38" s="14">
        <f>AVERAGE(SUMPRODUCT($S38:$BM38,AttWeights!$C$8:$AW$8)/SUM(AttWeights!$C$8:$AW$8),SUMPRODUCT($S38:$BM38,AttWeights!$C$16:$AW$16)/SUM(AttWeights!$C$16:$AW$16))*10</f>
        <v/>
      </c>
      <c r="M38" s="14">
        <f>AVERAGE(SUMPRODUCT($S38:$BM38,AttWeights!$C$9:$AW$9)/SUM(AttWeights!$C$9:$AW$9),SUMPRODUCT($S38:$BM38,AttWeights!$C$15:$AW$15)/SUM(AttWeights!$C$15:$AW$15))*10</f>
        <v/>
      </c>
      <c r="N38" s="14">
        <f>AVERAGE(SUMPRODUCT($S38:$BM38,AttWeights!$C$6:$AW$6)/SUM(AttWeights!$C$6:$AW$6),SUMPRODUCT($S38:$BM38,AttWeights!$C$14:$AW$14)/SUM(AttWeights!$C$14:$AW$14))*10</f>
        <v/>
      </c>
      <c r="O38" s="14">
        <f>AVERAGE(SUMPRODUCT($S38:$BM38,AttWeights!$C$5:$AW$5)/SUM(AttWeights!$C$5:$AW$5),SUMPRODUCT($S38:$BM38,AttWeights!$C$14:$AW$14)/SUM(AttWeights!$C$14:$AW$14))*10</f>
        <v/>
      </c>
      <c r="P38" s="14">
        <f>AVERAGE(SUMPRODUCT($S38:$BM38,AttWeights!$C$4:$AW$4)/SUM(AttWeights!$C$4:$AW$4),SUMPRODUCT($S38:$BM38,AttWeights!$C$13:$AW$13)/SUM(AttWeights!$C$13:$AW$13))*10</f>
        <v/>
      </c>
      <c r="Q38" s="14">
        <f>AVERAGE(SUMPRODUCT($S38:$BM38,AttWeights!$C$3:$AW$3)/SUM(AttWeights!$C$3:$AW$3),SUMPRODUCT($S38:$BM38,AttWeights!$C$12:$AW$12)/SUM(AttWeights!$C$12:$AW$12))*10</f>
        <v/>
      </c>
      <c r="R38" s="14">
        <f>AVERAGE(SUMPRODUCT($S38:$BM38,AttWeights!$C$2:$AW$2)/SUM(AttWeights!$C$2:$AW$2),SUMPRODUCT($S38:$BM38,AttWeights!$C$11:$AW$11)/SUM(AttWeights!$C$11:$AW$11))*10</f>
        <v/>
      </c>
      <c r="S38" s="3">
        <f>IF(ISBLANK('Paste Full'!AC38),"",'Paste Full'!AC38)</f>
        <v/>
      </c>
      <c r="T38" s="3">
        <f>IF(ISBLANK('Paste Full'!AD38),"",'Paste Full'!AD38)</f>
        <v/>
      </c>
      <c r="U38" s="3">
        <f>IF(ISBLANK('Paste Full'!AE38),"",'Paste Full'!AE38)</f>
        <v/>
      </c>
      <c r="V38" s="3">
        <f>IF(ISBLANK('Paste Full'!AF38),"",'Paste Full'!AF38)</f>
        <v/>
      </c>
      <c r="W38" s="3">
        <f>IF(ISBLANK('Paste Full'!AH38),"",'Paste Full'!AH38)</f>
        <v/>
      </c>
      <c r="X38" s="3">
        <f>IF(ISBLANK('Paste Full'!AI38),"",'Paste Full'!AI38)</f>
        <v/>
      </c>
      <c r="Y38" s="3">
        <f>IF(ISBLANK('Paste Full'!AK38),"",'Paste Full'!AK38)</f>
        <v/>
      </c>
      <c r="Z38" s="3">
        <f>IF(ISBLANK('Paste Full'!AL38),"",'Paste Full'!AL38)</f>
        <v/>
      </c>
      <c r="AA38" s="4">
        <f>IF(ISBLANK('Paste Full'!AM38),"",'Paste Full'!AM38)</f>
        <v/>
      </c>
      <c r="AB38" s="4">
        <f>IF(ISBLANK('Paste Full'!AN38),"",'Paste Full'!AN38)</f>
        <v/>
      </c>
      <c r="AC38" s="4">
        <f>IF(ISBLANK('Paste Full'!AO38),"",'Paste Full'!AO38)</f>
        <v/>
      </c>
      <c r="AD38" s="4">
        <f>IF(ISBLANK('Paste Full'!AP38),"",'Paste Full'!AP38)</f>
        <v/>
      </c>
      <c r="AE38" s="4">
        <f>IF(ISBLANK('Paste Full'!AQ38),"",'Paste Full'!AQ38)</f>
        <v/>
      </c>
      <c r="AF38" s="4">
        <f>IF(ISBLANK('Paste Full'!AR38),"",'Paste Full'!AR38)</f>
        <v/>
      </c>
      <c r="AG38" s="4">
        <f>IF(ISBLANK('Paste Full'!AS38),"",'Paste Full'!AS38)</f>
        <v/>
      </c>
      <c r="AH38" s="4">
        <f>IF(ISBLANK('Paste Full'!AV38),"",'Paste Full'!AV38)</f>
        <v/>
      </c>
      <c r="AI38" s="4">
        <f>IF(ISBLANK('Paste Full'!AT38),"",'Paste Full'!AT38)</f>
        <v/>
      </c>
      <c r="AJ38" s="4">
        <f>IF(ISBLANK('Paste Full'!AU38),"",'Paste Full'!AU38)</f>
        <v/>
      </c>
      <c r="AK38" s="4">
        <f>IF(ISBLANK('Paste Full'!AW38),"",'Paste Full'!AW38)</f>
        <v/>
      </c>
      <c r="AL38" s="5">
        <f>IF(ISBLANK('Paste Full'!AX38),"",'Paste Full'!AX38)</f>
        <v/>
      </c>
      <c r="AM38" s="5">
        <f>IF(ISBLANK('Paste Full'!AY38),"",'Paste Full'!AY38)</f>
        <v/>
      </c>
      <c r="AN38" s="5">
        <f>IF(ISBLANK('Paste Full'!AZ38),"",'Paste Full'!AZ38)</f>
        <v/>
      </c>
      <c r="AO38" s="5">
        <f>IF(ISBLANK('Paste Full'!BA38),"",'Paste Full'!BA38)</f>
        <v/>
      </c>
      <c r="AP38" s="5">
        <f>IF(ISBLANK('Paste Full'!BB38),"",'Paste Full'!BB38)</f>
        <v/>
      </c>
      <c r="AQ38" s="5">
        <f>IF(ISBLANK('Paste Full'!BC38),"",'Paste Full'!BC38)</f>
        <v/>
      </c>
      <c r="AR38" s="5">
        <f>IF(ISBLANK('Paste Full'!BD38),"",'Paste Full'!BD38)</f>
        <v/>
      </c>
      <c r="AS38" s="5">
        <f>IF(ISBLANK('Paste Full'!BE38),"",'Paste Full'!BE38)</f>
        <v/>
      </c>
      <c r="AT38" s="5">
        <f>IF(ISBLANK('Paste Full'!BF38),"",'Paste Full'!BF38)</f>
        <v/>
      </c>
      <c r="AU38" s="5">
        <f>IF(ISBLANK('Paste Full'!BG38),"",'Paste Full'!BG38)</f>
        <v/>
      </c>
      <c r="AV38" s="5">
        <f>IF(ISBLANK('Paste Full'!BH38),"",'Paste Full'!BH38)</f>
        <v/>
      </c>
      <c r="AW38" s="5">
        <f>IF(ISBLANK('Paste Full'!BI38),"",'Paste Full'!BI38)</f>
        <v/>
      </c>
      <c r="AX38" s="5">
        <f>IF(ISBLANK('Paste Full'!BJ38),"",'Paste Full'!BJ38)</f>
        <v/>
      </c>
      <c r="AY38" s="5">
        <f>IF(ISBLANK('Paste Full'!BK38),"",'Paste Full'!BK38)</f>
        <v/>
      </c>
      <c r="AZ38" s="6">
        <f>IF(ISBLANK('Paste Full'!BM38),"",'Paste Full'!BM38)</f>
        <v/>
      </c>
      <c r="BA38" s="6">
        <f>IF(ISBLANK('Paste Full'!BN38),"",'Paste Full'!BN38)</f>
        <v/>
      </c>
      <c r="BB38" s="6">
        <f>IF(ISBLANK('Paste Full'!BO38),"",'Paste Full'!BO38)</f>
        <v/>
      </c>
      <c r="BC38" s="6">
        <f>IF(ISBLANK('Paste Full'!BP38),"",'Paste Full'!BP38)</f>
        <v/>
      </c>
      <c r="BD38" s="6">
        <f>IF(ISBLANK('Paste Full'!BR38),"",'Paste Full'!BR38)</f>
        <v/>
      </c>
      <c r="BE38" s="6">
        <f>IF(ISBLANK('Paste Full'!BS38),"",'Paste Full'!BS38)</f>
        <v/>
      </c>
      <c r="BF38" s="6">
        <f>IF(ISBLANK('Paste Full'!BU38),"",'Paste Full'!BU38)</f>
        <v/>
      </c>
      <c r="BG38" s="6">
        <f>IF(ISBLANK('Paste Full'!BV38),"",'Paste Full'!BV38)</f>
        <v/>
      </c>
      <c r="BH38" s="6">
        <f>IF(ISBLANK('Paste Full'!BX38),"",'Paste Full'!BX38)</f>
        <v/>
      </c>
      <c r="BI38" s="6">
        <f>IF(ISBLANK('Paste Full'!BY38),"",'Paste Full'!BY38)</f>
        <v/>
      </c>
      <c r="BJ38" s="13">
        <f>IF(ISBLANK('Paste Full'!BL38),"",'Paste Full'!BL38)</f>
        <v/>
      </c>
      <c r="BK38" s="13">
        <f>IF(ISBLANK('Paste Full'!BQ38),"",'Paste Full'!BQ38)</f>
        <v/>
      </c>
      <c r="BL38" s="13">
        <f>IF(ISBLANK('Paste Full'!BT38),"",'Paste Full'!BT38)</f>
        <v/>
      </c>
      <c r="BM38" s="13">
        <f>IF(ISBLANK('Paste Full'!BW38),"",'Paste Full'!BW38)</f>
        <v/>
      </c>
    </row>
    <row r="39">
      <c r="A39">
        <f>IF(ISBLANK('Paste Full'!C39),"",'Paste Full'!C39)</f>
        <v/>
      </c>
      <c r="B39">
        <f>INDEX($J$1:$R$1, MATCH(MAX($J39:$R39), $J39:$R39, 0))</f>
        <v/>
      </c>
      <c r="C39" s="45">
        <f>IF(ISBLANK('Paste Full'!H39),"",'Paste Full'!H39)</f>
        <v/>
      </c>
      <c r="D39" s="45">
        <f>IF(ISBLANK('Paste Full'!F39),"",'Paste Full'!F39)</f>
        <v/>
      </c>
      <c r="E39" s="45">
        <f>IF(ISBLANK('Paste Full'!G39),"",'Paste Full'!G39)</f>
        <v/>
      </c>
      <c r="F39" s="21">
        <f>IF(ISBLANK('Paste Full'!E39),"",'Paste Full'!E39)</f>
        <v/>
      </c>
      <c r="G39">
        <f>IF(ISBLANK('Paste Full'!CI39),"",'Paste Full'!CI39)</f>
        <v/>
      </c>
      <c r="H39" s="21">
        <f>IF(ISBLANK('Paste Full'!J39),"",'Paste Full'!J39)</f>
        <v/>
      </c>
      <c r="I39" s="21">
        <f>IF(ISBLANK('Paste Full'!D39),"",'Paste Full'!D39)</f>
        <v/>
      </c>
      <c r="J39" s="14">
        <f>AVERAGE(SUMPRODUCT($S39:$BM39,AttWeights!$C$10:$AW$10)/SUM(AttWeights!$C$10:$AW$10),SUMPRODUCT($S39:$BM39,AttWeights!$C$17:$AW$17)/SUM(AttWeights!$C$17:$AW$17))*10</f>
        <v/>
      </c>
      <c r="K39" s="14">
        <f>AVERAGE(SUMPRODUCT($S39:$BM39,AttWeights!$C$7:$AW$7)/SUM(AttWeights!$C$7:$AW$7),SUMPRODUCT($S39:$BM39,AttWeights!$C$15:$AW$15)/SUM(AttWeights!$C$15:$AW$15))*10</f>
        <v/>
      </c>
      <c r="L39" s="14">
        <f>AVERAGE(SUMPRODUCT($S39:$BM39,AttWeights!$C$8:$AW$8)/SUM(AttWeights!$C$8:$AW$8),SUMPRODUCT($S39:$BM39,AttWeights!$C$16:$AW$16)/SUM(AttWeights!$C$16:$AW$16))*10</f>
        <v/>
      </c>
      <c r="M39" s="14">
        <f>AVERAGE(SUMPRODUCT($S39:$BM39,AttWeights!$C$9:$AW$9)/SUM(AttWeights!$C$9:$AW$9),SUMPRODUCT($S39:$BM39,AttWeights!$C$15:$AW$15)/SUM(AttWeights!$C$15:$AW$15))*10</f>
        <v/>
      </c>
      <c r="N39" s="14">
        <f>AVERAGE(SUMPRODUCT($S39:$BM39,AttWeights!$C$6:$AW$6)/SUM(AttWeights!$C$6:$AW$6),SUMPRODUCT($S39:$BM39,AttWeights!$C$14:$AW$14)/SUM(AttWeights!$C$14:$AW$14))*10</f>
        <v/>
      </c>
      <c r="O39" s="14">
        <f>AVERAGE(SUMPRODUCT($S39:$BM39,AttWeights!$C$5:$AW$5)/SUM(AttWeights!$C$5:$AW$5),SUMPRODUCT($S39:$BM39,AttWeights!$C$14:$AW$14)/SUM(AttWeights!$C$14:$AW$14))*10</f>
        <v/>
      </c>
      <c r="P39" s="14">
        <f>AVERAGE(SUMPRODUCT($S39:$BM39,AttWeights!$C$4:$AW$4)/SUM(AttWeights!$C$4:$AW$4),SUMPRODUCT($S39:$BM39,AttWeights!$C$13:$AW$13)/SUM(AttWeights!$C$13:$AW$13))*10</f>
        <v/>
      </c>
      <c r="Q39" s="14">
        <f>AVERAGE(SUMPRODUCT($S39:$BM39,AttWeights!$C$3:$AW$3)/SUM(AttWeights!$C$3:$AW$3),SUMPRODUCT($S39:$BM39,AttWeights!$C$12:$AW$12)/SUM(AttWeights!$C$12:$AW$12))*10</f>
        <v/>
      </c>
      <c r="R39" s="14">
        <f>AVERAGE(SUMPRODUCT($S39:$BM39,AttWeights!$C$2:$AW$2)/SUM(AttWeights!$C$2:$AW$2),SUMPRODUCT($S39:$BM39,AttWeights!$C$11:$AW$11)/SUM(AttWeights!$C$11:$AW$11))*10</f>
        <v/>
      </c>
      <c r="S39" s="3">
        <f>IF(ISBLANK('Paste Full'!AC39),"",'Paste Full'!AC39)</f>
        <v/>
      </c>
      <c r="T39" s="3">
        <f>IF(ISBLANK('Paste Full'!AD39),"",'Paste Full'!AD39)</f>
        <v/>
      </c>
      <c r="U39" s="3">
        <f>IF(ISBLANK('Paste Full'!AE39),"",'Paste Full'!AE39)</f>
        <v/>
      </c>
      <c r="V39" s="3">
        <f>IF(ISBLANK('Paste Full'!AF39),"",'Paste Full'!AF39)</f>
        <v/>
      </c>
      <c r="W39" s="3">
        <f>IF(ISBLANK('Paste Full'!AH39),"",'Paste Full'!AH39)</f>
        <v/>
      </c>
      <c r="X39" s="3">
        <f>IF(ISBLANK('Paste Full'!AI39),"",'Paste Full'!AI39)</f>
        <v/>
      </c>
      <c r="Y39" s="3">
        <f>IF(ISBLANK('Paste Full'!AK39),"",'Paste Full'!AK39)</f>
        <v/>
      </c>
      <c r="Z39" s="3">
        <f>IF(ISBLANK('Paste Full'!AL39),"",'Paste Full'!AL39)</f>
        <v/>
      </c>
      <c r="AA39" s="4">
        <f>IF(ISBLANK('Paste Full'!AM39),"",'Paste Full'!AM39)</f>
        <v/>
      </c>
      <c r="AB39" s="4">
        <f>IF(ISBLANK('Paste Full'!AN39),"",'Paste Full'!AN39)</f>
        <v/>
      </c>
      <c r="AC39" s="4">
        <f>IF(ISBLANK('Paste Full'!AO39),"",'Paste Full'!AO39)</f>
        <v/>
      </c>
      <c r="AD39" s="4">
        <f>IF(ISBLANK('Paste Full'!AP39),"",'Paste Full'!AP39)</f>
        <v/>
      </c>
      <c r="AE39" s="4">
        <f>IF(ISBLANK('Paste Full'!AQ39),"",'Paste Full'!AQ39)</f>
        <v/>
      </c>
      <c r="AF39" s="4">
        <f>IF(ISBLANK('Paste Full'!AR39),"",'Paste Full'!AR39)</f>
        <v/>
      </c>
      <c r="AG39" s="4">
        <f>IF(ISBLANK('Paste Full'!AS39),"",'Paste Full'!AS39)</f>
        <v/>
      </c>
      <c r="AH39" s="4">
        <f>IF(ISBLANK('Paste Full'!AV39),"",'Paste Full'!AV39)</f>
        <v/>
      </c>
      <c r="AI39" s="4">
        <f>IF(ISBLANK('Paste Full'!AT39),"",'Paste Full'!AT39)</f>
        <v/>
      </c>
      <c r="AJ39" s="4">
        <f>IF(ISBLANK('Paste Full'!AU39),"",'Paste Full'!AU39)</f>
        <v/>
      </c>
      <c r="AK39" s="4">
        <f>IF(ISBLANK('Paste Full'!AW39),"",'Paste Full'!AW39)</f>
        <v/>
      </c>
      <c r="AL39" s="5">
        <f>IF(ISBLANK('Paste Full'!AX39),"",'Paste Full'!AX39)</f>
        <v/>
      </c>
      <c r="AM39" s="5">
        <f>IF(ISBLANK('Paste Full'!AY39),"",'Paste Full'!AY39)</f>
        <v/>
      </c>
      <c r="AN39" s="5">
        <f>IF(ISBLANK('Paste Full'!AZ39),"",'Paste Full'!AZ39)</f>
        <v/>
      </c>
      <c r="AO39" s="5">
        <f>IF(ISBLANK('Paste Full'!BA39),"",'Paste Full'!BA39)</f>
        <v/>
      </c>
      <c r="AP39" s="5">
        <f>IF(ISBLANK('Paste Full'!BB39),"",'Paste Full'!BB39)</f>
        <v/>
      </c>
      <c r="AQ39" s="5">
        <f>IF(ISBLANK('Paste Full'!BC39),"",'Paste Full'!BC39)</f>
        <v/>
      </c>
      <c r="AR39" s="5">
        <f>IF(ISBLANK('Paste Full'!BD39),"",'Paste Full'!BD39)</f>
        <v/>
      </c>
      <c r="AS39" s="5">
        <f>IF(ISBLANK('Paste Full'!BE39),"",'Paste Full'!BE39)</f>
        <v/>
      </c>
      <c r="AT39" s="5">
        <f>IF(ISBLANK('Paste Full'!BF39),"",'Paste Full'!BF39)</f>
        <v/>
      </c>
      <c r="AU39" s="5">
        <f>IF(ISBLANK('Paste Full'!BG39),"",'Paste Full'!BG39)</f>
        <v/>
      </c>
      <c r="AV39" s="5">
        <f>IF(ISBLANK('Paste Full'!BH39),"",'Paste Full'!BH39)</f>
        <v/>
      </c>
      <c r="AW39" s="5">
        <f>IF(ISBLANK('Paste Full'!BI39),"",'Paste Full'!BI39)</f>
        <v/>
      </c>
      <c r="AX39" s="5">
        <f>IF(ISBLANK('Paste Full'!BJ39),"",'Paste Full'!BJ39)</f>
        <v/>
      </c>
      <c r="AY39" s="5">
        <f>IF(ISBLANK('Paste Full'!BK39),"",'Paste Full'!BK39)</f>
        <v/>
      </c>
      <c r="AZ39" s="6">
        <f>IF(ISBLANK('Paste Full'!BM39),"",'Paste Full'!BM39)</f>
        <v/>
      </c>
      <c r="BA39" s="6">
        <f>IF(ISBLANK('Paste Full'!BN39),"",'Paste Full'!BN39)</f>
        <v/>
      </c>
      <c r="BB39" s="6">
        <f>IF(ISBLANK('Paste Full'!BO39),"",'Paste Full'!BO39)</f>
        <v/>
      </c>
      <c r="BC39" s="6">
        <f>IF(ISBLANK('Paste Full'!BP39),"",'Paste Full'!BP39)</f>
        <v/>
      </c>
      <c r="BD39" s="6">
        <f>IF(ISBLANK('Paste Full'!BR39),"",'Paste Full'!BR39)</f>
        <v/>
      </c>
      <c r="BE39" s="6">
        <f>IF(ISBLANK('Paste Full'!BS39),"",'Paste Full'!BS39)</f>
        <v/>
      </c>
      <c r="BF39" s="6">
        <f>IF(ISBLANK('Paste Full'!BU39),"",'Paste Full'!BU39)</f>
        <v/>
      </c>
      <c r="BG39" s="6">
        <f>IF(ISBLANK('Paste Full'!BV39),"",'Paste Full'!BV39)</f>
        <v/>
      </c>
      <c r="BH39" s="6">
        <f>IF(ISBLANK('Paste Full'!BX39),"",'Paste Full'!BX39)</f>
        <v/>
      </c>
      <c r="BI39" s="6">
        <f>IF(ISBLANK('Paste Full'!BY39),"",'Paste Full'!BY39)</f>
        <v/>
      </c>
      <c r="BJ39" s="13">
        <f>IF(ISBLANK('Paste Full'!BL39),"",'Paste Full'!BL39)</f>
        <v/>
      </c>
      <c r="BK39" s="13">
        <f>IF(ISBLANK('Paste Full'!BQ39),"",'Paste Full'!BQ39)</f>
        <v/>
      </c>
      <c r="BL39" s="13">
        <f>IF(ISBLANK('Paste Full'!BT39),"",'Paste Full'!BT39)</f>
        <v/>
      </c>
      <c r="BM39" s="13">
        <f>IF(ISBLANK('Paste Full'!BW39),"",'Paste Full'!BW39)</f>
        <v/>
      </c>
    </row>
    <row r="40">
      <c r="A40">
        <f>IF(ISBLANK('Paste Full'!C40),"",'Paste Full'!C40)</f>
        <v/>
      </c>
      <c r="B40">
        <f>INDEX($J$1:$R$1, MATCH(MAX($J40:$R40), $J40:$R40, 0))</f>
        <v/>
      </c>
      <c r="C40" s="45">
        <f>IF(ISBLANK('Paste Full'!H40),"",'Paste Full'!H40)</f>
        <v/>
      </c>
      <c r="D40" s="45">
        <f>IF(ISBLANK('Paste Full'!F40),"",'Paste Full'!F40)</f>
        <v/>
      </c>
      <c r="E40" s="45">
        <f>IF(ISBLANK('Paste Full'!G40),"",'Paste Full'!G40)</f>
        <v/>
      </c>
      <c r="F40" s="21">
        <f>IF(ISBLANK('Paste Full'!E40),"",'Paste Full'!E40)</f>
        <v/>
      </c>
      <c r="G40">
        <f>IF(ISBLANK('Paste Full'!CI40),"",'Paste Full'!CI40)</f>
        <v/>
      </c>
      <c r="H40" s="21">
        <f>IF(ISBLANK('Paste Full'!J40),"",'Paste Full'!J40)</f>
        <v/>
      </c>
      <c r="I40" s="21">
        <f>IF(ISBLANK('Paste Full'!D40),"",'Paste Full'!D40)</f>
        <v/>
      </c>
      <c r="J40" s="14">
        <f>AVERAGE(SUMPRODUCT($S40:$BM40,AttWeights!$C$10:$AW$10)/SUM(AttWeights!$C$10:$AW$10),SUMPRODUCT($S40:$BM40,AttWeights!$C$17:$AW$17)/SUM(AttWeights!$C$17:$AW$17))*10</f>
        <v/>
      </c>
      <c r="K40" s="14">
        <f>AVERAGE(SUMPRODUCT($S40:$BM40,AttWeights!$C$7:$AW$7)/SUM(AttWeights!$C$7:$AW$7),SUMPRODUCT($S40:$BM40,AttWeights!$C$15:$AW$15)/SUM(AttWeights!$C$15:$AW$15))*10</f>
        <v/>
      </c>
      <c r="L40" s="14">
        <f>AVERAGE(SUMPRODUCT($S40:$BM40,AttWeights!$C$8:$AW$8)/SUM(AttWeights!$C$8:$AW$8),SUMPRODUCT($S40:$BM40,AttWeights!$C$16:$AW$16)/SUM(AttWeights!$C$16:$AW$16))*10</f>
        <v/>
      </c>
      <c r="M40" s="14">
        <f>AVERAGE(SUMPRODUCT($S40:$BM40,AttWeights!$C$9:$AW$9)/SUM(AttWeights!$C$9:$AW$9),SUMPRODUCT($S40:$BM40,AttWeights!$C$15:$AW$15)/SUM(AttWeights!$C$15:$AW$15))*10</f>
        <v/>
      </c>
      <c r="N40" s="14">
        <f>AVERAGE(SUMPRODUCT($S40:$BM40,AttWeights!$C$6:$AW$6)/SUM(AttWeights!$C$6:$AW$6),SUMPRODUCT($S40:$BM40,AttWeights!$C$14:$AW$14)/SUM(AttWeights!$C$14:$AW$14))*10</f>
        <v/>
      </c>
      <c r="O40" s="14">
        <f>AVERAGE(SUMPRODUCT($S40:$BM40,AttWeights!$C$5:$AW$5)/SUM(AttWeights!$C$5:$AW$5),SUMPRODUCT($S40:$BM40,AttWeights!$C$14:$AW$14)/SUM(AttWeights!$C$14:$AW$14))*10</f>
        <v/>
      </c>
      <c r="P40" s="14">
        <f>AVERAGE(SUMPRODUCT($S40:$BM40,AttWeights!$C$4:$AW$4)/SUM(AttWeights!$C$4:$AW$4),SUMPRODUCT($S40:$BM40,AttWeights!$C$13:$AW$13)/SUM(AttWeights!$C$13:$AW$13))*10</f>
        <v/>
      </c>
      <c r="Q40" s="14">
        <f>AVERAGE(SUMPRODUCT($S40:$BM40,AttWeights!$C$3:$AW$3)/SUM(AttWeights!$C$3:$AW$3),SUMPRODUCT($S40:$BM40,AttWeights!$C$12:$AW$12)/SUM(AttWeights!$C$12:$AW$12))*10</f>
        <v/>
      </c>
      <c r="R40" s="14">
        <f>AVERAGE(SUMPRODUCT($S40:$BM40,AttWeights!$C$2:$AW$2)/SUM(AttWeights!$C$2:$AW$2),SUMPRODUCT($S40:$BM40,AttWeights!$C$11:$AW$11)/SUM(AttWeights!$C$11:$AW$11))*10</f>
        <v/>
      </c>
      <c r="S40" s="3">
        <f>IF(ISBLANK('Paste Full'!AC40),"",'Paste Full'!AC40)</f>
        <v/>
      </c>
      <c r="T40" s="3">
        <f>IF(ISBLANK('Paste Full'!AD40),"",'Paste Full'!AD40)</f>
        <v/>
      </c>
      <c r="U40" s="3">
        <f>IF(ISBLANK('Paste Full'!AE40),"",'Paste Full'!AE40)</f>
        <v/>
      </c>
      <c r="V40" s="3">
        <f>IF(ISBLANK('Paste Full'!AF40),"",'Paste Full'!AF40)</f>
        <v/>
      </c>
      <c r="W40" s="3">
        <f>IF(ISBLANK('Paste Full'!AH40),"",'Paste Full'!AH40)</f>
        <v/>
      </c>
      <c r="X40" s="3">
        <f>IF(ISBLANK('Paste Full'!AI40),"",'Paste Full'!AI40)</f>
        <v/>
      </c>
      <c r="Y40" s="3">
        <f>IF(ISBLANK('Paste Full'!AK40),"",'Paste Full'!AK40)</f>
        <v/>
      </c>
      <c r="Z40" s="3">
        <f>IF(ISBLANK('Paste Full'!AL40),"",'Paste Full'!AL40)</f>
        <v/>
      </c>
      <c r="AA40" s="4">
        <f>IF(ISBLANK('Paste Full'!AM40),"",'Paste Full'!AM40)</f>
        <v/>
      </c>
      <c r="AB40" s="4">
        <f>IF(ISBLANK('Paste Full'!AN40),"",'Paste Full'!AN40)</f>
        <v/>
      </c>
      <c r="AC40" s="4">
        <f>IF(ISBLANK('Paste Full'!AO40),"",'Paste Full'!AO40)</f>
        <v/>
      </c>
      <c r="AD40" s="4">
        <f>IF(ISBLANK('Paste Full'!AP40),"",'Paste Full'!AP40)</f>
        <v/>
      </c>
      <c r="AE40" s="4">
        <f>IF(ISBLANK('Paste Full'!AQ40),"",'Paste Full'!AQ40)</f>
        <v/>
      </c>
      <c r="AF40" s="4">
        <f>IF(ISBLANK('Paste Full'!AR40),"",'Paste Full'!AR40)</f>
        <v/>
      </c>
      <c r="AG40" s="4">
        <f>IF(ISBLANK('Paste Full'!AS40),"",'Paste Full'!AS40)</f>
        <v/>
      </c>
      <c r="AH40" s="4">
        <f>IF(ISBLANK('Paste Full'!AV40),"",'Paste Full'!AV40)</f>
        <v/>
      </c>
      <c r="AI40" s="4">
        <f>IF(ISBLANK('Paste Full'!AT40),"",'Paste Full'!AT40)</f>
        <v/>
      </c>
      <c r="AJ40" s="4">
        <f>IF(ISBLANK('Paste Full'!AU40),"",'Paste Full'!AU40)</f>
        <v/>
      </c>
      <c r="AK40" s="4">
        <f>IF(ISBLANK('Paste Full'!AW40),"",'Paste Full'!AW40)</f>
        <v/>
      </c>
      <c r="AL40" s="5">
        <f>IF(ISBLANK('Paste Full'!AX40),"",'Paste Full'!AX40)</f>
        <v/>
      </c>
      <c r="AM40" s="5">
        <f>IF(ISBLANK('Paste Full'!AY40),"",'Paste Full'!AY40)</f>
        <v/>
      </c>
      <c r="AN40" s="5">
        <f>IF(ISBLANK('Paste Full'!AZ40),"",'Paste Full'!AZ40)</f>
        <v/>
      </c>
      <c r="AO40" s="5">
        <f>IF(ISBLANK('Paste Full'!BA40),"",'Paste Full'!BA40)</f>
        <v/>
      </c>
      <c r="AP40" s="5">
        <f>IF(ISBLANK('Paste Full'!BB40),"",'Paste Full'!BB40)</f>
        <v/>
      </c>
      <c r="AQ40" s="5">
        <f>IF(ISBLANK('Paste Full'!BC40),"",'Paste Full'!BC40)</f>
        <v/>
      </c>
      <c r="AR40" s="5">
        <f>IF(ISBLANK('Paste Full'!BD40),"",'Paste Full'!BD40)</f>
        <v/>
      </c>
      <c r="AS40" s="5">
        <f>IF(ISBLANK('Paste Full'!BE40),"",'Paste Full'!BE40)</f>
        <v/>
      </c>
      <c r="AT40" s="5">
        <f>IF(ISBLANK('Paste Full'!BF40),"",'Paste Full'!BF40)</f>
        <v/>
      </c>
      <c r="AU40" s="5">
        <f>IF(ISBLANK('Paste Full'!BG40),"",'Paste Full'!BG40)</f>
        <v/>
      </c>
      <c r="AV40" s="5">
        <f>IF(ISBLANK('Paste Full'!BH40),"",'Paste Full'!BH40)</f>
        <v/>
      </c>
      <c r="AW40" s="5">
        <f>IF(ISBLANK('Paste Full'!BI40),"",'Paste Full'!BI40)</f>
        <v/>
      </c>
      <c r="AX40" s="5">
        <f>IF(ISBLANK('Paste Full'!BJ40),"",'Paste Full'!BJ40)</f>
        <v/>
      </c>
      <c r="AY40" s="5">
        <f>IF(ISBLANK('Paste Full'!BK40),"",'Paste Full'!BK40)</f>
        <v/>
      </c>
      <c r="AZ40" s="6">
        <f>IF(ISBLANK('Paste Full'!BM40),"",'Paste Full'!BM40)</f>
        <v/>
      </c>
      <c r="BA40" s="6">
        <f>IF(ISBLANK('Paste Full'!BN40),"",'Paste Full'!BN40)</f>
        <v/>
      </c>
      <c r="BB40" s="6">
        <f>IF(ISBLANK('Paste Full'!BO40),"",'Paste Full'!BO40)</f>
        <v/>
      </c>
      <c r="BC40" s="6">
        <f>IF(ISBLANK('Paste Full'!BP40),"",'Paste Full'!BP40)</f>
        <v/>
      </c>
      <c r="BD40" s="6">
        <f>IF(ISBLANK('Paste Full'!BR40),"",'Paste Full'!BR40)</f>
        <v/>
      </c>
      <c r="BE40" s="6">
        <f>IF(ISBLANK('Paste Full'!BS40),"",'Paste Full'!BS40)</f>
        <v/>
      </c>
      <c r="BF40" s="6">
        <f>IF(ISBLANK('Paste Full'!BU40),"",'Paste Full'!BU40)</f>
        <v/>
      </c>
      <c r="BG40" s="6">
        <f>IF(ISBLANK('Paste Full'!BV40),"",'Paste Full'!BV40)</f>
        <v/>
      </c>
      <c r="BH40" s="6">
        <f>IF(ISBLANK('Paste Full'!BX40),"",'Paste Full'!BX40)</f>
        <v/>
      </c>
      <c r="BI40" s="6">
        <f>IF(ISBLANK('Paste Full'!BY40),"",'Paste Full'!BY40)</f>
        <v/>
      </c>
      <c r="BJ40" s="13">
        <f>IF(ISBLANK('Paste Full'!BL40),"",'Paste Full'!BL40)</f>
        <v/>
      </c>
      <c r="BK40" s="13">
        <f>IF(ISBLANK('Paste Full'!BQ40),"",'Paste Full'!BQ40)</f>
        <v/>
      </c>
      <c r="BL40" s="13">
        <f>IF(ISBLANK('Paste Full'!BT40),"",'Paste Full'!BT40)</f>
        <v/>
      </c>
      <c r="BM40" s="13">
        <f>IF(ISBLANK('Paste Full'!BW40),"",'Paste Full'!BW40)</f>
        <v/>
      </c>
    </row>
    <row r="41">
      <c r="A41">
        <f>IF(ISBLANK('Paste Full'!C41),"",'Paste Full'!C41)</f>
        <v/>
      </c>
      <c r="B41">
        <f>INDEX($J$1:$R$1, MATCH(MAX($J41:$R41), $J41:$R41, 0))</f>
        <v/>
      </c>
      <c r="C41" s="45">
        <f>IF(ISBLANK('Paste Full'!H41),"",'Paste Full'!H41)</f>
        <v/>
      </c>
      <c r="D41" s="45">
        <f>IF(ISBLANK('Paste Full'!F41),"",'Paste Full'!F41)</f>
        <v/>
      </c>
      <c r="E41" s="45">
        <f>IF(ISBLANK('Paste Full'!G41),"",'Paste Full'!G41)</f>
        <v/>
      </c>
      <c r="F41" s="21">
        <f>IF(ISBLANK('Paste Full'!E41),"",'Paste Full'!E41)</f>
        <v/>
      </c>
      <c r="G41">
        <f>IF(ISBLANK('Paste Full'!CI41),"",'Paste Full'!CI41)</f>
        <v/>
      </c>
      <c r="H41" s="21">
        <f>IF(ISBLANK('Paste Full'!J41),"",'Paste Full'!J41)</f>
        <v/>
      </c>
      <c r="I41" s="21">
        <f>IF(ISBLANK('Paste Full'!D41),"",'Paste Full'!D41)</f>
        <v/>
      </c>
      <c r="J41" s="14">
        <f>AVERAGE(SUMPRODUCT($S41:$BM41,AttWeights!$C$10:$AW$10)/SUM(AttWeights!$C$10:$AW$10),SUMPRODUCT($S41:$BM41,AttWeights!$C$17:$AW$17)/SUM(AttWeights!$C$17:$AW$17))*10</f>
        <v/>
      </c>
      <c r="K41" s="14">
        <f>AVERAGE(SUMPRODUCT($S41:$BM41,AttWeights!$C$7:$AW$7)/SUM(AttWeights!$C$7:$AW$7),SUMPRODUCT($S41:$BM41,AttWeights!$C$15:$AW$15)/SUM(AttWeights!$C$15:$AW$15))*10</f>
        <v/>
      </c>
      <c r="L41" s="14">
        <f>AVERAGE(SUMPRODUCT($S41:$BM41,AttWeights!$C$8:$AW$8)/SUM(AttWeights!$C$8:$AW$8),SUMPRODUCT($S41:$BM41,AttWeights!$C$16:$AW$16)/SUM(AttWeights!$C$16:$AW$16))*10</f>
        <v/>
      </c>
      <c r="M41" s="14">
        <f>AVERAGE(SUMPRODUCT($S41:$BM41,AttWeights!$C$9:$AW$9)/SUM(AttWeights!$C$9:$AW$9),SUMPRODUCT($S41:$BM41,AttWeights!$C$15:$AW$15)/SUM(AttWeights!$C$15:$AW$15))*10</f>
        <v/>
      </c>
      <c r="N41" s="14">
        <f>AVERAGE(SUMPRODUCT($S41:$BM41,AttWeights!$C$6:$AW$6)/SUM(AttWeights!$C$6:$AW$6),SUMPRODUCT($S41:$BM41,AttWeights!$C$14:$AW$14)/SUM(AttWeights!$C$14:$AW$14))*10</f>
        <v/>
      </c>
      <c r="O41" s="14">
        <f>AVERAGE(SUMPRODUCT($S41:$BM41,AttWeights!$C$5:$AW$5)/SUM(AttWeights!$C$5:$AW$5),SUMPRODUCT($S41:$BM41,AttWeights!$C$14:$AW$14)/SUM(AttWeights!$C$14:$AW$14))*10</f>
        <v/>
      </c>
      <c r="P41" s="14">
        <f>AVERAGE(SUMPRODUCT($S41:$BM41,AttWeights!$C$4:$AW$4)/SUM(AttWeights!$C$4:$AW$4),SUMPRODUCT($S41:$BM41,AttWeights!$C$13:$AW$13)/SUM(AttWeights!$C$13:$AW$13))*10</f>
        <v/>
      </c>
      <c r="Q41" s="14">
        <f>AVERAGE(SUMPRODUCT($S41:$BM41,AttWeights!$C$3:$AW$3)/SUM(AttWeights!$C$3:$AW$3),SUMPRODUCT($S41:$BM41,AttWeights!$C$12:$AW$12)/SUM(AttWeights!$C$12:$AW$12))*10</f>
        <v/>
      </c>
      <c r="R41" s="14">
        <f>AVERAGE(SUMPRODUCT($S41:$BM41,AttWeights!$C$2:$AW$2)/SUM(AttWeights!$C$2:$AW$2),SUMPRODUCT($S41:$BM41,AttWeights!$C$11:$AW$11)/SUM(AttWeights!$C$11:$AW$11))*10</f>
        <v/>
      </c>
      <c r="S41" s="3">
        <f>IF(ISBLANK('Paste Full'!AC41),"",'Paste Full'!AC41)</f>
        <v/>
      </c>
      <c r="T41" s="3">
        <f>IF(ISBLANK('Paste Full'!AD41),"",'Paste Full'!AD41)</f>
        <v/>
      </c>
      <c r="U41" s="3">
        <f>IF(ISBLANK('Paste Full'!AE41),"",'Paste Full'!AE41)</f>
        <v/>
      </c>
      <c r="V41" s="3">
        <f>IF(ISBLANK('Paste Full'!AF41),"",'Paste Full'!AF41)</f>
        <v/>
      </c>
      <c r="W41" s="3">
        <f>IF(ISBLANK('Paste Full'!AH41),"",'Paste Full'!AH41)</f>
        <v/>
      </c>
      <c r="X41" s="3">
        <f>IF(ISBLANK('Paste Full'!AI41),"",'Paste Full'!AI41)</f>
        <v/>
      </c>
      <c r="Y41" s="3">
        <f>IF(ISBLANK('Paste Full'!AK41),"",'Paste Full'!AK41)</f>
        <v/>
      </c>
      <c r="Z41" s="3">
        <f>IF(ISBLANK('Paste Full'!AL41),"",'Paste Full'!AL41)</f>
        <v/>
      </c>
      <c r="AA41" s="4">
        <f>IF(ISBLANK('Paste Full'!AM41),"",'Paste Full'!AM41)</f>
        <v/>
      </c>
      <c r="AB41" s="4">
        <f>IF(ISBLANK('Paste Full'!AN41),"",'Paste Full'!AN41)</f>
        <v/>
      </c>
      <c r="AC41" s="4">
        <f>IF(ISBLANK('Paste Full'!AO41),"",'Paste Full'!AO41)</f>
        <v/>
      </c>
      <c r="AD41" s="4">
        <f>IF(ISBLANK('Paste Full'!AP41),"",'Paste Full'!AP41)</f>
        <v/>
      </c>
      <c r="AE41" s="4">
        <f>IF(ISBLANK('Paste Full'!AQ41),"",'Paste Full'!AQ41)</f>
        <v/>
      </c>
      <c r="AF41" s="4">
        <f>IF(ISBLANK('Paste Full'!AR41),"",'Paste Full'!AR41)</f>
        <v/>
      </c>
      <c r="AG41" s="4">
        <f>IF(ISBLANK('Paste Full'!AS41),"",'Paste Full'!AS41)</f>
        <v/>
      </c>
      <c r="AH41" s="4">
        <f>IF(ISBLANK('Paste Full'!AV41),"",'Paste Full'!AV41)</f>
        <v/>
      </c>
      <c r="AI41" s="4">
        <f>IF(ISBLANK('Paste Full'!AT41),"",'Paste Full'!AT41)</f>
        <v/>
      </c>
      <c r="AJ41" s="4">
        <f>IF(ISBLANK('Paste Full'!AU41),"",'Paste Full'!AU41)</f>
        <v/>
      </c>
      <c r="AK41" s="4">
        <f>IF(ISBLANK('Paste Full'!AW41),"",'Paste Full'!AW41)</f>
        <v/>
      </c>
      <c r="AL41" s="5">
        <f>IF(ISBLANK('Paste Full'!AX41),"",'Paste Full'!AX41)</f>
        <v/>
      </c>
      <c r="AM41" s="5">
        <f>IF(ISBLANK('Paste Full'!AY41),"",'Paste Full'!AY41)</f>
        <v/>
      </c>
      <c r="AN41" s="5">
        <f>IF(ISBLANK('Paste Full'!AZ41),"",'Paste Full'!AZ41)</f>
        <v/>
      </c>
      <c r="AO41" s="5">
        <f>IF(ISBLANK('Paste Full'!BA41),"",'Paste Full'!BA41)</f>
        <v/>
      </c>
      <c r="AP41" s="5">
        <f>IF(ISBLANK('Paste Full'!BB41),"",'Paste Full'!BB41)</f>
        <v/>
      </c>
      <c r="AQ41" s="5">
        <f>IF(ISBLANK('Paste Full'!BC41),"",'Paste Full'!BC41)</f>
        <v/>
      </c>
      <c r="AR41" s="5">
        <f>IF(ISBLANK('Paste Full'!BD41),"",'Paste Full'!BD41)</f>
        <v/>
      </c>
      <c r="AS41" s="5">
        <f>IF(ISBLANK('Paste Full'!BE41),"",'Paste Full'!BE41)</f>
        <v/>
      </c>
      <c r="AT41" s="5">
        <f>IF(ISBLANK('Paste Full'!BF41),"",'Paste Full'!BF41)</f>
        <v/>
      </c>
      <c r="AU41" s="5">
        <f>IF(ISBLANK('Paste Full'!BG41),"",'Paste Full'!BG41)</f>
        <v/>
      </c>
      <c r="AV41" s="5">
        <f>IF(ISBLANK('Paste Full'!BH41),"",'Paste Full'!BH41)</f>
        <v/>
      </c>
      <c r="AW41" s="5">
        <f>IF(ISBLANK('Paste Full'!BI41),"",'Paste Full'!BI41)</f>
        <v/>
      </c>
      <c r="AX41" s="5">
        <f>IF(ISBLANK('Paste Full'!BJ41),"",'Paste Full'!BJ41)</f>
        <v/>
      </c>
      <c r="AY41" s="5">
        <f>IF(ISBLANK('Paste Full'!BK41),"",'Paste Full'!BK41)</f>
        <v/>
      </c>
      <c r="AZ41" s="6">
        <f>IF(ISBLANK('Paste Full'!BM41),"",'Paste Full'!BM41)</f>
        <v/>
      </c>
      <c r="BA41" s="6">
        <f>IF(ISBLANK('Paste Full'!BN41),"",'Paste Full'!BN41)</f>
        <v/>
      </c>
      <c r="BB41" s="6">
        <f>IF(ISBLANK('Paste Full'!BO41),"",'Paste Full'!BO41)</f>
        <v/>
      </c>
      <c r="BC41" s="6">
        <f>IF(ISBLANK('Paste Full'!BP41),"",'Paste Full'!BP41)</f>
        <v/>
      </c>
      <c r="BD41" s="6">
        <f>IF(ISBLANK('Paste Full'!BR41),"",'Paste Full'!BR41)</f>
        <v/>
      </c>
      <c r="BE41" s="6">
        <f>IF(ISBLANK('Paste Full'!BS41),"",'Paste Full'!BS41)</f>
        <v/>
      </c>
      <c r="BF41" s="6">
        <f>IF(ISBLANK('Paste Full'!BU41),"",'Paste Full'!BU41)</f>
        <v/>
      </c>
      <c r="BG41" s="6">
        <f>IF(ISBLANK('Paste Full'!BV41),"",'Paste Full'!BV41)</f>
        <v/>
      </c>
      <c r="BH41" s="6">
        <f>IF(ISBLANK('Paste Full'!BX41),"",'Paste Full'!BX41)</f>
        <v/>
      </c>
      <c r="BI41" s="6">
        <f>IF(ISBLANK('Paste Full'!BY41),"",'Paste Full'!BY41)</f>
        <v/>
      </c>
      <c r="BJ41" s="13">
        <f>IF(ISBLANK('Paste Full'!BL41),"",'Paste Full'!BL41)</f>
        <v/>
      </c>
      <c r="BK41" s="13">
        <f>IF(ISBLANK('Paste Full'!BQ41),"",'Paste Full'!BQ41)</f>
        <v/>
      </c>
      <c r="BL41" s="13">
        <f>IF(ISBLANK('Paste Full'!BT41),"",'Paste Full'!BT41)</f>
        <v/>
      </c>
      <c r="BM41" s="13">
        <f>IF(ISBLANK('Paste Full'!BW41),"",'Paste Full'!BW41)</f>
        <v/>
      </c>
    </row>
    <row r="42">
      <c r="A42">
        <f>IF(ISBLANK('Paste Full'!C42),"",'Paste Full'!C42)</f>
        <v/>
      </c>
      <c r="B42">
        <f>INDEX($J$1:$R$1, MATCH(MAX($J42:$R42), $J42:$R42, 0))</f>
        <v/>
      </c>
      <c r="C42" s="45">
        <f>IF(ISBLANK('Paste Full'!H42),"",'Paste Full'!H42)</f>
        <v/>
      </c>
      <c r="D42" s="45">
        <f>IF(ISBLANK('Paste Full'!F42),"",'Paste Full'!F42)</f>
        <v/>
      </c>
      <c r="E42" s="45">
        <f>IF(ISBLANK('Paste Full'!G42),"",'Paste Full'!G42)</f>
        <v/>
      </c>
      <c r="F42" s="21">
        <f>IF(ISBLANK('Paste Full'!E42),"",'Paste Full'!E42)</f>
        <v/>
      </c>
      <c r="G42">
        <f>IF(ISBLANK('Paste Full'!CI42),"",'Paste Full'!CI42)</f>
        <v/>
      </c>
      <c r="H42" s="21">
        <f>IF(ISBLANK('Paste Full'!J42),"",'Paste Full'!J42)</f>
        <v/>
      </c>
      <c r="I42" s="21">
        <f>IF(ISBLANK('Paste Full'!D42),"",'Paste Full'!D42)</f>
        <v/>
      </c>
      <c r="J42" s="14">
        <f>AVERAGE(SUMPRODUCT($S42:$BM42,AttWeights!$C$10:$AW$10)/SUM(AttWeights!$C$10:$AW$10),SUMPRODUCT($S42:$BM42,AttWeights!$C$17:$AW$17)/SUM(AttWeights!$C$17:$AW$17))*10</f>
        <v/>
      </c>
      <c r="K42" s="14">
        <f>AVERAGE(SUMPRODUCT($S42:$BM42,AttWeights!$C$7:$AW$7)/SUM(AttWeights!$C$7:$AW$7),SUMPRODUCT($S42:$BM42,AttWeights!$C$15:$AW$15)/SUM(AttWeights!$C$15:$AW$15))*10</f>
        <v/>
      </c>
      <c r="L42" s="14">
        <f>AVERAGE(SUMPRODUCT($S42:$BM42,AttWeights!$C$8:$AW$8)/SUM(AttWeights!$C$8:$AW$8),SUMPRODUCT($S42:$BM42,AttWeights!$C$16:$AW$16)/SUM(AttWeights!$C$16:$AW$16))*10</f>
        <v/>
      </c>
      <c r="M42" s="14">
        <f>AVERAGE(SUMPRODUCT($S42:$BM42,AttWeights!$C$9:$AW$9)/SUM(AttWeights!$C$9:$AW$9),SUMPRODUCT($S42:$BM42,AttWeights!$C$15:$AW$15)/SUM(AttWeights!$C$15:$AW$15))*10</f>
        <v/>
      </c>
      <c r="N42" s="14">
        <f>AVERAGE(SUMPRODUCT($S42:$BM42,AttWeights!$C$6:$AW$6)/SUM(AttWeights!$C$6:$AW$6),SUMPRODUCT($S42:$BM42,AttWeights!$C$14:$AW$14)/SUM(AttWeights!$C$14:$AW$14))*10</f>
        <v/>
      </c>
      <c r="O42" s="14">
        <f>AVERAGE(SUMPRODUCT($S42:$BM42,AttWeights!$C$5:$AW$5)/SUM(AttWeights!$C$5:$AW$5),SUMPRODUCT($S42:$BM42,AttWeights!$C$14:$AW$14)/SUM(AttWeights!$C$14:$AW$14))*10</f>
        <v/>
      </c>
      <c r="P42" s="14">
        <f>AVERAGE(SUMPRODUCT($S42:$BM42,AttWeights!$C$4:$AW$4)/SUM(AttWeights!$C$4:$AW$4),SUMPRODUCT($S42:$BM42,AttWeights!$C$13:$AW$13)/SUM(AttWeights!$C$13:$AW$13))*10</f>
        <v/>
      </c>
      <c r="Q42" s="14">
        <f>AVERAGE(SUMPRODUCT($S42:$BM42,AttWeights!$C$3:$AW$3)/SUM(AttWeights!$C$3:$AW$3),SUMPRODUCT($S42:$BM42,AttWeights!$C$12:$AW$12)/SUM(AttWeights!$C$12:$AW$12))*10</f>
        <v/>
      </c>
      <c r="R42" s="14">
        <f>AVERAGE(SUMPRODUCT($S42:$BM42,AttWeights!$C$2:$AW$2)/SUM(AttWeights!$C$2:$AW$2),SUMPRODUCT($S42:$BM42,AttWeights!$C$11:$AW$11)/SUM(AttWeights!$C$11:$AW$11))*10</f>
        <v/>
      </c>
      <c r="S42" s="3">
        <f>IF(ISBLANK('Paste Full'!AC42),"",'Paste Full'!AC42)</f>
        <v/>
      </c>
      <c r="T42" s="3">
        <f>IF(ISBLANK('Paste Full'!AD42),"",'Paste Full'!AD42)</f>
        <v/>
      </c>
      <c r="U42" s="3">
        <f>IF(ISBLANK('Paste Full'!AE42),"",'Paste Full'!AE42)</f>
        <v/>
      </c>
      <c r="V42" s="3">
        <f>IF(ISBLANK('Paste Full'!AF42),"",'Paste Full'!AF42)</f>
        <v/>
      </c>
      <c r="W42" s="3">
        <f>IF(ISBLANK('Paste Full'!AH42),"",'Paste Full'!AH42)</f>
        <v/>
      </c>
      <c r="X42" s="3">
        <f>IF(ISBLANK('Paste Full'!AI42),"",'Paste Full'!AI42)</f>
        <v/>
      </c>
      <c r="Y42" s="3">
        <f>IF(ISBLANK('Paste Full'!AK42),"",'Paste Full'!AK42)</f>
        <v/>
      </c>
      <c r="Z42" s="3">
        <f>IF(ISBLANK('Paste Full'!AL42),"",'Paste Full'!AL42)</f>
        <v/>
      </c>
      <c r="AA42" s="4">
        <f>IF(ISBLANK('Paste Full'!AM42),"",'Paste Full'!AM42)</f>
        <v/>
      </c>
      <c r="AB42" s="4">
        <f>IF(ISBLANK('Paste Full'!AN42),"",'Paste Full'!AN42)</f>
        <v/>
      </c>
      <c r="AC42" s="4">
        <f>IF(ISBLANK('Paste Full'!AO42),"",'Paste Full'!AO42)</f>
        <v/>
      </c>
      <c r="AD42" s="4">
        <f>IF(ISBLANK('Paste Full'!AP42),"",'Paste Full'!AP42)</f>
        <v/>
      </c>
      <c r="AE42" s="4">
        <f>IF(ISBLANK('Paste Full'!AQ42),"",'Paste Full'!AQ42)</f>
        <v/>
      </c>
      <c r="AF42" s="4">
        <f>IF(ISBLANK('Paste Full'!AR42),"",'Paste Full'!AR42)</f>
        <v/>
      </c>
      <c r="AG42" s="4">
        <f>IF(ISBLANK('Paste Full'!AS42),"",'Paste Full'!AS42)</f>
        <v/>
      </c>
      <c r="AH42" s="4">
        <f>IF(ISBLANK('Paste Full'!AV42),"",'Paste Full'!AV42)</f>
        <v/>
      </c>
      <c r="AI42" s="4">
        <f>IF(ISBLANK('Paste Full'!AT42),"",'Paste Full'!AT42)</f>
        <v/>
      </c>
      <c r="AJ42" s="4">
        <f>IF(ISBLANK('Paste Full'!AU42),"",'Paste Full'!AU42)</f>
        <v/>
      </c>
      <c r="AK42" s="4">
        <f>IF(ISBLANK('Paste Full'!AW42),"",'Paste Full'!AW42)</f>
        <v/>
      </c>
      <c r="AL42" s="5">
        <f>IF(ISBLANK('Paste Full'!AX42),"",'Paste Full'!AX42)</f>
        <v/>
      </c>
      <c r="AM42" s="5">
        <f>IF(ISBLANK('Paste Full'!AY42),"",'Paste Full'!AY42)</f>
        <v/>
      </c>
      <c r="AN42" s="5">
        <f>IF(ISBLANK('Paste Full'!AZ42),"",'Paste Full'!AZ42)</f>
        <v/>
      </c>
      <c r="AO42" s="5">
        <f>IF(ISBLANK('Paste Full'!BA42),"",'Paste Full'!BA42)</f>
        <v/>
      </c>
      <c r="AP42" s="5">
        <f>IF(ISBLANK('Paste Full'!BB42),"",'Paste Full'!BB42)</f>
        <v/>
      </c>
      <c r="AQ42" s="5">
        <f>IF(ISBLANK('Paste Full'!BC42),"",'Paste Full'!BC42)</f>
        <v/>
      </c>
      <c r="AR42" s="5">
        <f>IF(ISBLANK('Paste Full'!BD42),"",'Paste Full'!BD42)</f>
        <v/>
      </c>
      <c r="AS42" s="5">
        <f>IF(ISBLANK('Paste Full'!BE42),"",'Paste Full'!BE42)</f>
        <v/>
      </c>
      <c r="AT42" s="5">
        <f>IF(ISBLANK('Paste Full'!BF42),"",'Paste Full'!BF42)</f>
        <v/>
      </c>
      <c r="AU42" s="5">
        <f>IF(ISBLANK('Paste Full'!BG42),"",'Paste Full'!BG42)</f>
        <v/>
      </c>
      <c r="AV42" s="5">
        <f>IF(ISBLANK('Paste Full'!BH42),"",'Paste Full'!BH42)</f>
        <v/>
      </c>
      <c r="AW42" s="5">
        <f>IF(ISBLANK('Paste Full'!BI42),"",'Paste Full'!BI42)</f>
        <v/>
      </c>
      <c r="AX42" s="5">
        <f>IF(ISBLANK('Paste Full'!BJ42),"",'Paste Full'!BJ42)</f>
        <v/>
      </c>
      <c r="AY42" s="5">
        <f>IF(ISBLANK('Paste Full'!BK42),"",'Paste Full'!BK42)</f>
        <v/>
      </c>
      <c r="AZ42" s="6">
        <f>IF(ISBLANK('Paste Full'!BM42),"",'Paste Full'!BM42)</f>
        <v/>
      </c>
      <c r="BA42" s="6">
        <f>IF(ISBLANK('Paste Full'!BN42),"",'Paste Full'!BN42)</f>
        <v/>
      </c>
      <c r="BB42" s="6">
        <f>IF(ISBLANK('Paste Full'!BO42),"",'Paste Full'!BO42)</f>
        <v/>
      </c>
      <c r="BC42" s="6">
        <f>IF(ISBLANK('Paste Full'!BP42),"",'Paste Full'!BP42)</f>
        <v/>
      </c>
      <c r="BD42" s="6">
        <f>IF(ISBLANK('Paste Full'!BR42),"",'Paste Full'!BR42)</f>
        <v/>
      </c>
      <c r="BE42" s="6">
        <f>IF(ISBLANK('Paste Full'!BS42),"",'Paste Full'!BS42)</f>
        <v/>
      </c>
      <c r="BF42" s="6">
        <f>IF(ISBLANK('Paste Full'!BU42),"",'Paste Full'!BU42)</f>
        <v/>
      </c>
      <c r="BG42" s="6">
        <f>IF(ISBLANK('Paste Full'!BV42),"",'Paste Full'!BV42)</f>
        <v/>
      </c>
      <c r="BH42" s="6">
        <f>IF(ISBLANK('Paste Full'!BX42),"",'Paste Full'!BX42)</f>
        <v/>
      </c>
      <c r="BI42" s="6">
        <f>IF(ISBLANK('Paste Full'!BY42),"",'Paste Full'!BY42)</f>
        <v/>
      </c>
      <c r="BJ42" s="13">
        <f>IF(ISBLANK('Paste Full'!BL42),"",'Paste Full'!BL42)</f>
        <v/>
      </c>
      <c r="BK42" s="13">
        <f>IF(ISBLANK('Paste Full'!BQ42),"",'Paste Full'!BQ42)</f>
        <v/>
      </c>
      <c r="BL42" s="13">
        <f>IF(ISBLANK('Paste Full'!BT42),"",'Paste Full'!BT42)</f>
        <v/>
      </c>
      <c r="BM42" s="13">
        <f>IF(ISBLANK('Paste Full'!BW42),"",'Paste Full'!BW42)</f>
        <v/>
      </c>
    </row>
    <row r="43">
      <c r="A43">
        <f>IF(ISBLANK('Paste Full'!C43),"",'Paste Full'!C43)</f>
        <v/>
      </c>
      <c r="B43">
        <f>INDEX($J$1:$R$1, MATCH(MAX($J43:$R43), $J43:$R43, 0))</f>
        <v/>
      </c>
      <c r="C43" s="45">
        <f>IF(ISBLANK('Paste Full'!H43),"",'Paste Full'!H43)</f>
        <v/>
      </c>
      <c r="D43" s="45">
        <f>IF(ISBLANK('Paste Full'!F43),"",'Paste Full'!F43)</f>
        <v/>
      </c>
      <c r="E43" s="45">
        <f>IF(ISBLANK('Paste Full'!G43),"",'Paste Full'!G43)</f>
        <v/>
      </c>
      <c r="F43" s="21">
        <f>IF(ISBLANK('Paste Full'!E43),"",'Paste Full'!E43)</f>
        <v/>
      </c>
      <c r="G43">
        <f>IF(ISBLANK('Paste Full'!CI43),"",'Paste Full'!CI43)</f>
        <v/>
      </c>
      <c r="H43" s="21">
        <f>IF(ISBLANK('Paste Full'!J43),"",'Paste Full'!J43)</f>
        <v/>
      </c>
      <c r="I43" s="21">
        <f>IF(ISBLANK('Paste Full'!D43),"",'Paste Full'!D43)</f>
        <v/>
      </c>
      <c r="J43" s="14">
        <f>AVERAGE(SUMPRODUCT($S43:$BM43,AttWeights!$C$10:$AW$10)/SUM(AttWeights!$C$10:$AW$10),SUMPRODUCT($S43:$BM43,AttWeights!$C$17:$AW$17)/SUM(AttWeights!$C$17:$AW$17))*10</f>
        <v/>
      </c>
      <c r="K43" s="14">
        <f>AVERAGE(SUMPRODUCT($S43:$BM43,AttWeights!$C$7:$AW$7)/SUM(AttWeights!$C$7:$AW$7),SUMPRODUCT($S43:$BM43,AttWeights!$C$15:$AW$15)/SUM(AttWeights!$C$15:$AW$15))*10</f>
        <v/>
      </c>
      <c r="L43" s="14">
        <f>AVERAGE(SUMPRODUCT($S43:$BM43,AttWeights!$C$8:$AW$8)/SUM(AttWeights!$C$8:$AW$8),SUMPRODUCT($S43:$BM43,AttWeights!$C$16:$AW$16)/SUM(AttWeights!$C$16:$AW$16))*10</f>
        <v/>
      </c>
      <c r="M43" s="14">
        <f>AVERAGE(SUMPRODUCT($S43:$BM43,AttWeights!$C$9:$AW$9)/SUM(AttWeights!$C$9:$AW$9),SUMPRODUCT($S43:$BM43,AttWeights!$C$15:$AW$15)/SUM(AttWeights!$C$15:$AW$15))*10</f>
        <v/>
      </c>
      <c r="N43" s="14">
        <f>AVERAGE(SUMPRODUCT($S43:$BM43,AttWeights!$C$6:$AW$6)/SUM(AttWeights!$C$6:$AW$6),SUMPRODUCT($S43:$BM43,AttWeights!$C$14:$AW$14)/SUM(AttWeights!$C$14:$AW$14))*10</f>
        <v/>
      </c>
      <c r="O43" s="14">
        <f>AVERAGE(SUMPRODUCT($S43:$BM43,AttWeights!$C$5:$AW$5)/SUM(AttWeights!$C$5:$AW$5),SUMPRODUCT($S43:$BM43,AttWeights!$C$14:$AW$14)/SUM(AttWeights!$C$14:$AW$14))*10</f>
        <v/>
      </c>
      <c r="P43" s="14">
        <f>AVERAGE(SUMPRODUCT($S43:$BM43,AttWeights!$C$4:$AW$4)/SUM(AttWeights!$C$4:$AW$4),SUMPRODUCT($S43:$BM43,AttWeights!$C$13:$AW$13)/SUM(AttWeights!$C$13:$AW$13))*10</f>
        <v/>
      </c>
      <c r="Q43" s="14">
        <f>AVERAGE(SUMPRODUCT($S43:$BM43,AttWeights!$C$3:$AW$3)/SUM(AttWeights!$C$3:$AW$3),SUMPRODUCT($S43:$BM43,AttWeights!$C$12:$AW$12)/SUM(AttWeights!$C$12:$AW$12))*10</f>
        <v/>
      </c>
      <c r="R43" s="14">
        <f>AVERAGE(SUMPRODUCT($S43:$BM43,AttWeights!$C$2:$AW$2)/SUM(AttWeights!$C$2:$AW$2),SUMPRODUCT($S43:$BM43,AttWeights!$C$11:$AW$11)/SUM(AttWeights!$C$11:$AW$11))*10</f>
        <v/>
      </c>
      <c r="S43" s="3">
        <f>IF(ISBLANK('Paste Full'!AC43),"",'Paste Full'!AC43)</f>
        <v/>
      </c>
      <c r="T43" s="3">
        <f>IF(ISBLANK('Paste Full'!AD43),"",'Paste Full'!AD43)</f>
        <v/>
      </c>
      <c r="U43" s="3">
        <f>IF(ISBLANK('Paste Full'!AE43),"",'Paste Full'!AE43)</f>
        <v/>
      </c>
      <c r="V43" s="3">
        <f>IF(ISBLANK('Paste Full'!AF43),"",'Paste Full'!AF43)</f>
        <v/>
      </c>
      <c r="W43" s="3">
        <f>IF(ISBLANK('Paste Full'!AH43),"",'Paste Full'!AH43)</f>
        <v/>
      </c>
      <c r="X43" s="3">
        <f>IF(ISBLANK('Paste Full'!AI43),"",'Paste Full'!AI43)</f>
        <v/>
      </c>
      <c r="Y43" s="3">
        <f>IF(ISBLANK('Paste Full'!AK43),"",'Paste Full'!AK43)</f>
        <v/>
      </c>
      <c r="Z43" s="3">
        <f>IF(ISBLANK('Paste Full'!AL43),"",'Paste Full'!AL43)</f>
        <v/>
      </c>
      <c r="AA43" s="4">
        <f>IF(ISBLANK('Paste Full'!AM43),"",'Paste Full'!AM43)</f>
        <v/>
      </c>
      <c r="AB43" s="4">
        <f>IF(ISBLANK('Paste Full'!AN43),"",'Paste Full'!AN43)</f>
        <v/>
      </c>
      <c r="AC43" s="4">
        <f>IF(ISBLANK('Paste Full'!AO43),"",'Paste Full'!AO43)</f>
        <v/>
      </c>
      <c r="AD43" s="4">
        <f>IF(ISBLANK('Paste Full'!AP43),"",'Paste Full'!AP43)</f>
        <v/>
      </c>
      <c r="AE43" s="4">
        <f>IF(ISBLANK('Paste Full'!AQ43),"",'Paste Full'!AQ43)</f>
        <v/>
      </c>
      <c r="AF43" s="4">
        <f>IF(ISBLANK('Paste Full'!AR43),"",'Paste Full'!AR43)</f>
        <v/>
      </c>
      <c r="AG43" s="4">
        <f>IF(ISBLANK('Paste Full'!AS43),"",'Paste Full'!AS43)</f>
        <v/>
      </c>
      <c r="AH43" s="4">
        <f>IF(ISBLANK('Paste Full'!AV43),"",'Paste Full'!AV43)</f>
        <v/>
      </c>
      <c r="AI43" s="4">
        <f>IF(ISBLANK('Paste Full'!AT43),"",'Paste Full'!AT43)</f>
        <v/>
      </c>
      <c r="AJ43" s="4">
        <f>IF(ISBLANK('Paste Full'!AU43),"",'Paste Full'!AU43)</f>
        <v/>
      </c>
      <c r="AK43" s="4">
        <f>IF(ISBLANK('Paste Full'!AW43),"",'Paste Full'!AW43)</f>
        <v/>
      </c>
      <c r="AL43" s="5">
        <f>IF(ISBLANK('Paste Full'!AX43),"",'Paste Full'!AX43)</f>
        <v/>
      </c>
      <c r="AM43" s="5">
        <f>IF(ISBLANK('Paste Full'!AY43),"",'Paste Full'!AY43)</f>
        <v/>
      </c>
      <c r="AN43" s="5">
        <f>IF(ISBLANK('Paste Full'!AZ43),"",'Paste Full'!AZ43)</f>
        <v/>
      </c>
      <c r="AO43" s="5">
        <f>IF(ISBLANK('Paste Full'!BA43),"",'Paste Full'!BA43)</f>
        <v/>
      </c>
      <c r="AP43" s="5">
        <f>IF(ISBLANK('Paste Full'!BB43),"",'Paste Full'!BB43)</f>
        <v/>
      </c>
      <c r="AQ43" s="5">
        <f>IF(ISBLANK('Paste Full'!BC43),"",'Paste Full'!BC43)</f>
        <v/>
      </c>
      <c r="AR43" s="5">
        <f>IF(ISBLANK('Paste Full'!BD43),"",'Paste Full'!BD43)</f>
        <v/>
      </c>
      <c r="AS43" s="5">
        <f>IF(ISBLANK('Paste Full'!BE43),"",'Paste Full'!BE43)</f>
        <v/>
      </c>
      <c r="AT43" s="5">
        <f>IF(ISBLANK('Paste Full'!BF43),"",'Paste Full'!BF43)</f>
        <v/>
      </c>
      <c r="AU43" s="5">
        <f>IF(ISBLANK('Paste Full'!BG43),"",'Paste Full'!BG43)</f>
        <v/>
      </c>
      <c r="AV43" s="5">
        <f>IF(ISBLANK('Paste Full'!BH43),"",'Paste Full'!BH43)</f>
        <v/>
      </c>
      <c r="AW43" s="5">
        <f>IF(ISBLANK('Paste Full'!BI43),"",'Paste Full'!BI43)</f>
        <v/>
      </c>
      <c r="AX43" s="5">
        <f>IF(ISBLANK('Paste Full'!BJ43),"",'Paste Full'!BJ43)</f>
        <v/>
      </c>
      <c r="AY43" s="5">
        <f>IF(ISBLANK('Paste Full'!BK43),"",'Paste Full'!BK43)</f>
        <v/>
      </c>
      <c r="AZ43" s="6">
        <f>IF(ISBLANK('Paste Full'!BM43),"",'Paste Full'!BM43)</f>
        <v/>
      </c>
      <c r="BA43" s="6">
        <f>IF(ISBLANK('Paste Full'!BN43),"",'Paste Full'!BN43)</f>
        <v/>
      </c>
      <c r="BB43" s="6">
        <f>IF(ISBLANK('Paste Full'!BO43),"",'Paste Full'!BO43)</f>
        <v/>
      </c>
      <c r="BC43" s="6">
        <f>IF(ISBLANK('Paste Full'!BP43),"",'Paste Full'!BP43)</f>
        <v/>
      </c>
      <c r="BD43" s="6">
        <f>IF(ISBLANK('Paste Full'!BR43),"",'Paste Full'!BR43)</f>
        <v/>
      </c>
      <c r="BE43" s="6">
        <f>IF(ISBLANK('Paste Full'!BS43),"",'Paste Full'!BS43)</f>
        <v/>
      </c>
      <c r="BF43" s="6">
        <f>IF(ISBLANK('Paste Full'!BU43),"",'Paste Full'!BU43)</f>
        <v/>
      </c>
      <c r="BG43" s="6">
        <f>IF(ISBLANK('Paste Full'!BV43),"",'Paste Full'!BV43)</f>
        <v/>
      </c>
      <c r="BH43" s="6">
        <f>IF(ISBLANK('Paste Full'!BX43),"",'Paste Full'!BX43)</f>
        <v/>
      </c>
      <c r="BI43" s="6">
        <f>IF(ISBLANK('Paste Full'!BY43),"",'Paste Full'!BY43)</f>
        <v/>
      </c>
      <c r="BJ43" s="13">
        <f>IF(ISBLANK('Paste Full'!BL43),"",'Paste Full'!BL43)</f>
        <v/>
      </c>
      <c r="BK43" s="13">
        <f>IF(ISBLANK('Paste Full'!BQ43),"",'Paste Full'!BQ43)</f>
        <v/>
      </c>
      <c r="BL43" s="13">
        <f>IF(ISBLANK('Paste Full'!BT43),"",'Paste Full'!BT43)</f>
        <v/>
      </c>
      <c r="BM43" s="13">
        <f>IF(ISBLANK('Paste Full'!BW43),"",'Paste Full'!BW43)</f>
        <v/>
      </c>
    </row>
    <row r="44">
      <c r="A44">
        <f>IF(ISBLANK('Paste Full'!C44),"",'Paste Full'!C44)</f>
        <v/>
      </c>
      <c r="B44">
        <f>INDEX($J$1:$R$1, MATCH(MAX($J44:$R44), $J44:$R44, 0))</f>
        <v/>
      </c>
      <c r="C44" s="45">
        <f>IF(ISBLANK('Paste Full'!H44),"",'Paste Full'!H44)</f>
        <v/>
      </c>
      <c r="D44" s="45">
        <f>IF(ISBLANK('Paste Full'!F44),"",'Paste Full'!F44)</f>
        <v/>
      </c>
      <c r="E44" s="45">
        <f>IF(ISBLANK('Paste Full'!G44),"",'Paste Full'!G44)</f>
        <v/>
      </c>
      <c r="F44" s="21">
        <f>IF(ISBLANK('Paste Full'!E44),"",'Paste Full'!E44)</f>
        <v/>
      </c>
      <c r="G44">
        <f>IF(ISBLANK('Paste Full'!CI44),"",'Paste Full'!CI44)</f>
        <v/>
      </c>
      <c r="H44" s="21">
        <f>IF(ISBLANK('Paste Full'!J44),"",'Paste Full'!J44)</f>
        <v/>
      </c>
      <c r="I44" s="21">
        <f>IF(ISBLANK('Paste Full'!D44),"",'Paste Full'!D44)</f>
        <v/>
      </c>
      <c r="J44" s="14">
        <f>AVERAGE(SUMPRODUCT($S44:$BM44,AttWeights!$C$10:$AW$10)/SUM(AttWeights!$C$10:$AW$10),SUMPRODUCT($S44:$BM44,AttWeights!$C$17:$AW$17)/SUM(AttWeights!$C$17:$AW$17))*10</f>
        <v/>
      </c>
      <c r="K44" s="14">
        <f>AVERAGE(SUMPRODUCT($S44:$BM44,AttWeights!$C$7:$AW$7)/SUM(AttWeights!$C$7:$AW$7),SUMPRODUCT($S44:$BM44,AttWeights!$C$15:$AW$15)/SUM(AttWeights!$C$15:$AW$15))*10</f>
        <v/>
      </c>
      <c r="L44" s="14">
        <f>AVERAGE(SUMPRODUCT($S44:$BM44,AttWeights!$C$8:$AW$8)/SUM(AttWeights!$C$8:$AW$8),SUMPRODUCT($S44:$BM44,AttWeights!$C$16:$AW$16)/SUM(AttWeights!$C$16:$AW$16))*10</f>
        <v/>
      </c>
      <c r="M44" s="14">
        <f>AVERAGE(SUMPRODUCT($S44:$BM44,AttWeights!$C$9:$AW$9)/SUM(AttWeights!$C$9:$AW$9),SUMPRODUCT($S44:$BM44,AttWeights!$C$15:$AW$15)/SUM(AttWeights!$C$15:$AW$15))*10</f>
        <v/>
      </c>
      <c r="N44" s="14">
        <f>AVERAGE(SUMPRODUCT($S44:$BM44,AttWeights!$C$6:$AW$6)/SUM(AttWeights!$C$6:$AW$6),SUMPRODUCT($S44:$BM44,AttWeights!$C$14:$AW$14)/SUM(AttWeights!$C$14:$AW$14))*10</f>
        <v/>
      </c>
      <c r="O44" s="14">
        <f>AVERAGE(SUMPRODUCT($S44:$BM44,AttWeights!$C$5:$AW$5)/SUM(AttWeights!$C$5:$AW$5),SUMPRODUCT($S44:$BM44,AttWeights!$C$14:$AW$14)/SUM(AttWeights!$C$14:$AW$14))*10</f>
        <v/>
      </c>
      <c r="P44" s="14">
        <f>AVERAGE(SUMPRODUCT($S44:$BM44,AttWeights!$C$4:$AW$4)/SUM(AttWeights!$C$4:$AW$4),SUMPRODUCT($S44:$BM44,AttWeights!$C$13:$AW$13)/SUM(AttWeights!$C$13:$AW$13))*10</f>
        <v/>
      </c>
      <c r="Q44" s="14">
        <f>AVERAGE(SUMPRODUCT($S44:$BM44,AttWeights!$C$3:$AW$3)/SUM(AttWeights!$C$3:$AW$3),SUMPRODUCT($S44:$BM44,AttWeights!$C$12:$AW$12)/SUM(AttWeights!$C$12:$AW$12))*10</f>
        <v/>
      </c>
      <c r="R44" s="14">
        <f>AVERAGE(SUMPRODUCT($S44:$BM44,AttWeights!$C$2:$AW$2)/SUM(AttWeights!$C$2:$AW$2),SUMPRODUCT($S44:$BM44,AttWeights!$C$11:$AW$11)/SUM(AttWeights!$C$11:$AW$11))*10</f>
        <v/>
      </c>
      <c r="S44" s="3">
        <f>IF(ISBLANK('Paste Full'!AC44),"",'Paste Full'!AC44)</f>
        <v/>
      </c>
      <c r="T44" s="3">
        <f>IF(ISBLANK('Paste Full'!AD44),"",'Paste Full'!AD44)</f>
        <v/>
      </c>
      <c r="U44" s="3">
        <f>IF(ISBLANK('Paste Full'!AE44),"",'Paste Full'!AE44)</f>
        <v/>
      </c>
      <c r="V44" s="3">
        <f>IF(ISBLANK('Paste Full'!AF44),"",'Paste Full'!AF44)</f>
        <v/>
      </c>
      <c r="W44" s="3">
        <f>IF(ISBLANK('Paste Full'!AH44),"",'Paste Full'!AH44)</f>
        <v/>
      </c>
      <c r="X44" s="3">
        <f>IF(ISBLANK('Paste Full'!AI44),"",'Paste Full'!AI44)</f>
        <v/>
      </c>
      <c r="Y44" s="3">
        <f>IF(ISBLANK('Paste Full'!AK44),"",'Paste Full'!AK44)</f>
        <v/>
      </c>
      <c r="Z44" s="3">
        <f>IF(ISBLANK('Paste Full'!AL44),"",'Paste Full'!AL44)</f>
        <v/>
      </c>
      <c r="AA44" s="4">
        <f>IF(ISBLANK('Paste Full'!AM44),"",'Paste Full'!AM44)</f>
        <v/>
      </c>
      <c r="AB44" s="4">
        <f>IF(ISBLANK('Paste Full'!AN44),"",'Paste Full'!AN44)</f>
        <v/>
      </c>
      <c r="AC44" s="4">
        <f>IF(ISBLANK('Paste Full'!AO44),"",'Paste Full'!AO44)</f>
        <v/>
      </c>
      <c r="AD44" s="4">
        <f>IF(ISBLANK('Paste Full'!AP44),"",'Paste Full'!AP44)</f>
        <v/>
      </c>
      <c r="AE44" s="4">
        <f>IF(ISBLANK('Paste Full'!AQ44),"",'Paste Full'!AQ44)</f>
        <v/>
      </c>
      <c r="AF44" s="4">
        <f>IF(ISBLANK('Paste Full'!AR44),"",'Paste Full'!AR44)</f>
        <v/>
      </c>
      <c r="AG44" s="4">
        <f>IF(ISBLANK('Paste Full'!AS44),"",'Paste Full'!AS44)</f>
        <v/>
      </c>
      <c r="AH44" s="4">
        <f>IF(ISBLANK('Paste Full'!AV44),"",'Paste Full'!AV44)</f>
        <v/>
      </c>
      <c r="AI44" s="4">
        <f>IF(ISBLANK('Paste Full'!AT44),"",'Paste Full'!AT44)</f>
        <v/>
      </c>
      <c r="AJ44" s="4">
        <f>IF(ISBLANK('Paste Full'!AU44),"",'Paste Full'!AU44)</f>
        <v/>
      </c>
      <c r="AK44" s="4">
        <f>IF(ISBLANK('Paste Full'!AW44),"",'Paste Full'!AW44)</f>
        <v/>
      </c>
      <c r="AL44" s="5">
        <f>IF(ISBLANK('Paste Full'!AX44),"",'Paste Full'!AX44)</f>
        <v/>
      </c>
      <c r="AM44" s="5">
        <f>IF(ISBLANK('Paste Full'!AY44),"",'Paste Full'!AY44)</f>
        <v/>
      </c>
      <c r="AN44" s="5">
        <f>IF(ISBLANK('Paste Full'!AZ44),"",'Paste Full'!AZ44)</f>
        <v/>
      </c>
      <c r="AO44" s="5">
        <f>IF(ISBLANK('Paste Full'!BA44),"",'Paste Full'!BA44)</f>
        <v/>
      </c>
      <c r="AP44" s="5">
        <f>IF(ISBLANK('Paste Full'!BB44),"",'Paste Full'!BB44)</f>
        <v/>
      </c>
      <c r="AQ44" s="5">
        <f>IF(ISBLANK('Paste Full'!BC44),"",'Paste Full'!BC44)</f>
        <v/>
      </c>
      <c r="AR44" s="5">
        <f>IF(ISBLANK('Paste Full'!BD44),"",'Paste Full'!BD44)</f>
        <v/>
      </c>
      <c r="AS44" s="5">
        <f>IF(ISBLANK('Paste Full'!BE44),"",'Paste Full'!BE44)</f>
        <v/>
      </c>
      <c r="AT44" s="5">
        <f>IF(ISBLANK('Paste Full'!BF44),"",'Paste Full'!BF44)</f>
        <v/>
      </c>
      <c r="AU44" s="5">
        <f>IF(ISBLANK('Paste Full'!BG44),"",'Paste Full'!BG44)</f>
        <v/>
      </c>
      <c r="AV44" s="5">
        <f>IF(ISBLANK('Paste Full'!BH44),"",'Paste Full'!BH44)</f>
        <v/>
      </c>
      <c r="AW44" s="5">
        <f>IF(ISBLANK('Paste Full'!BI44),"",'Paste Full'!BI44)</f>
        <v/>
      </c>
      <c r="AX44" s="5">
        <f>IF(ISBLANK('Paste Full'!BJ44),"",'Paste Full'!BJ44)</f>
        <v/>
      </c>
      <c r="AY44" s="5">
        <f>IF(ISBLANK('Paste Full'!BK44),"",'Paste Full'!BK44)</f>
        <v/>
      </c>
      <c r="AZ44" s="6">
        <f>IF(ISBLANK('Paste Full'!BM44),"",'Paste Full'!BM44)</f>
        <v/>
      </c>
      <c r="BA44" s="6">
        <f>IF(ISBLANK('Paste Full'!BN44),"",'Paste Full'!BN44)</f>
        <v/>
      </c>
      <c r="BB44" s="6">
        <f>IF(ISBLANK('Paste Full'!BO44),"",'Paste Full'!BO44)</f>
        <v/>
      </c>
      <c r="BC44" s="6">
        <f>IF(ISBLANK('Paste Full'!BP44),"",'Paste Full'!BP44)</f>
        <v/>
      </c>
      <c r="BD44" s="6">
        <f>IF(ISBLANK('Paste Full'!BR44),"",'Paste Full'!BR44)</f>
        <v/>
      </c>
      <c r="BE44" s="6">
        <f>IF(ISBLANK('Paste Full'!BS44),"",'Paste Full'!BS44)</f>
        <v/>
      </c>
      <c r="BF44" s="6">
        <f>IF(ISBLANK('Paste Full'!BU44),"",'Paste Full'!BU44)</f>
        <v/>
      </c>
      <c r="BG44" s="6">
        <f>IF(ISBLANK('Paste Full'!BV44),"",'Paste Full'!BV44)</f>
        <v/>
      </c>
      <c r="BH44" s="6">
        <f>IF(ISBLANK('Paste Full'!BX44),"",'Paste Full'!BX44)</f>
        <v/>
      </c>
      <c r="BI44" s="6">
        <f>IF(ISBLANK('Paste Full'!BY44),"",'Paste Full'!BY44)</f>
        <v/>
      </c>
      <c r="BJ44" s="13">
        <f>IF(ISBLANK('Paste Full'!BL44),"",'Paste Full'!BL44)</f>
        <v/>
      </c>
      <c r="BK44" s="13">
        <f>IF(ISBLANK('Paste Full'!BQ44),"",'Paste Full'!BQ44)</f>
        <v/>
      </c>
      <c r="BL44" s="13">
        <f>IF(ISBLANK('Paste Full'!BT44),"",'Paste Full'!BT44)</f>
        <v/>
      </c>
      <c r="BM44" s="13">
        <f>IF(ISBLANK('Paste Full'!BW44),"",'Paste Full'!BW44)</f>
        <v/>
      </c>
    </row>
    <row r="45">
      <c r="A45">
        <f>IF(ISBLANK('Paste Full'!C45),"",'Paste Full'!C45)</f>
        <v/>
      </c>
      <c r="B45">
        <f>INDEX($J$1:$R$1, MATCH(MAX($J45:$R45), $J45:$R45, 0))</f>
        <v/>
      </c>
      <c r="C45" s="45">
        <f>IF(ISBLANK('Paste Full'!H45),"",'Paste Full'!H45)</f>
        <v/>
      </c>
      <c r="D45" s="45">
        <f>IF(ISBLANK('Paste Full'!F45),"",'Paste Full'!F45)</f>
        <v/>
      </c>
      <c r="E45" s="45">
        <f>IF(ISBLANK('Paste Full'!G45),"",'Paste Full'!G45)</f>
        <v/>
      </c>
      <c r="F45" s="21">
        <f>IF(ISBLANK('Paste Full'!E45),"",'Paste Full'!E45)</f>
        <v/>
      </c>
      <c r="G45">
        <f>IF(ISBLANK('Paste Full'!CI45),"",'Paste Full'!CI45)</f>
        <v/>
      </c>
      <c r="H45" s="21">
        <f>IF(ISBLANK('Paste Full'!J45),"",'Paste Full'!J45)</f>
        <v/>
      </c>
      <c r="I45" s="21">
        <f>IF(ISBLANK('Paste Full'!D45),"",'Paste Full'!D45)</f>
        <v/>
      </c>
      <c r="J45" s="14">
        <f>AVERAGE(SUMPRODUCT($S45:$BM45,AttWeights!$C$10:$AW$10)/SUM(AttWeights!$C$10:$AW$10),SUMPRODUCT($S45:$BM45,AttWeights!$C$17:$AW$17)/SUM(AttWeights!$C$17:$AW$17))*10</f>
        <v/>
      </c>
      <c r="K45" s="14">
        <f>AVERAGE(SUMPRODUCT($S45:$BM45,AttWeights!$C$7:$AW$7)/SUM(AttWeights!$C$7:$AW$7),SUMPRODUCT($S45:$BM45,AttWeights!$C$15:$AW$15)/SUM(AttWeights!$C$15:$AW$15))*10</f>
        <v/>
      </c>
      <c r="L45" s="14">
        <f>AVERAGE(SUMPRODUCT($S45:$BM45,AttWeights!$C$8:$AW$8)/SUM(AttWeights!$C$8:$AW$8),SUMPRODUCT($S45:$BM45,AttWeights!$C$16:$AW$16)/SUM(AttWeights!$C$16:$AW$16))*10</f>
        <v/>
      </c>
      <c r="M45" s="14">
        <f>AVERAGE(SUMPRODUCT($S45:$BM45,AttWeights!$C$9:$AW$9)/SUM(AttWeights!$C$9:$AW$9),SUMPRODUCT($S45:$BM45,AttWeights!$C$15:$AW$15)/SUM(AttWeights!$C$15:$AW$15))*10</f>
        <v/>
      </c>
      <c r="N45" s="14">
        <f>AVERAGE(SUMPRODUCT($S45:$BM45,AttWeights!$C$6:$AW$6)/SUM(AttWeights!$C$6:$AW$6),SUMPRODUCT($S45:$BM45,AttWeights!$C$14:$AW$14)/SUM(AttWeights!$C$14:$AW$14))*10</f>
        <v/>
      </c>
      <c r="O45" s="14">
        <f>AVERAGE(SUMPRODUCT($S45:$BM45,AttWeights!$C$5:$AW$5)/SUM(AttWeights!$C$5:$AW$5),SUMPRODUCT($S45:$BM45,AttWeights!$C$14:$AW$14)/SUM(AttWeights!$C$14:$AW$14))*10</f>
        <v/>
      </c>
      <c r="P45" s="14">
        <f>AVERAGE(SUMPRODUCT($S45:$BM45,AttWeights!$C$4:$AW$4)/SUM(AttWeights!$C$4:$AW$4),SUMPRODUCT($S45:$BM45,AttWeights!$C$13:$AW$13)/SUM(AttWeights!$C$13:$AW$13))*10</f>
        <v/>
      </c>
      <c r="Q45" s="14">
        <f>AVERAGE(SUMPRODUCT($S45:$BM45,AttWeights!$C$3:$AW$3)/SUM(AttWeights!$C$3:$AW$3),SUMPRODUCT($S45:$BM45,AttWeights!$C$12:$AW$12)/SUM(AttWeights!$C$12:$AW$12))*10</f>
        <v/>
      </c>
      <c r="R45" s="14">
        <f>AVERAGE(SUMPRODUCT($S45:$BM45,AttWeights!$C$2:$AW$2)/SUM(AttWeights!$C$2:$AW$2),SUMPRODUCT($S45:$BM45,AttWeights!$C$11:$AW$11)/SUM(AttWeights!$C$11:$AW$11))*10</f>
        <v/>
      </c>
      <c r="S45" s="3">
        <f>IF(ISBLANK('Paste Full'!AC45),"",'Paste Full'!AC45)</f>
        <v/>
      </c>
      <c r="T45" s="3">
        <f>IF(ISBLANK('Paste Full'!AD45),"",'Paste Full'!AD45)</f>
        <v/>
      </c>
      <c r="U45" s="3">
        <f>IF(ISBLANK('Paste Full'!AE45),"",'Paste Full'!AE45)</f>
        <v/>
      </c>
      <c r="V45" s="3">
        <f>IF(ISBLANK('Paste Full'!AF45),"",'Paste Full'!AF45)</f>
        <v/>
      </c>
      <c r="W45" s="3">
        <f>IF(ISBLANK('Paste Full'!AH45),"",'Paste Full'!AH45)</f>
        <v/>
      </c>
      <c r="X45" s="3">
        <f>IF(ISBLANK('Paste Full'!AI45),"",'Paste Full'!AI45)</f>
        <v/>
      </c>
      <c r="Y45" s="3">
        <f>IF(ISBLANK('Paste Full'!AK45),"",'Paste Full'!AK45)</f>
        <v/>
      </c>
      <c r="Z45" s="3">
        <f>IF(ISBLANK('Paste Full'!AL45),"",'Paste Full'!AL45)</f>
        <v/>
      </c>
      <c r="AA45" s="4">
        <f>IF(ISBLANK('Paste Full'!AM45),"",'Paste Full'!AM45)</f>
        <v/>
      </c>
      <c r="AB45" s="4">
        <f>IF(ISBLANK('Paste Full'!AN45),"",'Paste Full'!AN45)</f>
        <v/>
      </c>
      <c r="AC45" s="4">
        <f>IF(ISBLANK('Paste Full'!AO45),"",'Paste Full'!AO45)</f>
        <v/>
      </c>
      <c r="AD45" s="4">
        <f>IF(ISBLANK('Paste Full'!AP45),"",'Paste Full'!AP45)</f>
        <v/>
      </c>
      <c r="AE45" s="4">
        <f>IF(ISBLANK('Paste Full'!AQ45),"",'Paste Full'!AQ45)</f>
        <v/>
      </c>
      <c r="AF45" s="4">
        <f>IF(ISBLANK('Paste Full'!AR45),"",'Paste Full'!AR45)</f>
        <v/>
      </c>
      <c r="AG45" s="4">
        <f>IF(ISBLANK('Paste Full'!AS45),"",'Paste Full'!AS45)</f>
        <v/>
      </c>
      <c r="AH45" s="4">
        <f>IF(ISBLANK('Paste Full'!AV45),"",'Paste Full'!AV45)</f>
        <v/>
      </c>
      <c r="AI45" s="4">
        <f>IF(ISBLANK('Paste Full'!AT45),"",'Paste Full'!AT45)</f>
        <v/>
      </c>
      <c r="AJ45" s="4">
        <f>IF(ISBLANK('Paste Full'!AU45),"",'Paste Full'!AU45)</f>
        <v/>
      </c>
      <c r="AK45" s="4">
        <f>IF(ISBLANK('Paste Full'!AW45),"",'Paste Full'!AW45)</f>
        <v/>
      </c>
      <c r="AL45" s="5">
        <f>IF(ISBLANK('Paste Full'!AX45),"",'Paste Full'!AX45)</f>
        <v/>
      </c>
      <c r="AM45" s="5">
        <f>IF(ISBLANK('Paste Full'!AY45),"",'Paste Full'!AY45)</f>
        <v/>
      </c>
      <c r="AN45" s="5">
        <f>IF(ISBLANK('Paste Full'!AZ45),"",'Paste Full'!AZ45)</f>
        <v/>
      </c>
      <c r="AO45" s="5">
        <f>IF(ISBLANK('Paste Full'!BA45),"",'Paste Full'!BA45)</f>
        <v/>
      </c>
      <c r="AP45" s="5">
        <f>IF(ISBLANK('Paste Full'!BB45),"",'Paste Full'!BB45)</f>
        <v/>
      </c>
      <c r="AQ45" s="5">
        <f>IF(ISBLANK('Paste Full'!BC45),"",'Paste Full'!BC45)</f>
        <v/>
      </c>
      <c r="AR45" s="5">
        <f>IF(ISBLANK('Paste Full'!BD45),"",'Paste Full'!BD45)</f>
        <v/>
      </c>
      <c r="AS45" s="5">
        <f>IF(ISBLANK('Paste Full'!BE45),"",'Paste Full'!BE45)</f>
        <v/>
      </c>
      <c r="AT45" s="5">
        <f>IF(ISBLANK('Paste Full'!BF45),"",'Paste Full'!BF45)</f>
        <v/>
      </c>
      <c r="AU45" s="5">
        <f>IF(ISBLANK('Paste Full'!BG45),"",'Paste Full'!BG45)</f>
        <v/>
      </c>
      <c r="AV45" s="5">
        <f>IF(ISBLANK('Paste Full'!BH45),"",'Paste Full'!BH45)</f>
        <v/>
      </c>
      <c r="AW45" s="5">
        <f>IF(ISBLANK('Paste Full'!BI45),"",'Paste Full'!BI45)</f>
        <v/>
      </c>
      <c r="AX45" s="5">
        <f>IF(ISBLANK('Paste Full'!BJ45),"",'Paste Full'!BJ45)</f>
        <v/>
      </c>
      <c r="AY45" s="5">
        <f>IF(ISBLANK('Paste Full'!BK45),"",'Paste Full'!BK45)</f>
        <v/>
      </c>
      <c r="AZ45" s="6">
        <f>IF(ISBLANK('Paste Full'!BM45),"",'Paste Full'!BM45)</f>
        <v/>
      </c>
      <c r="BA45" s="6">
        <f>IF(ISBLANK('Paste Full'!BN45),"",'Paste Full'!BN45)</f>
        <v/>
      </c>
      <c r="BB45" s="6">
        <f>IF(ISBLANK('Paste Full'!BO45),"",'Paste Full'!BO45)</f>
        <v/>
      </c>
      <c r="BC45" s="6">
        <f>IF(ISBLANK('Paste Full'!BP45),"",'Paste Full'!BP45)</f>
        <v/>
      </c>
      <c r="BD45" s="6">
        <f>IF(ISBLANK('Paste Full'!BR45),"",'Paste Full'!BR45)</f>
        <v/>
      </c>
      <c r="BE45" s="6">
        <f>IF(ISBLANK('Paste Full'!BS45),"",'Paste Full'!BS45)</f>
        <v/>
      </c>
      <c r="BF45" s="6">
        <f>IF(ISBLANK('Paste Full'!BU45),"",'Paste Full'!BU45)</f>
        <v/>
      </c>
      <c r="BG45" s="6">
        <f>IF(ISBLANK('Paste Full'!BV45),"",'Paste Full'!BV45)</f>
        <v/>
      </c>
      <c r="BH45" s="6">
        <f>IF(ISBLANK('Paste Full'!BX45),"",'Paste Full'!BX45)</f>
        <v/>
      </c>
      <c r="BI45" s="6">
        <f>IF(ISBLANK('Paste Full'!BY45),"",'Paste Full'!BY45)</f>
        <v/>
      </c>
      <c r="BJ45" s="13">
        <f>IF(ISBLANK('Paste Full'!BL45),"",'Paste Full'!BL45)</f>
        <v/>
      </c>
      <c r="BK45" s="13">
        <f>IF(ISBLANK('Paste Full'!BQ45),"",'Paste Full'!BQ45)</f>
        <v/>
      </c>
      <c r="BL45" s="13">
        <f>IF(ISBLANK('Paste Full'!BT45),"",'Paste Full'!BT45)</f>
        <v/>
      </c>
      <c r="BM45" s="13">
        <f>IF(ISBLANK('Paste Full'!BW45),"",'Paste Full'!BW45)</f>
        <v/>
      </c>
    </row>
    <row r="46">
      <c r="A46">
        <f>IF(ISBLANK('Paste Full'!C46),"",'Paste Full'!C46)</f>
        <v/>
      </c>
      <c r="B46">
        <f>INDEX($J$1:$R$1, MATCH(MAX($J46:$R46), $J46:$R46, 0))</f>
        <v/>
      </c>
      <c r="C46" s="45">
        <f>IF(ISBLANK('Paste Full'!H46),"",'Paste Full'!H46)</f>
        <v/>
      </c>
      <c r="D46" s="45">
        <f>IF(ISBLANK('Paste Full'!F46),"",'Paste Full'!F46)</f>
        <v/>
      </c>
      <c r="E46" s="45">
        <f>IF(ISBLANK('Paste Full'!G46),"",'Paste Full'!G46)</f>
        <v/>
      </c>
      <c r="F46" s="21">
        <f>IF(ISBLANK('Paste Full'!E46),"",'Paste Full'!E46)</f>
        <v/>
      </c>
      <c r="G46">
        <f>IF(ISBLANK('Paste Full'!CI46),"",'Paste Full'!CI46)</f>
        <v/>
      </c>
      <c r="H46" s="21">
        <f>IF(ISBLANK('Paste Full'!J46),"",'Paste Full'!J46)</f>
        <v/>
      </c>
      <c r="I46" s="21">
        <f>IF(ISBLANK('Paste Full'!D46),"",'Paste Full'!D46)</f>
        <v/>
      </c>
      <c r="J46" s="14">
        <f>AVERAGE(SUMPRODUCT($S46:$BM46,AttWeights!$C$10:$AW$10)/SUM(AttWeights!$C$10:$AW$10),SUMPRODUCT($S46:$BM46,AttWeights!$C$17:$AW$17)/SUM(AttWeights!$C$17:$AW$17))*10</f>
        <v/>
      </c>
      <c r="K46" s="14">
        <f>AVERAGE(SUMPRODUCT($S46:$BM46,AttWeights!$C$7:$AW$7)/SUM(AttWeights!$C$7:$AW$7),SUMPRODUCT($S46:$BM46,AttWeights!$C$15:$AW$15)/SUM(AttWeights!$C$15:$AW$15))*10</f>
        <v/>
      </c>
      <c r="L46" s="14">
        <f>AVERAGE(SUMPRODUCT($S46:$BM46,AttWeights!$C$8:$AW$8)/SUM(AttWeights!$C$8:$AW$8),SUMPRODUCT($S46:$BM46,AttWeights!$C$16:$AW$16)/SUM(AttWeights!$C$16:$AW$16))*10</f>
        <v/>
      </c>
      <c r="M46" s="14">
        <f>AVERAGE(SUMPRODUCT($S46:$BM46,AttWeights!$C$9:$AW$9)/SUM(AttWeights!$C$9:$AW$9),SUMPRODUCT($S46:$BM46,AttWeights!$C$15:$AW$15)/SUM(AttWeights!$C$15:$AW$15))*10</f>
        <v/>
      </c>
      <c r="N46" s="14">
        <f>AVERAGE(SUMPRODUCT($S46:$BM46,AttWeights!$C$6:$AW$6)/SUM(AttWeights!$C$6:$AW$6),SUMPRODUCT($S46:$BM46,AttWeights!$C$14:$AW$14)/SUM(AttWeights!$C$14:$AW$14))*10</f>
        <v/>
      </c>
      <c r="O46" s="14">
        <f>AVERAGE(SUMPRODUCT($S46:$BM46,AttWeights!$C$5:$AW$5)/SUM(AttWeights!$C$5:$AW$5),SUMPRODUCT($S46:$BM46,AttWeights!$C$14:$AW$14)/SUM(AttWeights!$C$14:$AW$14))*10</f>
        <v/>
      </c>
      <c r="P46" s="14">
        <f>AVERAGE(SUMPRODUCT($S46:$BM46,AttWeights!$C$4:$AW$4)/SUM(AttWeights!$C$4:$AW$4),SUMPRODUCT($S46:$BM46,AttWeights!$C$13:$AW$13)/SUM(AttWeights!$C$13:$AW$13))*10</f>
        <v/>
      </c>
      <c r="Q46" s="14">
        <f>AVERAGE(SUMPRODUCT($S46:$BM46,AttWeights!$C$3:$AW$3)/SUM(AttWeights!$C$3:$AW$3),SUMPRODUCT($S46:$BM46,AttWeights!$C$12:$AW$12)/SUM(AttWeights!$C$12:$AW$12))*10</f>
        <v/>
      </c>
      <c r="R46" s="14">
        <f>AVERAGE(SUMPRODUCT($S46:$BM46,AttWeights!$C$2:$AW$2)/SUM(AttWeights!$C$2:$AW$2),SUMPRODUCT($S46:$BM46,AttWeights!$C$11:$AW$11)/SUM(AttWeights!$C$11:$AW$11))*10</f>
        <v/>
      </c>
      <c r="S46" s="3">
        <f>IF(ISBLANK('Paste Full'!AC46),"",'Paste Full'!AC46)</f>
        <v/>
      </c>
      <c r="T46" s="3">
        <f>IF(ISBLANK('Paste Full'!AD46),"",'Paste Full'!AD46)</f>
        <v/>
      </c>
      <c r="U46" s="3">
        <f>IF(ISBLANK('Paste Full'!AE46),"",'Paste Full'!AE46)</f>
        <v/>
      </c>
      <c r="V46" s="3">
        <f>IF(ISBLANK('Paste Full'!AF46),"",'Paste Full'!AF46)</f>
        <v/>
      </c>
      <c r="W46" s="3">
        <f>IF(ISBLANK('Paste Full'!AH46),"",'Paste Full'!AH46)</f>
        <v/>
      </c>
      <c r="X46" s="3">
        <f>IF(ISBLANK('Paste Full'!AI46),"",'Paste Full'!AI46)</f>
        <v/>
      </c>
      <c r="Y46" s="3">
        <f>IF(ISBLANK('Paste Full'!AK46),"",'Paste Full'!AK46)</f>
        <v/>
      </c>
      <c r="Z46" s="3">
        <f>IF(ISBLANK('Paste Full'!AL46),"",'Paste Full'!AL46)</f>
        <v/>
      </c>
      <c r="AA46" s="4">
        <f>IF(ISBLANK('Paste Full'!AM46),"",'Paste Full'!AM46)</f>
        <v/>
      </c>
      <c r="AB46" s="4">
        <f>IF(ISBLANK('Paste Full'!AN46),"",'Paste Full'!AN46)</f>
        <v/>
      </c>
      <c r="AC46" s="4">
        <f>IF(ISBLANK('Paste Full'!AO46),"",'Paste Full'!AO46)</f>
        <v/>
      </c>
      <c r="AD46" s="4">
        <f>IF(ISBLANK('Paste Full'!AP46),"",'Paste Full'!AP46)</f>
        <v/>
      </c>
      <c r="AE46" s="4">
        <f>IF(ISBLANK('Paste Full'!AQ46),"",'Paste Full'!AQ46)</f>
        <v/>
      </c>
      <c r="AF46" s="4">
        <f>IF(ISBLANK('Paste Full'!AR46),"",'Paste Full'!AR46)</f>
        <v/>
      </c>
      <c r="AG46" s="4">
        <f>IF(ISBLANK('Paste Full'!AS46),"",'Paste Full'!AS46)</f>
        <v/>
      </c>
      <c r="AH46" s="4">
        <f>IF(ISBLANK('Paste Full'!AV46),"",'Paste Full'!AV46)</f>
        <v/>
      </c>
      <c r="AI46" s="4">
        <f>IF(ISBLANK('Paste Full'!AT46),"",'Paste Full'!AT46)</f>
        <v/>
      </c>
      <c r="AJ46" s="4">
        <f>IF(ISBLANK('Paste Full'!AU46),"",'Paste Full'!AU46)</f>
        <v/>
      </c>
      <c r="AK46" s="4">
        <f>IF(ISBLANK('Paste Full'!AW46),"",'Paste Full'!AW46)</f>
        <v/>
      </c>
      <c r="AL46" s="5">
        <f>IF(ISBLANK('Paste Full'!AX46),"",'Paste Full'!AX46)</f>
        <v/>
      </c>
      <c r="AM46" s="5">
        <f>IF(ISBLANK('Paste Full'!AY46),"",'Paste Full'!AY46)</f>
        <v/>
      </c>
      <c r="AN46" s="5">
        <f>IF(ISBLANK('Paste Full'!AZ46),"",'Paste Full'!AZ46)</f>
        <v/>
      </c>
      <c r="AO46" s="5">
        <f>IF(ISBLANK('Paste Full'!BA46),"",'Paste Full'!BA46)</f>
        <v/>
      </c>
      <c r="AP46" s="5">
        <f>IF(ISBLANK('Paste Full'!BB46),"",'Paste Full'!BB46)</f>
        <v/>
      </c>
      <c r="AQ46" s="5">
        <f>IF(ISBLANK('Paste Full'!BC46),"",'Paste Full'!BC46)</f>
        <v/>
      </c>
      <c r="AR46" s="5">
        <f>IF(ISBLANK('Paste Full'!BD46),"",'Paste Full'!BD46)</f>
        <v/>
      </c>
      <c r="AS46" s="5">
        <f>IF(ISBLANK('Paste Full'!BE46),"",'Paste Full'!BE46)</f>
        <v/>
      </c>
      <c r="AT46" s="5">
        <f>IF(ISBLANK('Paste Full'!BF46),"",'Paste Full'!BF46)</f>
        <v/>
      </c>
      <c r="AU46" s="5">
        <f>IF(ISBLANK('Paste Full'!BG46),"",'Paste Full'!BG46)</f>
        <v/>
      </c>
      <c r="AV46" s="5">
        <f>IF(ISBLANK('Paste Full'!BH46),"",'Paste Full'!BH46)</f>
        <v/>
      </c>
      <c r="AW46" s="5">
        <f>IF(ISBLANK('Paste Full'!BI46),"",'Paste Full'!BI46)</f>
        <v/>
      </c>
      <c r="AX46" s="5">
        <f>IF(ISBLANK('Paste Full'!BJ46),"",'Paste Full'!BJ46)</f>
        <v/>
      </c>
      <c r="AY46" s="5">
        <f>IF(ISBLANK('Paste Full'!BK46),"",'Paste Full'!BK46)</f>
        <v/>
      </c>
      <c r="AZ46" s="6">
        <f>IF(ISBLANK('Paste Full'!BM46),"",'Paste Full'!BM46)</f>
        <v/>
      </c>
      <c r="BA46" s="6">
        <f>IF(ISBLANK('Paste Full'!BN46),"",'Paste Full'!BN46)</f>
        <v/>
      </c>
      <c r="BB46" s="6">
        <f>IF(ISBLANK('Paste Full'!BO46),"",'Paste Full'!BO46)</f>
        <v/>
      </c>
      <c r="BC46" s="6">
        <f>IF(ISBLANK('Paste Full'!BP46),"",'Paste Full'!BP46)</f>
        <v/>
      </c>
      <c r="BD46" s="6">
        <f>IF(ISBLANK('Paste Full'!BR46),"",'Paste Full'!BR46)</f>
        <v/>
      </c>
      <c r="BE46" s="6">
        <f>IF(ISBLANK('Paste Full'!BS46),"",'Paste Full'!BS46)</f>
        <v/>
      </c>
      <c r="BF46" s="6">
        <f>IF(ISBLANK('Paste Full'!BU46),"",'Paste Full'!BU46)</f>
        <v/>
      </c>
      <c r="BG46" s="6">
        <f>IF(ISBLANK('Paste Full'!BV46),"",'Paste Full'!BV46)</f>
        <v/>
      </c>
      <c r="BH46" s="6">
        <f>IF(ISBLANK('Paste Full'!BX46),"",'Paste Full'!BX46)</f>
        <v/>
      </c>
      <c r="BI46" s="6">
        <f>IF(ISBLANK('Paste Full'!BY46),"",'Paste Full'!BY46)</f>
        <v/>
      </c>
      <c r="BJ46" s="13">
        <f>IF(ISBLANK('Paste Full'!BL46),"",'Paste Full'!BL46)</f>
        <v/>
      </c>
      <c r="BK46" s="13">
        <f>IF(ISBLANK('Paste Full'!BQ46),"",'Paste Full'!BQ46)</f>
        <v/>
      </c>
      <c r="BL46" s="13">
        <f>IF(ISBLANK('Paste Full'!BT46),"",'Paste Full'!BT46)</f>
        <v/>
      </c>
      <c r="BM46" s="13">
        <f>IF(ISBLANK('Paste Full'!BW46),"",'Paste Full'!BW46)</f>
        <v/>
      </c>
    </row>
    <row r="47">
      <c r="A47">
        <f>IF(ISBLANK('Paste Full'!C47),"",'Paste Full'!C47)</f>
        <v/>
      </c>
      <c r="B47">
        <f>INDEX($J$1:$R$1, MATCH(MAX($J47:$R47), $J47:$R47, 0))</f>
        <v/>
      </c>
      <c r="C47" s="45">
        <f>IF(ISBLANK('Paste Full'!H47),"",'Paste Full'!H47)</f>
        <v/>
      </c>
      <c r="D47" s="45">
        <f>IF(ISBLANK('Paste Full'!F47),"",'Paste Full'!F47)</f>
        <v/>
      </c>
      <c r="E47" s="45">
        <f>IF(ISBLANK('Paste Full'!G47),"",'Paste Full'!G47)</f>
        <v/>
      </c>
      <c r="F47" s="21">
        <f>IF(ISBLANK('Paste Full'!E47),"",'Paste Full'!E47)</f>
        <v/>
      </c>
      <c r="G47">
        <f>IF(ISBLANK('Paste Full'!CI47),"",'Paste Full'!CI47)</f>
        <v/>
      </c>
      <c r="H47" s="21">
        <f>IF(ISBLANK('Paste Full'!J47),"",'Paste Full'!J47)</f>
        <v/>
      </c>
      <c r="I47" s="21">
        <f>IF(ISBLANK('Paste Full'!D47),"",'Paste Full'!D47)</f>
        <v/>
      </c>
      <c r="J47" s="14">
        <f>AVERAGE(SUMPRODUCT($S47:$BM47,AttWeights!$C$10:$AW$10)/SUM(AttWeights!$C$10:$AW$10),SUMPRODUCT($S47:$BM47,AttWeights!$C$17:$AW$17)/SUM(AttWeights!$C$17:$AW$17))*10</f>
        <v/>
      </c>
      <c r="K47" s="14">
        <f>AVERAGE(SUMPRODUCT($S47:$BM47,AttWeights!$C$7:$AW$7)/SUM(AttWeights!$C$7:$AW$7),SUMPRODUCT($S47:$BM47,AttWeights!$C$15:$AW$15)/SUM(AttWeights!$C$15:$AW$15))*10</f>
        <v/>
      </c>
      <c r="L47" s="14">
        <f>AVERAGE(SUMPRODUCT($S47:$BM47,AttWeights!$C$8:$AW$8)/SUM(AttWeights!$C$8:$AW$8),SUMPRODUCT($S47:$BM47,AttWeights!$C$16:$AW$16)/SUM(AttWeights!$C$16:$AW$16))*10</f>
        <v/>
      </c>
      <c r="M47" s="14">
        <f>AVERAGE(SUMPRODUCT($S47:$BM47,AttWeights!$C$9:$AW$9)/SUM(AttWeights!$C$9:$AW$9),SUMPRODUCT($S47:$BM47,AttWeights!$C$15:$AW$15)/SUM(AttWeights!$C$15:$AW$15))*10</f>
        <v/>
      </c>
      <c r="N47" s="14">
        <f>AVERAGE(SUMPRODUCT($S47:$BM47,AttWeights!$C$6:$AW$6)/SUM(AttWeights!$C$6:$AW$6),SUMPRODUCT($S47:$BM47,AttWeights!$C$14:$AW$14)/SUM(AttWeights!$C$14:$AW$14))*10</f>
        <v/>
      </c>
      <c r="O47" s="14">
        <f>AVERAGE(SUMPRODUCT($S47:$BM47,AttWeights!$C$5:$AW$5)/SUM(AttWeights!$C$5:$AW$5),SUMPRODUCT($S47:$BM47,AttWeights!$C$14:$AW$14)/SUM(AttWeights!$C$14:$AW$14))*10</f>
        <v/>
      </c>
      <c r="P47" s="14">
        <f>AVERAGE(SUMPRODUCT($S47:$BM47,AttWeights!$C$4:$AW$4)/SUM(AttWeights!$C$4:$AW$4),SUMPRODUCT($S47:$BM47,AttWeights!$C$13:$AW$13)/SUM(AttWeights!$C$13:$AW$13))*10</f>
        <v/>
      </c>
      <c r="Q47" s="14">
        <f>AVERAGE(SUMPRODUCT($S47:$BM47,AttWeights!$C$3:$AW$3)/SUM(AttWeights!$C$3:$AW$3),SUMPRODUCT($S47:$BM47,AttWeights!$C$12:$AW$12)/SUM(AttWeights!$C$12:$AW$12))*10</f>
        <v/>
      </c>
      <c r="R47" s="14">
        <f>AVERAGE(SUMPRODUCT($S47:$BM47,AttWeights!$C$2:$AW$2)/SUM(AttWeights!$C$2:$AW$2),SUMPRODUCT($S47:$BM47,AttWeights!$C$11:$AW$11)/SUM(AttWeights!$C$11:$AW$11))*10</f>
        <v/>
      </c>
      <c r="S47" s="3">
        <f>IF(ISBLANK('Paste Full'!AC47),"",'Paste Full'!AC47)</f>
        <v/>
      </c>
      <c r="T47" s="3">
        <f>IF(ISBLANK('Paste Full'!AD47),"",'Paste Full'!AD47)</f>
        <v/>
      </c>
      <c r="U47" s="3">
        <f>IF(ISBLANK('Paste Full'!AE47),"",'Paste Full'!AE47)</f>
        <v/>
      </c>
      <c r="V47" s="3">
        <f>IF(ISBLANK('Paste Full'!AF47),"",'Paste Full'!AF47)</f>
        <v/>
      </c>
      <c r="W47" s="3">
        <f>IF(ISBLANK('Paste Full'!AH47),"",'Paste Full'!AH47)</f>
        <v/>
      </c>
      <c r="X47" s="3">
        <f>IF(ISBLANK('Paste Full'!AI47),"",'Paste Full'!AI47)</f>
        <v/>
      </c>
      <c r="Y47" s="3">
        <f>IF(ISBLANK('Paste Full'!AK47),"",'Paste Full'!AK47)</f>
        <v/>
      </c>
      <c r="Z47" s="3">
        <f>IF(ISBLANK('Paste Full'!AL47),"",'Paste Full'!AL47)</f>
        <v/>
      </c>
      <c r="AA47" s="4">
        <f>IF(ISBLANK('Paste Full'!AM47),"",'Paste Full'!AM47)</f>
        <v/>
      </c>
      <c r="AB47" s="4">
        <f>IF(ISBLANK('Paste Full'!AN47),"",'Paste Full'!AN47)</f>
        <v/>
      </c>
      <c r="AC47" s="4">
        <f>IF(ISBLANK('Paste Full'!AO47),"",'Paste Full'!AO47)</f>
        <v/>
      </c>
      <c r="AD47" s="4">
        <f>IF(ISBLANK('Paste Full'!AP47),"",'Paste Full'!AP47)</f>
        <v/>
      </c>
      <c r="AE47" s="4">
        <f>IF(ISBLANK('Paste Full'!AQ47),"",'Paste Full'!AQ47)</f>
        <v/>
      </c>
      <c r="AF47" s="4">
        <f>IF(ISBLANK('Paste Full'!AR47),"",'Paste Full'!AR47)</f>
        <v/>
      </c>
      <c r="AG47" s="4">
        <f>IF(ISBLANK('Paste Full'!AS47),"",'Paste Full'!AS47)</f>
        <v/>
      </c>
      <c r="AH47" s="4">
        <f>IF(ISBLANK('Paste Full'!AV47),"",'Paste Full'!AV47)</f>
        <v/>
      </c>
      <c r="AI47" s="4">
        <f>IF(ISBLANK('Paste Full'!AT47),"",'Paste Full'!AT47)</f>
        <v/>
      </c>
      <c r="AJ47" s="4">
        <f>IF(ISBLANK('Paste Full'!AU47),"",'Paste Full'!AU47)</f>
        <v/>
      </c>
      <c r="AK47" s="4">
        <f>IF(ISBLANK('Paste Full'!AW47),"",'Paste Full'!AW47)</f>
        <v/>
      </c>
      <c r="AL47" s="5">
        <f>IF(ISBLANK('Paste Full'!AX47),"",'Paste Full'!AX47)</f>
        <v/>
      </c>
      <c r="AM47" s="5">
        <f>IF(ISBLANK('Paste Full'!AY47),"",'Paste Full'!AY47)</f>
        <v/>
      </c>
      <c r="AN47" s="5">
        <f>IF(ISBLANK('Paste Full'!AZ47),"",'Paste Full'!AZ47)</f>
        <v/>
      </c>
      <c r="AO47" s="5">
        <f>IF(ISBLANK('Paste Full'!BA47),"",'Paste Full'!BA47)</f>
        <v/>
      </c>
      <c r="AP47" s="5">
        <f>IF(ISBLANK('Paste Full'!BB47),"",'Paste Full'!BB47)</f>
        <v/>
      </c>
      <c r="AQ47" s="5">
        <f>IF(ISBLANK('Paste Full'!BC47),"",'Paste Full'!BC47)</f>
        <v/>
      </c>
      <c r="AR47" s="5">
        <f>IF(ISBLANK('Paste Full'!BD47),"",'Paste Full'!BD47)</f>
        <v/>
      </c>
      <c r="AS47" s="5">
        <f>IF(ISBLANK('Paste Full'!BE47),"",'Paste Full'!BE47)</f>
        <v/>
      </c>
      <c r="AT47" s="5">
        <f>IF(ISBLANK('Paste Full'!BF47),"",'Paste Full'!BF47)</f>
        <v/>
      </c>
      <c r="AU47" s="5">
        <f>IF(ISBLANK('Paste Full'!BG47),"",'Paste Full'!BG47)</f>
        <v/>
      </c>
      <c r="AV47" s="5">
        <f>IF(ISBLANK('Paste Full'!BH47),"",'Paste Full'!BH47)</f>
        <v/>
      </c>
      <c r="AW47" s="5">
        <f>IF(ISBLANK('Paste Full'!BI47),"",'Paste Full'!BI47)</f>
        <v/>
      </c>
      <c r="AX47" s="5">
        <f>IF(ISBLANK('Paste Full'!BJ47),"",'Paste Full'!BJ47)</f>
        <v/>
      </c>
      <c r="AY47" s="5">
        <f>IF(ISBLANK('Paste Full'!BK47),"",'Paste Full'!BK47)</f>
        <v/>
      </c>
      <c r="AZ47" s="6">
        <f>IF(ISBLANK('Paste Full'!BM47),"",'Paste Full'!BM47)</f>
        <v/>
      </c>
      <c r="BA47" s="6">
        <f>IF(ISBLANK('Paste Full'!BN47),"",'Paste Full'!BN47)</f>
        <v/>
      </c>
      <c r="BB47" s="6">
        <f>IF(ISBLANK('Paste Full'!BO47),"",'Paste Full'!BO47)</f>
        <v/>
      </c>
      <c r="BC47" s="6">
        <f>IF(ISBLANK('Paste Full'!BP47),"",'Paste Full'!BP47)</f>
        <v/>
      </c>
      <c r="BD47" s="6">
        <f>IF(ISBLANK('Paste Full'!BR47),"",'Paste Full'!BR47)</f>
        <v/>
      </c>
      <c r="BE47" s="6">
        <f>IF(ISBLANK('Paste Full'!BS47),"",'Paste Full'!BS47)</f>
        <v/>
      </c>
      <c r="BF47" s="6">
        <f>IF(ISBLANK('Paste Full'!BU47),"",'Paste Full'!BU47)</f>
        <v/>
      </c>
      <c r="BG47" s="6">
        <f>IF(ISBLANK('Paste Full'!BV47),"",'Paste Full'!BV47)</f>
        <v/>
      </c>
      <c r="BH47" s="6">
        <f>IF(ISBLANK('Paste Full'!BX47),"",'Paste Full'!BX47)</f>
        <v/>
      </c>
      <c r="BI47" s="6">
        <f>IF(ISBLANK('Paste Full'!BY47),"",'Paste Full'!BY47)</f>
        <v/>
      </c>
      <c r="BJ47" s="13">
        <f>IF(ISBLANK('Paste Full'!BL47),"",'Paste Full'!BL47)</f>
        <v/>
      </c>
      <c r="BK47" s="13">
        <f>IF(ISBLANK('Paste Full'!BQ47),"",'Paste Full'!BQ47)</f>
        <v/>
      </c>
      <c r="BL47" s="13">
        <f>IF(ISBLANK('Paste Full'!BT47),"",'Paste Full'!BT47)</f>
        <v/>
      </c>
      <c r="BM47" s="13">
        <f>IF(ISBLANK('Paste Full'!BW47),"",'Paste Full'!BW47)</f>
        <v/>
      </c>
    </row>
    <row r="48">
      <c r="A48">
        <f>IF(ISBLANK('Paste Full'!C48),"",'Paste Full'!C48)</f>
        <v/>
      </c>
      <c r="B48">
        <f>INDEX($J$1:$R$1, MATCH(MAX($J48:$R48), $J48:$R48, 0))</f>
        <v/>
      </c>
      <c r="C48" s="45">
        <f>IF(ISBLANK('Paste Full'!H48),"",'Paste Full'!H48)</f>
        <v/>
      </c>
      <c r="D48" s="45">
        <f>IF(ISBLANK('Paste Full'!F48),"",'Paste Full'!F48)</f>
        <v/>
      </c>
      <c r="E48" s="45">
        <f>IF(ISBLANK('Paste Full'!G48),"",'Paste Full'!G48)</f>
        <v/>
      </c>
      <c r="F48" s="21">
        <f>IF(ISBLANK('Paste Full'!E48),"",'Paste Full'!E48)</f>
        <v/>
      </c>
      <c r="G48">
        <f>IF(ISBLANK('Paste Full'!CI48),"",'Paste Full'!CI48)</f>
        <v/>
      </c>
      <c r="H48" s="21">
        <f>IF(ISBLANK('Paste Full'!J48),"",'Paste Full'!J48)</f>
        <v/>
      </c>
      <c r="I48" s="21">
        <f>IF(ISBLANK('Paste Full'!D48),"",'Paste Full'!D48)</f>
        <v/>
      </c>
      <c r="J48" s="14">
        <f>AVERAGE(SUMPRODUCT($S48:$BM48,AttWeights!$C$10:$AW$10)/SUM(AttWeights!$C$10:$AW$10),SUMPRODUCT($S48:$BM48,AttWeights!$C$17:$AW$17)/SUM(AttWeights!$C$17:$AW$17))*10</f>
        <v/>
      </c>
      <c r="K48" s="14">
        <f>AVERAGE(SUMPRODUCT($S48:$BM48,AttWeights!$C$7:$AW$7)/SUM(AttWeights!$C$7:$AW$7),SUMPRODUCT($S48:$BM48,AttWeights!$C$15:$AW$15)/SUM(AttWeights!$C$15:$AW$15))*10</f>
        <v/>
      </c>
      <c r="L48" s="14">
        <f>AVERAGE(SUMPRODUCT($S48:$BM48,AttWeights!$C$8:$AW$8)/SUM(AttWeights!$C$8:$AW$8),SUMPRODUCT($S48:$BM48,AttWeights!$C$16:$AW$16)/SUM(AttWeights!$C$16:$AW$16))*10</f>
        <v/>
      </c>
      <c r="M48" s="14">
        <f>AVERAGE(SUMPRODUCT($S48:$BM48,AttWeights!$C$9:$AW$9)/SUM(AttWeights!$C$9:$AW$9),SUMPRODUCT($S48:$BM48,AttWeights!$C$15:$AW$15)/SUM(AttWeights!$C$15:$AW$15))*10</f>
        <v/>
      </c>
      <c r="N48" s="14">
        <f>AVERAGE(SUMPRODUCT($S48:$BM48,AttWeights!$C$6:$AW$6)/SUM(AttWeights!$C$6:$AW$6),SUMPRODUCT($S48:$BM48,AttWeights!$C$14:$AW$14)/SUM(AttWeights!$C$14:$AW$14))*10</f>
        <v/>
      </c>
      <c r="O48" s="14">
        <f>AVERAGE(SUMPRODUCT($S48:$BM48,AttWeights!$C$5:$AW$5)/SUM(AttWeights!$C$5:$AW$5),SUMPRODUCT($S48:$BM48,AttWeights!$C$14:$AW$14)/SUM(AttWeights!$C$14:$AW$14))*10</f>
        <v/>
      </c>
      <c r="P48" s="14">
        <f>AVERAGE(SUMPRODUCT($S48:$BM48,AttWeights!$C$4:$AW$4)/SUM(AttWeights!$C$4:$AW$4),SUMPRODUCT($S48:$BM48,AttWeights!$C$13:$AW$13)/SUM(AttWeights!$C$13:$AW$13))*10</f>
        <v/>
      </c>
      <c r="Q48" s="14">
        <f>AVERAGE(SUMPRODUCT($S48:$BM48,AttWeights!$C$3:$AW$3)/SUM(AttWeights!$C$3:$AW$3),SUMPRODUCT($S48:$BM48,AttWeights!$C$12:$AW$12)/SUM(AttWeights!$C$12:$AW$12))*10</f>
        <v/>
      </c>
      <c r="R48" s="14">
        <f>AVERAGE(SUMPRODUCT($S48:$BM48,AttWeights!$C$2:$AW$2)/SUM(AttWeights!$C$2:$AW$2),SUMPRODUCT($S48:$BM48,AttWeights!$C$11:$AW$11)/SUM(AttWeights!$C$11:$AW$11))*10</f>
        <v/>
      </c>
      <c r="S48" s="3">
        <f>IF(ISBLANK('Paste Full'!AC48),"",'Paste Full'!AC48)</f>
        <v/>
      </c>
      <c r="T48" s="3">
        <f>IF(ISBLANK('Paste Full'!AD48),"",'Paste Full'!AD48)</f>
        <v/>
      </c>
      <c r="U48" s="3">
        <f>IF(ISBLANK('Paste Full'!AE48),"",'Paste Full'!AE48)</f>
        <v/>
      </c>
      <c r="V48" s="3">
        <f>IF(ISBLANK('Paste Full'!AF48),"",'Paste Full'!AF48)</f>
        <v/>
      </c>
      <c r="W48" s="3">
        <f>IF(ISBLANK('Paste Full'!AH48),"",'Paste Full'!AH48)</f>
        <v/>
      </c>
      <c r="X48" s="3">
        <f>IF(ISBLANK('Paste Full'!AI48),"",'Paste Full'!AI48)</f>
        <v/>
      </c>
      <c r="Y48" s="3">
        <f>IF(ISBLANK('Paste Full'!AK48),"",'Paste Full'!AK48)</f>
        <v/>
      </c>
      <c r="Z48" s="3">
        <f>IF(ISBLANK('Paste Full'!AL48),"",'Paste Full'!AL48)</f>
        <v/>
      </c>
      <c r="AA48" s="4">
        <f>IF(ISBLANK('Paste Full'!AM48),"",'Paste Full'!AM48)</f>
        <v/>
      </c>
      <c r="AB48" s="4">
        <f>IF(ISBLANK('Paste Full'!AN48),"",'Paste Full'!AN48)</f>
        <v/>
      </c>
      <c r="AC48" s="4">
        <f>IF(ISBLANK('Paste Full'!AO48),"",'Paste Full'!AO48)</f>
        <v/>
      </c>
      <c r="AD48" s="4">
        <f>IF(ISBLANK('Paste Full'!AP48),"",'Paste Full'!AP48)</f>
        <v/>
      </c>
      <c r="AE48" s="4">
        <f>IF(ISBLANK('Paste Full'!AQ48),"",'Paste Full'!AQ48)</f>
        <v/>
      </c>
      <c r="AF48" s="4">
        <f>IF(ISBLANK('Paste Full'!AR48),"",'Paste Full'!AR48)</f>
        <v/>
      </c>
      <c r="AG48" s="4">
        <f>IF(ISBLANK('Paste Full'!AS48),"",'Paste Full'!AS48)</f>
        <v/>
      </c>
      <c r="AH48" s="4">
        <f>IF(ISBLANK('Paste Full'!AV48),"",'Paste Full'!AV48)</f>
        <v/>
      </c>
      <c r="AI48" s="4">
        <f>IF(ISBLANK('Paste Full'!AT48),"",'Paste Full'!AT48)</f>
        <v/>
      </c>
      <c r="AJ48" s="4">
        <f>IF(ISBLANK('Paste Full'!AU48),"",'Paste Full'!AU48)</f>
        <v/>
      </c>
      <c r="AK48" s="4">
        <f>IF(ISBLANK('Paste Full'!AW48),"",'Paste Full'!AW48)</f>
        <v/>
      </c>
      <c r="AL48" s="5">
        <f>IF(ISBLANK('Paste Full'!AX48),"",'Paste Full'!AX48)</f>
        <v/>
      </c>
      <c r="AM48" s="5">
        <f>IF(ISBLANK('Paste Full'!AY48),"",'Paste Full'!AY48)</f>
        <v/>
      </c>
      <c r="AN48" s="5">
        <f>IF(ISBLANK('Paste Full'!AZ48),"",'Paste Full'!AZ48)</f>
        <v/>
      </c>
      <c r="AO48" s="5">
        <f>IF(ISBLANK('Paste Full'!BA48),"",'Paste Full'!BA48)</f>
        <v/>
      </c>
      <c r="AP48" s="5">
        <f>IF(ISBLANK('Paste Full'!BB48),"",'Paste Full'!BB48)</f>
        <v/>
      </c>
      <c r="AQ48" s="5">
        <f>IF(ISBLANK('Paste Full'!BC48),"",'Paste Full'!BC48)</f>
        <v/>
      </c>
      <c r="AR48" s="5">
        <f>IF(ISBLANK('Paste Full'!BD48),"",'Paste Full'!BD48)</f>
        <v/>
      </c>
      <c r="AS48" s="5">
        <f>IF(ISBLANK('Paste Full'!BE48),"",'Paste Full'!BE48)</f>
        <v/>
      </c>
      <c r="AT48" s="5">
        <f>IF(ISBLANK('Paste Full'!BF48),"",'Paste Full'!BF48)</f>
        <v/>
      </c>
      <c r="AU48" s="5">
        <f>IF(ISBLANK('Paste Full'!BG48),"",'Paste Full'!BG48)</f>
        <v/>
      </c>
      <c r="AV48" s="5">
        <f>IF(ISBLANK('Paste Full'!BH48),"",'Paste Full'!BH48)</f>
        <v/>
      </c>
      <c r="AW48" s="5">
        <f>IF(ISBLANK('Paste Full'!BI48),"",'Paste Full'!BI48)</f>
        <v/>
      </c>
      <c r="AX48" s="5">
        <f>IF(ISBLANK('Paste Full'!BJ48),"",'Paste Full'!BJ48)</f>
        <v/>
      </c>
      <c r="AY48" s="5">
        <f>IF(ISBLANK('Paste Full'!BK48),"",'Paste Full'!BK48)</f>
        <v/>
      </c>
      <c r="AZ48" s="6">
        <f>IF(ISBLANK('Paste Full'!BM48),"",'Paste Full'!BM48)</f>
        <v/>
      </c>
      <c r="BA48" s="6">
        <f>IF(ISBLANK('Paste Full'!BN48),"",'Paste Full'!BN48)</f>
        <v/>
      </c>
      <c r="BB48" s="6">
        <f>IF(ISBLANK('Paste Full'!BO48),"",'Paste Full'!BO48)</f>
        <v/>
      </c>
      <c r="BC48" s="6">
        <f>IF(ISBLANK('Paste Full'!BP48),"",'Paste Full'!BP48)</f>
        <v/>
      </c>
      <c r="BD48" s="6">
        <f>IF(ISBLANK('Paste Full'!BR48),"",'Paste Full'!BR48)</f>
        <v/>
      </c>
      <c r="BE48" s="6">
        <f>IF(ISBLANK('Paste Full'!BS48),"",'Paste Full'!BS48)</f>
        <v/>
      </c>
      <c r="BF48" s="6">
        <f>IF(ISBLANK('Paste Full'!BU48),"",'Paste Full'!BU48)</f>
        <v/>
      </c>
      <c r="BG48" s="6">
        <f>IF(ISBLANK('Paste Full'!BV48),"",'Paste Full'!BV48)</f>
        <v/>
      </c>
      <c r="BH48" s="6">
        <f>IF(ISBLANK('Paste Full'!BX48),"",'Paste Full'!BX48)</f>
        <v/>
      </c>
      <c r="BI48" s="6">
        <f>IF(ISBLANK('Paste Full'!BY48),"",'Paste Full'!BY48)</f>
        <v/>
      </c>
      <c r="BJ48" s="13">
        <f>IF(ISBLANK('Paste Full'!BL48),"",'Paste Full'!BL48)</f>
        <v/>
      </c>
      <c r="BK48" s="13">
        <f>IF(ISBLANK('Paste Full'!BQ48),"",'Paste Full'!BQ48)</f>
        <v/>
      </c>
      <c r="BL48" s="13">
        <f>IF(ISBLANK('Paste Full'!BT48),"",'Paste Full'!BT48)</f>
        <v/>
      </c>
      <c r="BM48" s="13">
        <f>IF(ISBLANK('Paste Full'!BW48),"",'Paste Full'!BW48)</f>
        <v/>
      </c>
    </row>
    <row r="49">
      <c r="A49">
        <f>IF(ISBLANK('Paste Full'!C49),"",'Paste Full'!C49)</f>
        <v/>
      </c>
      <c r="B49">
        <f>INDEX($J$1:$R$1, MATCH(MAX($J49:$R49), $J49:$R49, 0))</f>
        <v/>
      </c>
      <c r="C49" s="45">
        <f>IF(ISBLANK('Paste Full'!H49),"",'Paste Full'!H49)</f>
        <v/>
      </c>
      <c r="D49" s="45">
        <f>IF(ISBLANK('Paste Full'!F49),"",'Paste Full'!F49)</f>
        <v/>
      </c>
      <c r="E49" s="45">
        <f>IF(ISBLANK('Paste Full'!G49),"",'Paste Full'!G49)</f>
        <v/>
      </c>
      <c r="F49" s="21">
        <f>IF(ISBLANK('Paste Full'!E49),"",'Paste Full'!E49)</f>
        <v/>
      </c>
      <c r="G49">
        <f>IF(ISBLANK('Paste Full'!CI49),"",'Paste Full'!CI49)</f>
        <v/>
      </c>
      <c r="H49" s="21">
        <f>IF(ISBLANK('Paste Full'!J49),"",'Paste Full'!J49)</f>
        <v/>
      </c>
      <c r="I49" s="21">
        <f>IF(ISBLANK('Paste Full'!D49),"",'Paste Full'!D49)</f>
        <v/>
      </c>
      <c r="J49" s="14">
        <f>AVERAGE(SUMPRODUCT($S49:$BM49,AttWeights!$C$10:$AW$10)/SUM(AttWeights!$C$10:$AW$10),SUMPRODUCT($S49:$BM49,AttWeights!$C$17:$AW$17)/SUM(AttWeights!$C$17:$AW$17))*10</f>
        <v/>
      </c>
      <c r="K49" s="14">
        <f>AVERAGE(SUMPRODUCT($S49:$BM49,AttWeights!$C$7:$AW$7)/SUM(AttWeights!$C$7:$AW$7),SUMPRODUCT($S49:$BM49,AttWeights!$C$15:$AW$15)/SUM(AttWeights!$C$15:$AW$15))*10</f>
        <v/>
      </c>
      <c r="L49" s="14">
        <f>AVERAGE(SUMPRODUCT($S49:$BM49,AttWeights!$C$8:$AW$8)/SUM(AttWeights!$C$8:$AW$8),SUMPRODUCT($S49:$BM49,AttWeights!$C$16:$AW$16)/SUM(AttWeights!$C$16:$AW$16))*10</f>
        <v/>
      </c>
      <c r="M49" s="14">
        <f>AVERAGE(SUMPRODUCT($S49:$BM49,AttWeights!$C$9:$AW$9)/SUM(AttWeights!$C$9:$AW$9),SUMPRODUCT($S49:$BM49,AttWeights!$C$15:$AW$15)/SUM(AttWeights!$C$15:$AW$15))*10</f>
        <v/>
      </c>
      <c r="N49" s="14">
        <f>AVERAGE(SUMPRODUCT($S49:$BM49,AttWeights!$C$6:$AW$6)/SUM(AttWeights!$C$6:$AW$6),SUMPRODUCT($S49:$BM49,AttWeights!$C$14:$AW$14)/SUM(AttWeights!$C$14:$AW$14))*10</f>
        <v/>
      </c>
      <c r="O49" s="14">
        <f>AVERAGE(SUMPRODUCT($S49:$BM49,AttWeights!$C$5:$AW$5)/SUM(AttWeights!$C$5:$AW$5),SUMPRODUCT($S49:$BM49,AttWeights!$C$14:$AW$14)/SUM(AttWeights!$C$14:$AW$14))*10</f>
        <v/>
      </c>
      <c r="P49" s="14">
        <f>AVERAGE(SUMPRODUCT($S49:$BM49,AttWeights!$C$4:$AW$4)/SUM(AttWeights!$C$4:$AW$4),SUMPRODUCT($S49:$BM49,AttWeights!$C$13:$AW$13)/SUM(AttWeights!$C$13:$AW$13))*10</f>
        <v/>
      </c>
      <c r="Q49" s="14">
        <f>AVERAGE(SUMPRODUCT($S49:$BM49,AttWeights!$C$3:$AW$3)/SUM(AttWeights!$C$3:$AW$3),SUMPRODUCT($S49:$BM49,AttWeights!$C$12:$AW$12)/SUM(AttWeights!$C$12:$AW$12))*10</f>
        <v/>
      </c>
      <c r="R49" s="14">
        <f>AVERAGE(SUMPRODUCT($S49:$BM49,AttWeights!$C$2:$AW$2)/SUM(AttWeights!$C$2:$AW$2),SUMPRODUCT($S49:$BM49,AttWeights!$C$11:$AW$11)/SUM(AttWeights!$C$11:$AW$11))*10</f>
        <v/>
      </c>
      <c r="S49" s="3">
        <f>IF(ISBLANK('Paste Full'!AC49),"",'Paste Full'!AC49)</f>
        <v/>
      </c>
      <c r="T49" s="3">
        <f>IF(ISBLANK('Paste Full'!AD49),"",'Paste Full'!AD49)</f>
        <v/>
      </c>
      <c r="U49" s="3">
        <f>IF(ISBLANK('Paste Full'!AE49),"",'Paste Full'!AE49)</f>
        <v/>
      </c>
      <c r="V49" s="3">
        <f>IF(ISBLANK('Paste Full'!AF49),"",'Paste Full'!AF49)</f>
        <v/>
      </c>
      <c r="W49" s="3">
        <f>IF(ISBLANK('Paste Full'!AH49),"",'Paste Full'!AH49)</f>
        <v/>
      </c>
      <c r="X49" s="3">
        <f>IF(ISBLANK('Paste Full'!AI49),"",'Paste Full'!AI49)</f>
        <v/>
      </c>
      <c r="Y49" s="3">
        <f>IF(ISBLANK('Paste Full'!AK49),"",'Paste Full'!AK49)</f>
        <v/>
      </c>
      <c r="Z49" s="3">
        <f>IF(ISBLANK('Paste Full'!AL49),"",'Paste Full'!AL49)</f>
        <v/>
      </c>
      <c r="AA49" s="4">
        <f>IF(ISBLANK('Paste Full'!AM49),"",'Paste Full'!AM49)</f>
        <v/>
      </c>
      <c r="AB49" s="4">
        <f>IF(ISBLANK('Paste Full'!AN49),"",'Paste Full'!AN49)</f>
        <v/>
      </c>
      <c r="AC49" s="4">
        <f>IF(ISBLANK('Paste Full'!AO49),"",'Paste Full'!AO49)</f>
        <v/>
      </c>
      <c r="AD49" s="4">
        <f>IF(ISBLANK('Paste Full'!AP49),"",'Paste Full'!AP49)</f>
        <v/>
      </c>
      <c r="AE49" s="4">
        <f>IF(ISBLANK('Paste Full'!AQ49),"",'Paste Full'!AQ49)</f>
        <v/>
      </c>
      <c r="AF49" s="4">
        <f>IF(ISBLANK('Paste Full'!AR49),"",'Paste Full'!AR49)</f>
        <v/>
      </c>
      <c r="AG49" s="4">
        <f>IF(ISBLANK('Paste Full'!AS49),"",'Paste Full'!AS49)</f>
        <v/>
      </c>
      <c r="AH49" s="4">
        <f>IF(ISBLANK('Paste Full'!AV49),"",'Paste Full'!AV49)</f>
        <v/>
      </c>
      <c r="AI49" s="4">
        <f>IF(ISBLANK('Paste Full'!AT49),"",'Paste Full'!AT49)</f>
        <v/>
      </c>
      <c r="AJ49" s="4">
        <f>IF(ISBLANK('Paste Full'!AU49),"",'Paste Full'!AU49)</f>
        <v/>
      </c>
      <c r="AK49" s="4">
        <f>IF(ISBLANK('Paste Full'!AW49),"",'Paste Full'!AW49)</f>
        <v/>
      </c>
      <c r="AL49" s="5">
        <f>IF(ISBLANK('Paste Full'!AX49),"",'Paste Full'!AX49)</f>
        <v/>
      </c>
      <c r="AM49" s="5">
        <f>IF(ISBLANK('Paste Full'!AY49),"",'Paste Full'!AY49)</f>
        <v/>
      </c>
      <c r="AN49" s="5">
        <f>IF(ISBLANK('Paste Full'!AZ49),"",'Paste Full'!AZ49)</f>
        <v/>
      </c>
      <c r="AO49" s="5">
        <f>IF(ISBLANK('Paste Full'!BA49),"",'Paste Full'!BA49)</f>
        <v/>
      </c>
      <c r="AP49" s="5">
        <f>IF(ISBLANK('Paste Full'!BB49),"",'Paste Full'!BB49)</f>
        <v/>
      </c>
      <c r="AQ49" s="5">
        <f>IF(ISBLANK('Paste Full'!BC49),"",'Paste Full'!BC49)</f>
        <v/>
      </c>
      <c r="AR49" s="5">
        <f>IF(ISBLANK('Paste Full'!BD49),"",'Paste Full'!BD49)</f>
        <v/>
      </c>
      <c r="AS49" s="5">
        <f>IF(ISBLANK('Paste Full'!BE49),"",'Paste Full'!BE49)</f>
        <v/>
      </c>
      <c r="AT49" s="5">
        <f>IF(ISBLANK('Paste Full'!BF49),"",'Paste Full'!BF49)</f>
        <v/>
      </c>
      <c r="AU49" s="5">
        <f>IF(ISBLANK('Paste Full'!BG49),"",'Paste Full'!BG49)</f>
        <v/>
      </c>
      <c r="AV49" s="5">
        <f>IF(ISBLANK('Paste Full'!BH49),"",'Paste Full'!BH49)</f>
        <v/>
      </c>
      <c r="AW49" s="5">
        <f>IF(ISBLANK('Paste Full'!BI49),"",'Paste Full'!BI49)</f>
        <v/>
      </c>
      <c r="AX49" s="5">
        <f>IF(ISBLANK('Paste Full'!BJ49),"",'Paste Full'!BJ49)</f>
        <v/>
      </c>
      <c r="AY49" s="5">
        <f>IF(ISBLANK('Paste Full'!BK49),"",'Paste Full'!BK49)</f>
        <v/>
      </c>
      <c r="AZ49" s="6">
        <f>IF(ISBLANK('Paste Full'!BM49),"",'Paste Full'!BM49)</f>
        <v/>
      </c>
      <c r="BA49" s="6">
        <f>IF(ISBLANK('Paste Full'!BN49),"",'Paste Full'!BN49)</f>
        <v/>
      </c>
      <c r="BB49" s="6">
        <f>IF(ISBLANK('Paste Full'!BO49),"",'Paste Full'!BO49)</f>
        <v/>
      </c>
      <c r="BC49" s="6">
        <f>IF(ISBLANK('Paste Full'!BP49),"",'Paste Full'!BP49)</f>
        <v/>
      </c>
      <c r="BD49" s="6">
        <f>IF(ISBLANK('Paste Full'!BR49),"",'Paste Full'!BR49)</f>
        <v/>
      </c>
      <c r="BE49" s="6">
        <f>IF(ISBLANK('Paste Full'!BS49),"",'Paste Full'!BS49)</f>
        <v/>
      </c>
      <c r="BF49" s="6">
        <f>IF(ISBLANK('Paste Full'!BU49),"",'Paste Full'!BU49)</f>
        <v/>
      </c>
      <c r="BG49" s="6">
        <f>IF(ISBLANK('Paste Full'!BV49),"",'Paste Full'!BV49)</f>
        <v/>
      </c>
      <c r="BH49" s="6">
        <f>IF(ISBLANK('Paste Full'!BX49),"",'Paste Full'!BX49)</f>
        <v/>
      </c>
      <c r="BI49" s="6">
        <f>IF(ISBLANK('Paste Full'!BY49),"",'Paste Full'!BY49)</f>
        <v/>
      </c>
      <c r="BJ49" s="13">
        <f>IF(ISBLANK('Paste Full'!BL49),"",'Paste Full'!BL49)</f>
        <v/>
      </c>
      <c r="BK49" s="13">
        <f>IF(ISBLANK('Paste Full'!BQ49),"",'Paste Full'!BQ49)</f>
        <v/>
      </c>
      <c r="BL49" s="13">
        <f>IF(ISBLANK('Paste Full'!BT49),"",'Paste Full'!BT49)</f>
        <v/>
      </c>
      <c r="BM49" s="13">
        <f>IF(ISBLANK('Paste Full'!BW49),"",'Paste Full'!BW49)</f>
        <v/>
      </c>
    </row>
    <row r="50">
      <c r="A50">
        <f>IF(ISBLANK('Paste Full'!C50),"",'Paste Full'!C50)</f>
        <v/>
      </c>
      <c r="B50">
        <f>INDEX($J$1:$R$1, MATCH(MAX($J50:$R50), $J50:$R50, 0))</f>
        <v/>
      </c>
      <c r="C50" s="45">
        <f>IF(ISBLANK('Paste Full'!H50),"",'Paste Full'!H50)</f>
        <v/>
      </c>
      <c r="D50" s="45">
        <f>IF(ISBLANK('Paste Full'!F50),"",'Paste Full'!F50)</f>
        <v/>
      </c>
      <c r="E50" s="45">
        <f>IF(ISBLANK('Paste Full'!G50),"",'Paste Full'!G50)</f>
        <v/>
      </c>
      <c r="F50" s="21">
        <f>IF(ISBLANK('Paste Full'!E50),"",'Paste Full'!E50)</f>
        <v/>
      </c>
      <c r="G50">
        <f>IF(ISBLANK('Paste Full'!CI50),"",'Paste Full'!CI50)</f>
        <v/>
      </c>
      <c r="H50" s="21">
        <f>IF(ISBLANK('Paste Full'!J50),"",'Paste Full'!J50)</f>
        <v/>
      </c>
      <c r="I50" s="21">
        <f>IF(ISBLANK('Paste Full'!D50),"",'Paste Full'!D50)</f>
        <v/>
      </c>
      <c r="J50" s="14">
        <f>AVERAGE(SUMPRODUCT($S50:$BM50,AttWeights!$C$10:$AW$10)/SUM(AttWeights!$C$10:$AW$10),SUMPRODUCT($S50:$BM50,AttWeights!$C$17:$AW$17)/SUM(AttWeights!$C$17:$AW$17))*10</f>
        <v/>
      </c>
      <c r="K50" s="14">
        <f>AVERAGE(SUMPRODUCT($S50:$BM50,AttWeights!$C$7:$AW$7)/SUM(AttWeights!$C$7:$AW$7),SUMPRODUCT($S50:$BM50,AttWeights!$C$15:$AW$15)/SUM(AttWeights!$C$15:$AW$15))*10</f>
        <v/>
      </c>
      <c r="L50" s="14">
        <f>AVERAGE(SUMPRODUCT($S50:$BM50,AttWeights!$C$8:$AW$8)/SUM(AttWeights!$C$8:$AW$8),SUMPRODUCT($S50:$BM50,AttWeights!$C$16:$AW$16)/SUM(AttWeights!$C$16:$AW$16))*10</f>
        <v/>
      </c>
      <c r="M50" s="14">
        <f>AVERAGE(SUMPRODUCT($S50:$BM50,AttWeights!$C$9:$AW$9)/SUM(AttWeights!$C$9:$AW$9),SUMPRODUCT($S50:$BM50,AttWeights!$C$15:$AW$15)/SUM(AttWeights!$C$15:$AW$15))*10</f>
        <v/>
      </c>
      <c r="N50" s="14">
        <f>AVERAGE(SUMPRODUCT($S50:$BM50,AttWeights!$C$6:$AW$6)/SUM(AttWeights!$C$6:$AW$6),SUMPRODUCT($S50:$BM50,AttWeights!$C$14:$AW$14)/SUM(AttWeights!$C$14:$AW$14))*10</f>
        <v/>
      </c>
      <c r="O50" s="14">
        <f>AVERAGE(SUMPRODUCT($S50:$BM50,AttWeights!$C$5:$AW$5)/SUM(AttWeights!$C$5:$AW$5),SUMPRODUCT($S50:$BM50,AttWeights!$C$14:$AW$14)/SUM(AttWeights!$C$14:$AW$14))*10</f>
        <v/>
      </c>
      <c r="P50" s="14">
        <f>AVERAGE(SUMPRODUCT($S50:$BM50,AttWeights!$C$4:$AW$4)/SUM(AttWeights!$C$4:$AW$4),SUMPRODUCT($S50:$BM50,AttWeights!$C$13:$AW$13)/SUM(AttWeights!$C$13:$AW$13))*10</f>
        <v/>
      </c>
      <c r="Q50" s="14">
        <f>AVERAGE(SUMPRODUCT($S50:$BM50,AttWeights!$C$3:$AW$3)/SUM(AttWeights!$C$3:$AW$3),SUMPRODUCT($S50:$BM50,AttWeights!$C$12:$AW$12)/SUM(AttWeights!$C$12:$AW$12))*10</f>
        <v/>
      </c>
      <c r="R50" s="14">
        <f>AVERAGE(SUMPRODUCT($S50:$BM50,AttWeights!$C$2:$AW$2)/SUM(AttWeights!$C$2:$AW$2),SUMPRODUCT($S50:$BM50,AttWeights!$C$11:$AW$11)/SUM(AttWeights!$C$11:$AW$11))*10</f>
        <v/>
      </c>
      <c r="S50" s="3">
        <f>IF(ISBLANK('Paste Full'!AC50),"",'Paste Full'!AC50)</f>
        <v/>
      </c>
      <c r="T50" s="3">
        <f>IF(ISBLANK('Paste Full'!AD50),"",'Paste Full'!AD50)</f>
        <v/>
      </c>
      <c r="U50" s="3">
        <f>IF(ISBLANK('Paste Full'!AE50),"",'Paste Full'!AE50)</f>
        <v/>
      </c>
      <c r="V50" s="3">
        <f>IF(ISBLANK('Paste Full'!AF50),"",'Paste Full'!AF50)</f>
        <v/>
      </c>
      <c r="W50" s="3">
        <f>IF(ISBLANK('Paste Full'!AH50),"",'Paste Full'!AH50)</f>
        <v/>
      </c>
      <c r="X50" s="3">
        <f>IF(ISBLANK('Paste Full'!AI50),"",'Paste Full'!AI50)</f>
        <v/>
      </c>
      <c r="Y50" s="3">
        <f>IF(ISBLANK('Paste Full'!AK50),"",'Paste Full'!AK50)</f>
        <v/>
      </c>
      <c r="Z50" s="3">
        <f>IF(ISBLANK('Paste Full'!AL50),"",'Paste Full'!AL50)</f>
        <v/>
      </c>
      <c r="AA50" s="4">
        <f>IF(ISBLANK('Paste Full'!AM50),"",'Paste Full'!AM50)</f>
        <v/>
      </c>
      <c r="AB50" s="4">
        <f>IF(ISBLANK('Paste Full'!AN50),"",'Paste Full'!AN50)</f>
        <v/>
      </c>
      <c r="AC50" s="4">
        <f>IF(ISBLANK('Paste Full'!AO50),"",'Paste Full'!AO50)</f>
        <v/>
      </c>
      <c r="AD50" s="4">
        <f>IF(ISBLANK('Paste Full'!AP50),"",'Paste Full'!AP50)</f>
        <v/>
      </c>
      <c r="AE50" s="4">
        <f>IF(ISBLANK('Paste Full'!AQ50),"",'Paste Full'!AQ50)</f>
        <v/>
      </c>
      <c r="AF50" s="4">
        <f>IF(ISBLANK('Paste Full'!AR50),"",'Paste Full'!AR50)</f>
        <v/>
      </c>
      <c r="AG50" s="4">
        <f>IF(ISBLANK('Paste Full'!AS50),"",'Paste Full'!AS50)</f>
        <v/>
      </c>
      <c r="AH50" s="4">
        <f>IF(ISBLANK('Paste Full'!AV50),"",'Paste Full'!AV50)</f>
        <v/>
      </c>
      <c r="AI50" s="4">
        <f>IF(ISBLANK('Paste Full'!AT50),"",'Paste Full'!AT50)</f>
        <v/>
      </c>
      <c r="AJ50" s="4">
        <f>IF(ISBLANK('Paste Full'!AU50),"",'Paste Full'!AU50)</f>
        <v/>
      </c>
      <c r="AK50" s="4">
        <f>IF(ISBLANK('Paste Full'!AW50),"",'Paste Full'!AW50)</f>
        <v/>
      </c>
      <c r="AL50" s="5">
        <f>IF(ISBLANK('Paste Full'!AX50),"",'Paste Full'!AX50)</f>
        <v/>
      </c>
      <c r="AM50" s="5">
        <f>IF(ISBLANK('Paste Full'!AY50),"",'Paste Full'!AY50)</f>
        <v/>
      </c>
      <c r="AN50" s="5">
        <f>IF(ISBLANK('Paste Full'!AZ50),"",'Paste Full'!AZ50)</f>
        <v/>
      </c>
      <c r="AO50" s="5">
        <f>IF(ISBLANK('Paste Full'!BA50),"",'Paste Full'!BA50)</f>
        <v/>
      </c>
      <c r="AP50" s="5">
        <f>IF(ISBLANK('Paste Full'!BB50),"",'Paste Full'!BB50)</f>
        <v/>
      </c>
      <c r="AQ50" s="5">
        <f>IF(ISBLANK('Paste Full'!BC50),"",'Paste Full'!BC50)</f>
        <v/>
      </c>
      <c r="AR50" s="5">
        <f>IF(ISBLANK('Paste Full'!BD50),"",'Paste Full'!BD50)</f>
        <v/>
      </c>
      <c r="AS50" s="5">
        <f>IF(ISBLANK('Paste Full'!BE50),"",'Paste Full'!BE50)</f>
        <v/>
      </c>
      <c r="AT50" s="5">
        <f>IF(ISBLANK('Paste Full'!BF50),"",'Paste Full'!BF50)</f>
        <v/>
      </c>
      <c r="AU50" s="5">
        <f>IF(ISBLANK('Paste Full'!BG50),"",'Paste Full'!BG50)</f>
        <v/>
      </c>
      <c r="AV50" s="5">
        <f>IF(ISBLANK('Paste Full'!BH50),"",'Paste Full'!BH50)</f>
        <v/>
      </c>
      <c r="AW50" s="5">
        <f>IF(ISBLANK('Paste Full'!BI50),"",'Paste Full'!BI50)</f>
        <v/>
      </c>
      <c r="AX50" s="5">
        <f>IF(ISBLANK('Paste Full'!BJ50),"",'Paste Full'!BJ50)</f>
        <v/>
      </c>
      <c r="AY50" s="5">
        <f>IF(ISBLANK('Paste Full'!BK50),"",'Paste Full'!BK50)</f>
        <v/>
      </c>
      <c r="AZ50" s="6">
        <f>IF(ISBLANK('Paste Full'!BM50),"",'Paste Full'!BM50)</f>
        <v/>
      </c>
      <c r="BA50" s="6">
        <f>IF(ISBLANK('Paste Full'!BN50),"",'Paste Full'!BN50)</f>
        <v/>
      </c>
      <c r="BB50" s="6">
        <f>IF(ISBLANK('Paste Full'!BO50),"",'Paste Full'!BO50)</f>
        <v/>
      </c>
      <c r="BC50" s="6">
        <f>IF(ISBLANK('Paste Full'!BP50),"",'Paste Full'!BP50)</f>
        <v/>
      </c>
      <c r="BD50" s="6">
        <f>IF(ISBLANK('Paste Full'!BR50),"",'Paste Full'!BR50)</f>
        <v/>
      </c>
      <c r="BE50" s="6">
        <f>IF(ISBLANK('Paste Full'!BS50),"",'Paste Full'!BS50)</f>
        <v/>
      </c>
      <c r="BF50" s="6">
        <f>IF(ISBLANK('Paste Full'!BU50),"",'Paste Full'!BU50)</f>
        <v/>
      </c>
      <c r="BG50" s="6">
        <f>IF(ISBLANK('Paste Full'!BV50),"",'Paste Full'!BV50)</f>
        <v/>
      </c>
      <c r="BH50" s="6">
        <f>IF(ISBLANK('Paste Full'!BX50),"",'Paste Full'!BX50)</f>
        <v/>
      </c>
      <c r="BI50" s="6">
        <f>IF(ISBLANK('Paste Full'!BY50),"",'Paste Full'!BY50)</f>
        <v/>
      </c>
      <c r="BJ50" s="13">
        <f>IF(ISBLANK('Paste Full'!BL50),"",'Paste Full'!BL50)</f>
        <v/>
      </c>
      <c r="BK50" s="13">
        <f>IF(ISBLANK('Paste Full'!BQ50),"",'Paste Full'!BQ50)</f>
        <v/>
      </c>
      <c r="BL50" s="13">
        <f>IF(ISBLANK('Paste Full'!BT50),"",'Paste Full'!BT50)</f>
        <v/>
      </c>
      <c r="BM50" s="13">
        <f>IF(ISBLANK('Paste Full'!BW50),"",'Paste Full'!BW50)</f>
        <v/>
      </c>
    </row>
    <row r="51">
      <c r="A51">
        <f>IF(ISBLANK('Paste Full'!C51),"",'Paste Full'!C51)</f>
        <v/>
      </c>
      <c r="B51">
        <f>INDEX($J$1:$R$1, MATCH(MAX($J51:$R51), $J51:$R51, 0))</f>
        <v/>
      </c>
      <c r="C51" s="45">
        <f>IF(ISBLANK('Paste Full'!H51),"",'Paste Full'!H51)</f>
        <v/>
      </c>
      <c r="D51" s="45">
        <f>IF(ISBLANK('Paste Full'!F51),"",'Paste Full'!F51)</f>
        <v/>
      </c>
      <c r="E51" s="45">
        <f>IF(ISBLANK('Paste Full'!G51),"",'Paste Full'!G51)</f>
        <v/>
      </c>
      <c r="F51" s="21">
        <f>IF(ISBLANK('Paste Full'!E51),"",'Paste Full'!E51)</f>
        <v/>
      </c>
      <c r="G51">
        <f>IF(ISBLANK('Paste Full'!CI51),"",'Paste Full'!CI51)</f>
        <v/>
      </c>
      <c r="H51" s="21">
        <f>IF(ISBLANK('Paste Full'!J51),"",'Paste Full'!J51)</f>
        <v/>
      </c>
      <c r="I51" s="21">
        <f>IF(ISBLANK('Paste Full'!D51),"",'Paste Full'!D51)</f>
        <v/>
      </c>
      <c r="J51" s="14">
        <f>AVERAGE(SUMPRODUCT($S51:$BM51,AttWeights!$C$10:$AW$10)/SUM(AttWeights!$C$10:$AW$10),SUMPRODUCT($S51:$BM51,AttWeights!$C$17:$AW$17)/SUM(AttWeights!$C$17:$AW$17))*10</f>
        <v/>
      </c>
      <c r="K51" s="14">
        <f>AVERAGE(SUMPRODUCT($S51:$BM51,AttWeights!$C$7:$AW$7)/SUM(AttWeights!$C$7:$AW$7),SUMPRODUCT($S51:$BM51,AttWeights!$C$15:$AW$15)/SUM(AttWeights!$C$15:$AW$15))*10</f>
        <v/>
      </c>
      <c r="L51" s="14">
        <f>AVERAGE(SUMPRODUCT($S51:$BM51,AttWeights!$C$8:$AW$8)/SUM(AttWeights!$C$8:$AW$8),SUMPRODUCT($S51:$BM51,AttWeights!$C$16:$AW$16)/SUM(AttWeights!$C$16:$AW$16))*10</f>
        <v/>
      </c>
      <c r="M51" s="14">
        <f>AVERAGE(SUMPRODUCT($S51:$BM51,AttWeights!$C$9:$AW$9)/SUM(AttWeights!$C$9:$AW$9),SUMPRODUCT($S51:$BM51,AttWeights!$C$15:$AW$15)/SUM(AttWeights!$C$15:$AW$15))*10</f>
        <v/>
      </c>
      <c r="N51" s="14">
        <f>AVERAGE(SUMPRODUCT($S51:$BM51,AttWeights!$C$6:$AW$6)/SUM(AttWeights!$C$6:$AW$6),SUMPRODUCT($S51:$BM51,AttWeights!$C$14:$AW$14)/SUM(AttWeights!$C$14:$AW$14))*10</f>
        <v/>
      </c>
      <c r="O51" s="14">
        <f>AVERAGE(SUMPRODUCT($S51:$BM51,AttWeights!$C$5:$AW$5)/SUM(AttWeights!$C$5:$AW$5),SUMPRODUCT($S51:$BM51,AttWeights!$C$14:$AW$14)/SUM(AttWeights!$C$14:$AW$14))*10</f>
        <v/>
      </c>
      <c r="P51" s="14">
        <f>AVERAGE(SUMPRODUCT($S51:$BM51,AttWeights!$C$4:$AW$4)/SUM(AttWeights!$C$4:$AW$4),SUMPRODUCT($S51:$BM51,AttWeights!$C$13:$AW$13)/SUM(AttWeights!$C$13:$AW$13))*10</f>
        <v/>
      </c>
      <c r="Q51" s="14">
        <f>AVERAGE(SUMPRODUCT($S51:$BM51,AttWeights!$C$3:$AW$3)/SUM(AttWeights!$C$3:$AW$3),SUMPRODUCT($S51:$BM51,AttWeights!$C$12:$AW$12)/SUM(AttWeights!$C$12:$AW$12))*10</f>
        <v/>
      </c>
      <c r="R51" s="14">
        <f>AVERAGE(SUMPRODUCT($S51:$BM51,AttWeights!$C$2:$AW$2)/SUM(AttWeights!$C$2:$AW$2),SUMPRODUCT($S51:$BM51,AttWeights!$C$11:$AW$11)/SUM(AttWeights!$C$11:$AW$11))*10</f>
        <v/>
      </c>
      <c r="S51" s="3">
        <f>IF(ISBLANK('Paste Full'!AC51),"",'Paste Full'!AC51)</f>
        <v/>
      </c>
      <c r="T51" s="3">
        <f>IF(ISBLANK('Paste Full'!AD51),"",'Paste Full'!AD51)</f>
        <v/>
      </c>
      <c r="U51" s="3">
        <f>IF(ISBLANK('Paste Full'!AE51),"",'Paste Full'!AE51)</f>
        <v/>
      </c>
      <c r="V51" s="3">
        <f>IF(ISBLANK('Paste Full'!AF51),"",'Paste Full'!AF51)</f>
        <v/>
      </c>
      <c r="W51" s="3">
        <f>IF(ISBLANK('Paste Full'!AH51),"",'Paste Full'!AH51)</f>
        <v/>
      </c>
      <c r="X51" s="3">
        <f>IF(ISBLANK('Paste Full'!AI51),"",'Paste Full'!AI51)</f>
        <v/>
      </c>
      <c r="Y51" s="3">
        <f>IF(ISBLANK('Paste Full'!AK51),"",'Paste Full'!AK51)</f>
        <v/>
      </c>
      <c r="Z51" s="3">
        <f>IF(ISBLANK('Paste Full'!AL51),"",'Paste Full'!AL51)</f>
        <v/>
      </c>
      <c r="AA51" s="4">
        <f>IF(ISBLANK('Paste Full'!AM51),"",'Paste Full'!AM51)</f>
        <v/>
      </c>
      <c r="AB51" s="4">
        <f>IF(ISBLANK('Paste Full'!AN51),"",'Paste Full'!AN51)</f>
        <v/>
      </c>
      <c r="AC51" s="4">
        <f>IF(ISBLANK('Paste Full'!AO51),"",'Paste Full'!AO51)</f>
        <v/>
      </c>
      <c r="AD51" s="4">
        <f>IF(ISBLANK('Paste Full'!AP51),"",'Paste Full'!AP51)</f>
        <v/>
      </c>
      <c r="AE51" s="4">
        <f>IF(ISBLANK('Paste Full'!AQ51),"",'Paste Full'!AQ51)</f>
        <v/>
      </c>
      <c r="AF51" s="4">
        <f>IF(ISBLANK('Paste Full'!AR51),"",'Paste Full'!AR51)</f>
        <v/>
      </c>
      <c r="AG51" s="4">
        <f>IF(ISBLANK('Paste Full'!AS51),"",'Paste Full'!AS51)</f>
        <v/>
      </c>
      <c r="AH51" s="4">
        <f>IF(ISBLANK('Paste Full'!AV51),"",'Paste Full'!AV51)</f>
        <v/>
      </c>
      <c r="AI51" s="4">
        <f>IF(ISBLANK('Paste Full'!AT51),"",'Paste Full'!AT51)</f>
        <v/>
      </c>
      <c r="AJ51" s="4">
        <f>IF(ISBLANK('Paste Full'!AU51),"",'Paste Full'!AU51)</f>
        <v/>
      </c>
      <c r="AK51" s="4">
        <f>IF(ISBLANK('Paste Full'!AW51),"",'Paste Full'!AW51)</f>
        <v/>
      </c>
      <c r="AL51" s="5">
        <f>IF(ISBLANK('Paste Full'!AX51),"",'Paste Full'!AX51)</f>
        <v/>
      </c>
      <c r="AM51" s="5">
        <f>IF(ISBLANK('Paste Full'!AY51),"",'Paste Full'!AY51)</f>
        <v/>
      </c>
      <c r="AN51" s="5">
        <f>IF(ISBLANK('Paste Full'!AZ51),"",'Paste Full'!AZ51)</f>
        <v/>
      </c>
      <c r="AO51" s="5">
        <f>IF(ISBLANK('Paste Full'!BA51),"",'Paste Full'!BA51)</f>
        <v/>
      </c>
      <c r="AP51" s="5">
        <f>IF(ISBLANK('Paste Full'!BB51),"",'Paste Full'!BB51)</f>
        <v/>
      </c>
      <c r="AQ51" s="5">
        <f>IF(ISBLANK('Paste Full'!BC51),"",'Paste Full'!BC51)</f>
        <v/>
      </c>
      <c r="AR51" s="5">
        <f>IF(ISBLANK('Paste Full'!BD51),"",'Paste Full'!BD51)</f>
        <v/>
      </c>
      <c r="AS51" s="5">
        <f>IF(ISBLANK('Paste Full'!BE51),"",'Paste Full'!BE51)</f>
        <v/>
      </c>
      <c r="AT51" s="5">
        <f>IF(ISBLANK('Paste Full'!BF51),"",'Paste Full'!BF51)</f>
        <v/>
      </c>
      <c r="AU51" s="5">
        <f>IF(ISBLANK('Paste Full'!BG51),"",'Paste Full'!BG51)</f>
        <v/>
      </c>
      <c r="AV51" s="5">
        <f>IF(ISBLANK('Paste Full'!BH51),"",'Paste Full'!BH51)</f>
        <v/>
      </c>
      <c r="AW51" s="5">
        <f>IF(ISBLANK('Paste Full'!BI51),"",'Paste Full'!BI51)</f>
        <v/>
      </c>
      <c r="AX51" s="5">
        <f>IF(ISBLANK('Paste Full'!BJ51),"",'Paste Full'!BJ51)</f>
        <v/>
      </c>
      <c r="AY51" s="5">
        <f>IF(ISBLANK('Paste Full'!BK51),"",'Paste Full'!BK51)</f>
        <v/>
      </c>
      <c r="AZ51" s="6">
        <f>IF(ISBLANK('Paste Full'!BM51),"",'Paste Full'!BM51)</f>
        <v/>
      </c>
      <c r="BA51" s="6">
        <f>IF(ISBLANK('Paste Full'!BN51),"",'Paste Full'!BN51)</f>
        <v/>
      </c>
      <c r="BB51" s="6">
        <f>IF(ISBLANK('Paste Full'!BO51),"",'Paste Full'!BO51)</f>
        <v/>
      </c>
      <c r="BC51" s="6">
        <f>IF(ISBLANK('Paste Full'!BP51),"",'Paste Full'!BP51)</f>
        <v/>
      </c>
      <c r="BD51" s="6">
        <f>IF(ISBLANK('Paste Full'!BR51),"",'Paste Full'!BR51)</f>
        <v/>
      </c>
      <c r="BE51" s="6">
        <f>IF(ISBLANK('Paste Full'!BS51),"",'Paste Full'!BS51)</f>
        <v/>
      </c>
      <c r="BF51" s="6">
        <f>IF(ISBLANK('Paste Full'!BU51),"",'Paste Full'!BU51)</f>
        <v/>
      </c>
      <c r="BG51" s="6">
        <f>IF(ISBLANK('Paste Full'!BV51),"",'Paste Full'!BV51)</f>
        <v/>
      </c>
      <c r="BH51" s="6">
        <f>IF(ISBLANK('Paste Full'!BX51),"",'Paste Full'!BX51)</f>
        <v/>
      </c>
      <c r="BI51" s="6">
        <f>IF(ISBLANK('Paste Full'!BY51),"",'Paste Full'!BY51)</f>
        <v/>
      </c>
      <c r="BJ51" s="13">
        <f>IF(ISBLANK('Paste Full'!BL51),"",'Paste Full'!BL51)</f>
        <v/>
      </c>
      <c r="BK51" s="13">
        <f>IF(ISBLANK('Paste Full'!BQ51),"",'Paste Full'!BQ51)</f>
        <v/>
      </c>
      <c r="BL51" s="13">
        <f>IF(ISBLANK('Paste Full'!BT51),"",'Paste Full'!BT51)</f>
        <v/>
      </c>
      <c r="BM51" s="13">
        <f>IF(ISBLANK('Paste Full'!BW51),"",'Paste Full'!BW51)</f>
        <v/>
      </c>
    </row>
    <row r="52">
      <c r="A52">
        <f>IF(ISBLANK('Paste Full'!C52),"",'Paste Full'!C52)</f>
        <v/>
      </c>
      <c r="B52">
        <f>INDEX($J$1:$R$1, MATCH(MAX($J52:$R52), $J52:$R52, 0))</f>
        <v/>
      </c>
      <c r="C52" s="45">
        <f>IF(ISBLANK('Paste Full'!H52),"",'Paste Full'!H52)</f>
        <v/>
      </c>
      <c r="D52" s="45">
        <f>IF(ISBLANK('Paste Full'!F52),"",'Paste Full'!F52)</f>
        <v/>
      </c>
      <c r="E52" s="45">
        <f>IF(ISBLANK('Paste Full'!G52),"",'Paste Full'!G52)</f>
        <v/>
      </c>
      <c r="F52" s="21">
        <f>IF(ISBLANK('Paste Full'!E52),"",'Paste Full'!E52)</f>
        <v/>
      </c>
      <c r="G52">
        <f>IF(ISBLANK('Paste Full'!CI52),"",'Paste Full'!CI52)</f>
        <v/>
      </c>
      <c r="H52" s="21">
        <f>IF(ISBLANK('Paste Full'!J52),"",'Paste Full'!J52)</f>
        <v/>
      </c>
      <c r="I52" s="21">
        <f>IF(ISBLANK('Paste Full'!D52),"",'Paste Full'!D52)</f>
        <v/>
      </c>
      <c r="J52" s="14">
        <f>AVERAGE(SUMPRODUCT($S52:$BM52,AttWeights!$C$10:$AW$10)/SUM(AttWeights!$C$10:$AW$10),SUMPRODUCT($S52:$BM52,AttWeights!$C$17:$AW$17)/SUM(AttWeights!$C$17:$AW$17))*10</f>
        <v/>
      </c>
      <c r="K52" s="14">
        <f>AVERAGE(SUMPRODUCT($S52:$BM52,AttWeights!$C$7:$AW$7)/SUM(AttWeights!$C$7:$AW$7),SUMPRODUCT($S52:$BM52,AttWeights!$C$15:$AW$15)/SUM(AttWeights!$C$15:$AW$15))*10</f>
        <v/>
      </c>
      <c r="L52" s="14">
        <f>AVERAGE(SUMPRODUCT($S52:$BM52,AttWeights!$C$8:$AW$8)/SUM(AttWeights!$C$8:$AW$8),SUMPRODUCT($S52:$BM52,AttWeights!$C$16:$AW$16)/SUM(AttWeights!$C$16:$AW$16))*10</f>
        <v/>
      </c>
      <c r="M52" s="14">
        <f>AVERAGE(SUMPRODUCT($S52:$BM52,AttWeights!$C$9:$AW$9)/SUM(AttWeights!$C$9:$AW$9),SUMPRODUCT($S52:$BM52,AttWeights!$C$15:$AW$15)/SUM(AttWeights!$C$15:$AW$15))*10</f>
        <v/>
      </c>
      <c r="N52" s="14">
        <f>AVERAGE(SUMPRODUCT($S52:$BM52,AttWeights!$C$6:$AW$6)/SUM(AttWeights!$C$6:$AW$6),SUMPRODUCT($S52:$BM52,AttWeights!$C$14:$AW$14)/SUM(AttWeights!$C$14:$AW$14))*10</f>
        <v/>
      </c>
      <c r="O52" s="14">
        <f>AVERAGE(SUMPRODUCT($S52:$BM52,AttWeights!$C$5:$AW$5)/SUM(AttWeights!$C$5:$AW$5),SUMPRODUCT($S52:$BM52,AttWeights!$C$14:$AW$14)/SUM(AttWeights!$C$14:$AW$14))*10</f>
        <v/>
      </c>
      <c r="P52" s="14">
        <f>AVERAGE(SUMPRODUCT($S52:$BM52,AttWeights!$C$4:$AW$4)/SUM(AttWeights!$C$4:$AW$4),SUMPRODUCT($S52:$BM52,AttWeights!$C$13:$AW$13)/SUM(AttWeights!$C$13:$AW$13))*10</f>
        <v/>
      </c>
      <c r="Q52" s="14">
        <f>AVERAGE(SUMPRODUCT($S52:$BM52,AttWeights!$C$3:$AW$3)/SUM(AttWeights!$C$3:$AW$3),SUMPRODUCT($S52:$BM52,AttWeights!$C$12:$AW$12)/SUM(AttWeights!$C$12:$AW$12))*10</f>
        <v/>
      </c>
      <c r="R52" s="14">
        <f>AVERAGE(SUMPRODUCT($S52:$BM52,AttWeights!$C$2:$AW$2)/SUM(AttWeights!$C$2:$AW$2),SUMPRODUCT($S52:$BM52,AttWeights!$C$11:$AW$11)/SUM(AttWeights!$C$11:$AW$11))*10</f>
        <v/>
      </c>
      <c r="S52" s="3">
        <f>IF(ISBLANK('Paste Full'!AC52),"",'Paste Full'!AC52)</f>
        <v/>
      </c>
      <c r="T52" s="3">
        <f>IF(ISBLANK('Paste Full'!AD52),"",'Paste Full'!AD52)</f>
        <v/>
      </c>
      <c r="U52" s="3">
        <f>IF(ISBLANK('Paste Full'!AE52),"",'Paste Full'!AE52)</f>
        <v/>
      </c>
      <c r="V52" s="3">
        <f>IF(ISBLANK('Paste Full'!AF52),"",'Paste Full'!AF52)</f>
        <v/>
      </c>
      <c r="W52" s="3">
        <f>IF(ISBLANK('Paste Full'!AH52),"",'Paste Full'!AH52)</f>
        <v/>
      </c>
      <c r="X52" s="3">
        <f>IF(ISBLANK('Paste Full'!AI52),"",'Paste Full'!AI52)</f>
        <v/>
      </c>
      <c r="Y52" s="3">
        <f>IF(ISBLANK('Paste Full'!AK52),"",'Paste Full'!AK52)</f>
        <v/>
      </c>
      <c r="Z52" s="3">
        <f>IF(ISBLANK('Paste Full'!AL52),"",'Paste Full'!AL52)</f>
        <v/>
      </c>
      <c r="AA52" s="4">
        <f>IF(ISBLANK('Paste Full'!AM52),"",'Paste Full'!AM52)</f>
        <v/>
      </c>
      <c r="AB52" s="4">
        <f>IF(ISBLANK('Paste Full'!AN52),"",'Paste Full'!AN52)</f>
        <v/>
      </c>
      <c r="AC52" s="4">
        <f>IF(ISBLANK('Paste Full'!AO52),"",'Paste Full'!AO52)</f>
        <v/>
      </c>
      <c r="AD52" s="4">
        <f>IF(ISBLANK('Paste Full'!AP52),"",'Paste Full'!AP52)</f>
        <v/>
      </c>
      <c r="AE52" s="4">
        <f>IF(ISBLANK('Paste Full'!AQ52),"",'Paste Full'!AQ52)</f>
        <v/>
      </c>
      <c r="AF52" s="4">
        <f>IF(ISBLANK('Paste Full'!AR52),"",'Paste Full'!AR52)</f>
        <v/>
      </c>
      <c r="AG52" s="4">
        <f>IF(ISBLANK('Paste Full'!AS52),"",'Paste Full'!AS52)</f>
        <v/>
      </c>
      <c r="AH52" s="4">
        <f>IF(ISBLANK('Paste Full'!AV52),"",'Paste Full'!AV52)</f>
        <v/>
      </c>
      <c r="AI52" s="4">
        <f>IF(ISBLANK('Paste Full'!AT52),"",'Paste Full'!AT52)</f>
        <v/>
      </c>
      <c r="AJ52" s="4">
        <f>IF(ISBLANK('Paste Full'!AU52),"",'Paste Full'!AU52)</f>
        <v/>
      </c>
      <c r="AK52" s="4">
        <f>IF(ISBLANK('Paste Full'!AW52),"",'Paste Full'!AW52)</f>
        <v/>
      </c>
      <c r="AL52" s="5">
        <f>IF(ISBLANK('Paste Full'!AX52),"",'Paste Full'!AX52)</f>
        <v/>
      </c>
      <c r="AM52" s="5">
        <f>IF(ISBLANK('Paste Full'!AY52),"",'Paste Full'!AY52)</f>
        <v/>
      </c>
      <c r="AN52" s="5">
        <f>IF(ISBLANK('Paste Full'!AZ52),"",'Paste Full'!AZ52)</f>
        <v/>
      </c>
      <c r="AO52" s="5">
        <f>IF(ISBLANK('Paste Full'!BA52),"",'Paste Full'!BA52)</f>
        <v/>
      </c>
      <c r="AP52" s="5">
        <f>IF(ISBLANK('Paste Full'!BB52),"",'Paste Full'!BB52)</f>
        <v/>
      </c>
      <c r="AQ52" s="5">
        <f>IF(ISBLANK('Paste Full'!BC52),"",'Paste Full'!BC52)</f>
        <v/>
      </c>
      <c r="AR52" s="5">
        <f>IF(ISBLANK('Paste Full'!BD52),"",'Paste Full'!BD52)</f>
        <v/>
      </c>
      <c r="AS52" s="5">
        <f>IF(ISBLANK('Paste Full'!BE52),"",'Paste Full'!BE52)</f>
        <v/>
      </c>
      <c r="AT52" s="5">
        <f>IF(ISBLANK('Paste Full'!BF52),"",'Paste Full'!BF52)</f>
        <v/>
      </c>
      <c r="AU52" s="5">
        <f>IF(ISBLANK('Paste Full'!BG52),"",'Paste Full'!BG52)</f>
        <v/>
      </c>
      <c r="AV52" s="5">
        <f>IF(ISBLANK('Paste Full'!BH52),"",'Paste Full'!BH52)</f>
        <v/>
      </c>
      <c r="AW52" s="5">
        <f>IF(ISBLANK('Paste Full'!BI52),"",'Paste Full'!BI52)</f>
        <v/>
      </c>
      <c r="AX52" s="5">
        <f>IF(ISBLANK('Paste Full'!BJ52),"",'Paste Full'!BJ52)</f>
        <v/>
      </c>
      <c r="AY52" s="5">
        <f>IF(ISBLANK('Paste Full'!BK52),"",'Paste Full'!BK52)</f>
        <v/>
      </c>
      <c r="AZ52" s="6">
        <f>IF(ISBLANK('Paste Full'!BM52),"",'Paste Full'!BM52)</f>
        <v/>
      </c>
      <c r="BA52" s="6">
        <f>IF(ISBLANK('Paste Full'!BN52),"",'Paste Full'!BN52)</f>
        <v/>
      </c>
      <c r="BB52" s="6">
        <f>IF(ISBLANK('Paste Full'!BO52),"",'Paste Full'!BO52)</f>
        <v/>
      </c>
      <c r="BC52" s="6">
        <f>IF(ISBLANK('Paste Full'!BP52),"",'Paste Full'!BP52)</f>
        <v/>
      </c>
      <c r="BD52" s="6">
        <f>IF(ISBLANK('Paste Full'!BR52),"",'Paste Full'!BR52)</f>
        <v/>
      </c>
      <c r="BE52" s="6">
        <f>IF(ISBLANK('Paste Full'!BS52),"",'Paste Full'!BS52)</f>
        <v/>
      </c>
      <c r="BF52" s="6">
        <f>IF(ISBLANK('Paste Full'!BU52),"",'Paste Full'!BU52)</f>
        <v/>
      </c>
      <c r="BG52" s="6">
        <f>IF(ISBLANK('Paste Full'!BV52),"",'Paste Full'!BV52)</f>
        <v/>
      </c>
      <c r="BH52" s="6">
        <f>IF(ISBLANK('Paste Full'!BX52),"",'Paste Full'!BX52)</f>
        <v/>
      </c>
      <c r="BI52" s="6">
        <f>IF(ISBLANK('Paste Full'!BY52),"",'Paste Full'!BY52)</f>
        <v/>
      </c>
      <c r="BJ52" s="13">
        <f>IF(ISBLANK('Paste Full'!BL52),"",'Paste Full'!BL52)</f>
        <v/>
      </c>
      <c r="BK52" s="13">
        <f>IF(ISBLANK('Paste Full'!BQ52),"",'Paste Full'!BQ52)</f>
        <v/>
      </c>
      <c r="BL52" s="13">
        <f>IF(ISBLANK('Paste Full'!BT52),"",'Paste Full'!BT52)</f>
        <v/>
      </c>
      <c r="BM52" s="13">
        <f>IF(ISBLANK('Paste Full'!BW52),"",'Paste Full'!BW52)</f>
        <v/>
      </c>
    </row>
    <row r="53">
      <c r="A53">
        <f>IF(ISBLANK('Paste Full'!C53),"",'Paste Full'!C53)</f>
        <v/>
      </c>
      <c r="B53">
        <f>INDEX($J$1:$R$1, MATCH(MAX($J53:$R53), $J53:$R53, 0))</f>
        <v/>
      </c>
      <c r="C53" s="45">
        <f>IF(ISBLANK('Paste Full'!H53),"",'Paste Full'!H53)</f>
        <v/>
      </c>
      <c r="D53" s="45">
        <f>IF(ISBLANK('Paste Full'!F53),"",'Paste Full'!F53)</f>
        <v/>
      </c>
      <c r="E53" s="45">
        <f>IF(ISBLANK('Paste Full'!G53),"",'Paste Full'!G53)</f>
        <v/>
      </c>
      <c r="F53" s="21">
        <f>IF(ISBLANK('Paste Full'!E53),"",'Paste Full'!E53)</f>
        <v/>
      </c>
      <c r="G53">
        <f>IF(ISBLANK('Paste Full'!CI53),"",'Paste Full'!CI53)</f>
        <v/>
      </c>
      <c r="H53" s="21">
        <f>IF(ISBLANK('Paste Full'!J53),"",'Paste Full'!J53)</f>
        <v/>
      </c>
      <c r="I53" s="21">
        <f>IF(ISBLANK('Paste Full'!D53),"",'Paste Full'!D53)</f>
        <v/>
      </c>
      <c r="J53" s="14">
        <f>AVERAGE(SUMPRODUCT($S53:$BM53,AttWeights!$C$10:$AW$10)/SUM(AttWeights!$C$10:$AW$10),SUMPRODUCT($S53:$BM53,AttWeights!$C$17:$AW$17)/SUM(AttWeights!$C$17:$AW$17))*10</f>
        <v/>
      </c>
      <c r="K53" s="14">
        <f>AVERAGE(SUMPRODUCT($S53:$BM53,AttWeights!$C$7:$AW$7)/SUM(AttWeights!$C$7:$AW$7),SUMPRODUCT($S53:$BM53,AttWeights!$C$15:$AW$15)/SUM(AttWeights!$C$15:$AW$15))*10</f>
        <v/>
      </c>
      <c r="L53" s="14">
        <f>AVERAGE(SUMPRODUCT($S53:$BM53,AttWeights!$C$8:$AW$8)/SUM(AttWeights!$C$8:$AW$8),SUMPRODUCT($S53:$BM53,AttWeights!$C$16:$AW$16)/SUM(AttWeights!$C$16:$AW$16))*10</f>
        <v/>
      </c>
      <c r="M53" s="14">
        <f>AVERAGE(SUMPRODUCT($S53:$BM53,AttWeights!$C$9:$AW$9)/SUM(AttWeights!$C$9:$AW$9),SUMPRODUCT($S53:$BM53,AttWeights!$C$15:$AW$15)/SUM(AttWeights!$C$15:$AW$15))*10</f>
        <v/>
      </c>
      <c r="N53" s="14">
        <f>AVERAGE(SUMPRODUCT($S53:$BM53,AttWeights!$C$6:$AW$6)/SUM(AttWeights!$C$6:$AW$6),SUMPRODUCT($S53:$BM53,AttWeights!$C$14:$AW$14)/SUM(AttWeights!$C$14:$AW$14))*10</f>
        <v/>
      </c>
      <c r="O53" s="14">
        <f>AVERAGE(SUMPRODUCT($S53:$BM53,AttWeights!$C$5:$AW$5)/SUM(AttWeights!$C$5:$AW$5),SUMPRODUCT($S53:$BM53,AttWeights!$C$14:$AW$14)/SUM(AttWeights!$C$14:$AW$14))*10</f>
        <v/>
      </c>
      <c r="P53" s="14">
        <f>AVERAGE(SUMPRODUCT($S53:$BM53,AttWeights!$C$4:$AW$4)/SUM(AttWeights!$C$4:$AW$4),SUMPRODUCT($S53:$BM53,AttWeights!$C$13:$AW$13)/SUM(AttWeights!$C$13:$AW$13))*10</f>
        <v/>
      </c>
      <c r="Q53" s="14">
        <f>AVERAGE(SUMPRODUCT($S53:$BM53,AttWeights!$C$3:$AW$3)/SUM(AttWeights!$C$3:$AW$3),SUMPRODUCT($S53:$BM53,AttWeights!$C$12:$AW$12)/SUM(AttWeights!$C$12:$AW$12))*10</f>
        <v/>
      </c>
      <c r="R53" s="14">
        <f>AVERAGE(SUMPRODUCT($S53:$BM53,AttWeights!$C$2:$AW$2)/SUM(AttWeights!$C$2:$AW$2),SUMPRODUCT($S53:$BM53,AttWeights!$C$11:$AW$11)/SUM(AttWeights!$C$11:$AW$11))*10</f>
        <v/>
      </c>
      <c r="S53" s="3">
        <f>IF(ISBLANK('Paste Full'!AC53),"",'Paste Full'!AC53)</f>
        <v/>
      </c>
      <c r="T53" s="3">
        <f>IF(ISBLANK('Paste Full'!AD53),"",'Paste Full'!AD53)</f>
        <v/>
      </c>
      <c r="U53" s="3">
        <f>IF(ISBLANK('Paste Full'!AE53),"",'Paste Full'!AE53)</f>
        <v/>
      </c>
      <c r="V53" s="3">
        <f>IF(ISBLANK('Paste Full'!AF53),"",'Paste Full'!AF53)</f>
        <v/>
      </c>
      <c r="W53" s="3">
        <f>IF(ISBLANK('Paste Full'!AH53),"",'Paste Full'!AH53)</f>
        <v/>
      </c>
      <c r="X53" s="3">
        <f>IF(ISBLANK('Paste Full'!AI53),"",'Paste Full'!AI53)</f>
        <v/>
      </c>
      <c r="Y53" s="3">
        <f>IF(ISBLANK('Paste Full'!AK53),"",'Paste Full'!AK53)</f>
        <v/>
      </c>
      <c r="Z53" s="3">
        <f>IF(ISBLANK('Paste Full'!AL53),"",'Paste Full'!AL53)</f>
        <v/>
      </c>
      <c r="AA53" s="4">
        <f>IF(ISBLANK('Paste Full'!AM53),"",'Paste Full'!AM53)</f>
        <v/>
      </c>
      <c r="AB53" s="4">
        <f>IF(ISBLANK('Paste Full'!AN53),"",'Paste Full'!AN53)</f>
        <v/>
      </c>
      <c r="AC53" s="4">
        <f>IF(ISBLANK('Paste Full'!AO53),"",'Paste Full'!AO53)</f>
        <v/>
      </c>
      <c r="AD53" s="4">
        <f>IF(ISBLANK('Paste Full'!AP53),"",'Paste Full'!AP53)</f>
        <v/>
      </c>
      <c r="AE53" s="4">
        <f>IF(ISBLANK('Paste Full'!AQ53),"",'Paste Full'!AQ53)</f>
        <v/>
      </c>
      <c r="AF53" s="4">
        <f>IF(ISBLANK('Paste Full'!AR53),"",'Paste Full'!AR53)</f>
        <v/>
      </c>
      <c r="AG53" s="4">
        <f>IF(ISBLANK('Paste Full'!AS53),"",'Paste Full'!AS53)</f>
        <v/>
      </c>
      <c r="AH53" s="4">
        <f>IF(ISBLANK('Paste Full'!AV53),"",'Paste Full'!AV53)</f>
        <v/>
      </c>
      <c r="AI53" s="4">
        <f>IF(ISBLANK('Paste Full'!AT53),"",'Paste Full'!AT53)</f>
        <v/>
      </c>
      <c r="AJ53" s="4">
        <f>IF(ISBLANK('Paste Full'!AU53),"",'Paste Full'!AU53)</f>
        <v/>
      </c>
      <c r="AK53" s="4">
        <f>IF(ISBLANK('Paste Full'!AW53),"",'Paste Full'!AW53)</f>
        <v/>
      </c>
      <c r="AL53" s="5">
        <f>IF(ISBLANK('Paste Full'!AX53),"",'Paste Full'!AX53)</f>
        <v/>
      </c>
      <c r="AM53" s="5">
        <f>IF(ISBLANK('Paste Full'!AY53),"",'Paste Full'!AY53)</f>
        <v/>
      </c>
      <c r="AN53" s="5">
        <f>IF(ISBLANK('Paste Full'!AZ53),"",'Paste Full'!AZ53)</f>
        <v/>
      </c>
      <c r="AO53" s="5">
        <f>IF(ISBLANK('Paste Full'!BA53),"",'Paste Full'!BA53)</f>
        <v/>
      </c>
      <c r="AP53" s="5">
        <f>IF(ISBLANK('Paste Full'!BB53),"",'Paste Full'!BB53)</f>
        <v/>
      </c>
      <c r="AQ53" s="5">
        <f>IF(ISBLANK('Paste Full'!BC53),"",'Paste Full'!BC53)</f>
        <v/>
      </c>
      <c r="AR53" s="5">
        <f>IF(ISBLANK('Paste Full'!BD53),"",'Paste Full'!BD53)</f>
        <v/>
      </c>
      <c r="AS53" s="5">
        <f>IF(ISBLANK('Paste Full'!BE53),"",'Paste Full'!BE53)</f>
        <v/>
      </c>
      <c r="AT53" s="5">
        <f>IF(ISBLANK('Paste Full'!BF53),"",'Paste Full'!BF53)</f>
        <v/>
      </c>
      <c r="AU53" s="5">
        <f>IF(ISBLANK('Paste Full'!BG53),"",'Paste Full'!BG53)</f>
        <v/>
      </c>
      <c r="AV53" s="5">
        <f>IF(ISBLANK('Paste Full'!BH53),"",'Paste Full'!BH53)</f>
        <v/>
      </c>
      <c r="AW53" s="5">
        <f>IF(ISBLANK('Paste Full'!BI53),"",'Paste Full'!BI53)</f>
        <v/>
      </c>
      <c r="AX53" s="5">
        <f>IF(ISBLANK('Paste Full'!BJ53),"",'Paste Full'!BJ53)</f>
        <v/>
      </c>
      <c r="AY53" s="5">
        <f>IF(ISBLANK('Paste Full'!BK53),"",'Paste Full'!BK53)</f>
        <v/>
      </c>
      <c r="AZ53" s="6">
        <f>IF(ISBLANK('Paste Full'!BM53),"",'Paste Full'!BM53)</f>
        <v/>
      </c>
      <c r="BA53" s="6">
        <f>IF(ISBLANK('Paste Full'!BN53),"",'Paste Full'!BN53)</f>
        <v/>
      </c>
      <c r="BB53" s="6">
        <f>IF(ISBLANK('Paste Full'!BO53),"",'Paste Full'!BO53)</f>
        <v/>
      </c>
      <c r="BC53" s="6">
        <f>IF(ISBLANK('Paste Full'!BP53),"",'Paste Full'!BP53)</f>
        <v/>
      </c>
      <c r="BD53" s="6">
        <f>IF(ISBLANK('Paste Full'!BR53),"",'Paste Full'!BR53)</f>
        <v/>
      </c>
      <c r="BE53" s="6">
        <f>IF(ISBLANK('Paste Full'!BS53),"",'Paste Full'!BS53)</f>
        <v/>
      </c>
      <c r="BF53" s="6">
        <f>IF(ISBLANK('Paste Full'!BU53),"",'Paste Full'!BU53)</f>
        <v/>
      </c>
      <c r="BG53" s="6">
        <f>IF(ISBLANK('Paste Full'!BV53),"",'Paste Full'!BV53)</f>
        <v/>
      </c>
      <c r="BH53" s="6">
        <f>IF(ISBLANK('Paste Full'!BX53),"",'Paste Full'!BX53)</f>
        <v/>
      </c>
      <c r="BI53" s="6">
        <f>IF(ISBLANK('Paste Full'!BY53),"",'Paste Full'!BY53)</f>
        <v/>
      </c>
      <c r="BJ53" s="13">
        <f>IF(ISBLANK('Paste Full'!BL53),"",'Paste Full'!BL53)</f>
        <v/>
      </c>
      <c r="BK53" s="13">
        <f>IF(ISBLANK('Paste Full'!BQ53),"",'Paste Full'!BQ53)</f>
        <v/>
      </c>
      <c r="BL53" s="13">
        <f>IF(ISBLANK('Paste Full'!BT53),"",'Paste Full'!BT53)</f>
        <v/>
      </c>
      <c r="BM53" s="13">
        <f>IF(ISBLANK('Paste Full'!BW53),"",'Paste Full'!BW53)</f>
        <v/>
      </c>
    </row>
    <row r="54">
      <c r="A54">
        <f>IF(ISBLANK('Paste Full'!C54),"",'Paste Full'!C54)</f>
        <v/>
      </c>
      <c r="B54">
        <f>INDEX($J$1:$R$1, MATCH(MAX($J54:$R54), $J54:$R54, 0))</f>
        <v/>
      </c>
      <c r="C54" s="45">
        <f>IF(ISBLANK('Paste Full'!H54),"",'Paste Full'!H54)</f>
        <v/>
      </c>
      <c r="D54" s="45">
        <f>IF(ISBLANK('Paste Full'!F54),"",'Paste Full'!F54)</f>
        <v/>
      </c>
      <c r="E54" s="45">
        <f>IF(ISBLANK('Paste Full'!G54),"",'Paste Full'!G54)</f>
        <v/>
      </c>
      <c r="F54" s="21">
        <f>IF(ISBLANK('Paste Full'!E54),"",'Paste Full'!E54)</f>
        <v/>
      </c>
      <c r="G54">
        <f>IF(ISBLANK('Paste Full'!CI54),"",'Paste Full'!CI54)</f>
        <v/>
      </c>
      <c r="H54" s="21">
        <f>IF(ISBLANK('Paste Full'!J54),"",'Paste Full'!J54)</f>
        <v/>
      </c>
      <c r="I54" s="21">
        <f>IF(ISBLANK('Paste Full'!D54),"",'Paste Full'!D54)</f>
        <v/>
      </c>
      <c r="J54" s="14">
        <f>AVERAGE(SUMPRODUCT($S54:$BM54,AttWeights!$C$10:$AW$10)/SUM(AttWeights!$C$10:$AW$10),SUMPRODUCT($S54:$BM54,AttWeights!$C$17:$AW$17)/SUM(AttWeights!$C$17:$AW$17))*10</f>
        <v/>
      </c>
      <c r="K54" s="14">
        <f>AVERAGE(SUMPRODUCT($S54:$BM54,AttWeights!$C$7:$AW$7)/SUM(AttWeights!$C$7:$AW$7),SUMPRODUCT($S54:$BM54,AttWeights!$C$15:$AW$15)/SUM(AttWeights!$C$15:$AW$15))*10</f>
        <v/>
      </c>
      <c r="L54" s="14">
        <f>AVERAGE(SUMPRODUCT($S54:$BM54,AttWeights!$C$8:$AW$8)/SUM(AttWeights!$C$8:$AW$8),SUMPRODUCT($S54:$BM54,AttWeights!$C$16:$AW$16)/SUM(AttWeights!$C$16:$AW$16))*10</f>
        <v/>
      </c>
      <c r="M54" s="14">
        <f>AVERAGE(SUMPRODUCT($S54:$BM54,AttWeights!$C$9:$AW$9)/SUM(AttWeights!$C$9:$AW$9),SUMPRODUCT($S54:$BM54,AttWeights!$C$15:$AW$15)/SUM(AttWeights!$C$15:$AW$15))*10</f>
        <v/>
      </c>
      <c r="N54" s="14">
        <f>AVERAGE(SUMPRODUCT($S54:$BM54,AttWeights!$C$6:$AW$6)/SUM(AttWeights!$C$6:$AW$6),SUMPRODUCT($S54:$BM54,AttWeights!$C$14:$AW$14)/SUM(AttWeights!$C$14:$AW$14))*10</f>
        <v/>
      </c>
      <c r="O54" s="14">
        <f>AVERAGE(SUMPRODUCT($S54:$BM54,AttWeights!$C$5:$AW$5)/SUM(AttWeights!$C$5:$AW$5),SUMPRODUCT($S54:$BM54,AttWeights!$C$14:$AW$14)/SUM(AttWeights!$C$14:$AW$14))*10</f>
        <v/>
      </c>
      <c r="P54" s="14">
        <f>AVERAGE(SUMPRODUCT($S54:$BM54,AttWeights!$C$4:$AW$4)/SUM(AttWeights!$C$4:$AW$4),SUMPRODUCT($S54:$BM54,AttWeights!$C$13:$AW$13)/SUM(AttWeights!$C$13:$AW$13))*10</f>
        <v/>
      </c>
      <c r="Q54" s="14">
        <f>AVERAGE(SUMPRODUCT($S54:$BM54,AttWeights!$C$3:$AW$3)/SUM(AttWeights!$C$3:$AW$3),SUMPRODUCT($S54:$BM54,AttWeights!$C$12:$AW$12)/SUM(AttWeights!$C$12:$AW$12))*10</f>
        <v/>
      </c>
      <c r="R54" s="14">
        <f>AVERAGE(SUMPRODUCT($S54:$BM54,AttWeights!$C$2:$AW$2)/SUM(AttWeights!$C$2:$AW$2),SUMPRODUCT($S54:$BM54,AttWeights!$C$11:$AW$11)/SUM(AttWeights!$C$11:$AW$11))*10</f>
        <v/>
      </c>
      <c r="S54" s="3">
        <f>IF(ISBLANK('Paste Full'!AC54),"",'Paste Full'!AC54)</f>
        <v/>
      </c>
      <c r="T54" s="3">
        <f>IF(ISBLANK('Paste Full'!AD54),"",'Paste Full'!AD54)</f>
        <v/>
      </c>
      <c r="U54" s="3">
        <f>IF(ISBLANK('Paste Full'!AE54),"",'Paste Full'!AE54)</f>
        <v/>
      </c>
      <c r="V54" s="3">
        <f>IF(ISBLANK('Paste Full'!AF54),"",'Paste Full'!AF54)</f>
        <v/>
      </c>
      <c r="W54" s="3">
        <f>IF(ISBLANK('Paste Full'!AH54),"",'Paste Full'!AH54)</f>
        <v/>
      </c>
      <c r="X54" s="3">
        <f>IF(ISBLANK('Paste Full'!AI54),"",'Paste Full'!AI54)</f>
        <v/>
      </c>
      <c r="Y54" s="3">
        <f>IF(ISBLANK('Paste Full'!AK54),"",'Paste Full'!AK54)</f>
        <v/>
      </c>
      <c r="Z54" s="3">
        <f>IF(ISBLANK('Paste Full'!AL54),"",'Paste Full'!AL54)</f>
        <v/>
      </c>
      <c r="AA54" s="4">
        <f>IF(ISBLANK('Paste Full'!AM54),"",'Paste Full'!AM54)</f>
        <v/>
      </c>
      <c r="AB54" s="4">
        <f>IF(ISBLANK('Paste Full'!AN54),"",'Paste Full'!AN54)</f>
        <v/>
      </c>
      <c r="AC54" s="4">
        <f>IF(ISBLANK('Paste Full'!AO54),"",'Paste Full'!AO54)</f>
        <v/>
      </c>
      <c r="AD54" s="4">
        <f>IF(ISBLANK('Paste Full'!AP54),"",'Paste Full'!AP54)</f>
        <v/>
      </c>
      <c r="AE54" s="4">
        <f>IF(ISBLANK('Paste Full'!AQ54),"",'Paste Full'!AQ54)</f>
        <v/>
      </c>
      <c r="AF54" s="4">
        <f>IF(ISBLANK('Paste Full'!AR54),"",'Paste Full'!AR54)</f>
        <v/>
      </c>
      <c r="AG54" s="4">
        <f>IF(ISBLANK('Paste Full'!AS54),"",'Paste Full'!AS54)</f>
        <v/>
      </c>
      <c r="AH54" s="4">
        <f>IF(ISBLANK('Paste Full'!AV54),"",'Paste Full'!AV54)</f>
        <v/>
      </c>
      <c r="AI54" s="4">
        <f>IF(ISBLANK('Paste Full'!AT54),"",'Paste Full'!AT54)</f>
        <v/>
      </c>
      <c r="AJ54" s="4">
        <f>IF(ISBLANK('Paste Full'!AU54),"",'Paste Full'!AU54)</f>
        <v/>
      </c>
      <c r="AK54" s="4">
        <f>IF(ISBLANK('Paste Full'!AW54),"",'Paste Full'!AW54)</f>
        <v/>
      </c>
      <c r="AL54" s="5">
        <f>IF(ISBLANK('Paste Full'!AX54),"",'Paste Full'!AX54)</f>
        <v/>
      </c>
      <c r="AM54" s="5">
        <f>IF(ISBLANK('Paste Full'!AY54),"",'Paste Full'!AY54)</f>
        <v/>
      </c>
      <c r="AN54" s="5">
        <f>IF(ISBLANK('Paste Full'!AZ54),"",'Paste Full'!AZ54)</f>
        <v/>
      </c>
      <c r="AO54" s="5">
        <f>IF(ISBLANK('Paste Full'!BA54),"",'Paste Full'!BA54)</f>
        <v/>
      </c>
      <c r="AP54" s="5">
        <f>IF(ISBLANK('Paste Full'!BB54),"",'Paste Full'!BB54)</f>
        <v/>
      </c>
      <c r="AQ54" s="5">
        <f>IF(ISBLANK('Paste Full'!BC54),"",'Paste Full'!BC54)</f>
        <v/>
      </c>
      <c r="AR54" s="5">
        <f>IF(ISBLANK('Paste Full'!BD54),"",'Paste Full'!BD54)</f>
        <v/>
      </c>
      <c r="AS54" s="5">
        <f>IF(ISBLANK('Paste Full'!BE54),"",'Paste Full'!BE54)</f>
        <v/>
      </c>
      <c r="AT54" s="5">
        <f>IF(ISBLANK('Paste Full'!BF54),"",'Paste Full'!BF54)</f>
        <v/>
      </c>
      <c r="AU54" s="5">
        <f>IF(ISBLANK('Paste Full'!BG54),"",'Paste Full'!BG54)</f>
        <v/>
      </c>
      <c r="AV54" s="5">
        <f>IF(ISBLANK('Paste Full'!BH54),"",'Paste Full'!BH54)</f>
        <v/>
      </c>
      <c r="AW54" s="5">
        <f>IF(ISBLANK('Paste Full'!BI54),"",'Paste Full'!BI54)</f>
        <v/>
      </c>
      <c r="AX54" s="5">
        <f>IF(ISBLANK('Paste Full'!BJ54),"",'Paste Full'!BJ54)</f>
        <v/>
      </c>
      <c r="AY54" s="5">
        <f>IF(ISBLANK('Paste Full'!BK54),"",'Paste Full'!BK54)</f>
        <v/>
      </c>
      <c r="AZ54" s="6">
        <f>IF(ISBLANK('Paste Full'!BM54),"",'Paste Full'!BM54)</f>
        <v/>
      </c>
      <c r="BA54" s="6">
        <f>IF(ISBLANK('Paste Full'!BN54),"",'Paste Full'!BN54)</f>
        <v/>
      </c>
      <c r="BB54" s="6">
        <f>IF(ISBLANK('Paste Full'!BO54),"",'Paste Full'!BO54)</f>
        <v/>
      </c>
      <c r="BC54" s="6">
        <f>IF(ISBLANK('Paste Full'!BP54),"",'Paste Full'!BP54)</f>
        <v/>
      </c>
      <c r="BD54" s="6">
        <f>IF(ISBLANK('Paste Full'!BR54),"",'Paste Full'!BR54)</f>
        <v/>
      </c>
      <c r="BE54" s="6">
        <f>IF(ISBLANK('Paste Full'!BS54),"",'Paste Full'!BS54)</f>
        <v/>
      </c>
      <c r="BF54" s="6">
        <f>IF(ISBLANK('Paste Full'!BU54),"",'Paste Full'!BU54)</f>
        <v/>
      </c>
      <c r="BG54" s="6">
        <f>IF(ISBLANK('Paste Full'!BV54),"",'Paste Full'!BV54)</f>
        <v/>
      </c>
      <c r="BH54" s="6">
        <f>IF(ISBLANK('Paste Full'!BX54),"",'Paste Full'!BX54)</f>
        <v/>
      </c>
      <c r="BI54" s="6">
        <f>IF(ISBLANK('Paste Full'!BY54),"",'Paste Full'!BY54)</f>
        <v/>
      </c>
      <c r="BJ54" s="13">
        <f>IF(ISBLANK('Paste Full'!BL54),"",'Paste Full'!BL54)</f>
        <v/>
      </c>
      <c r="BK54" s="13">
        <f>IF(ISBLANK('Paste Full'!BQ54),"",'Paste Full'!BQ54)</f>
        <v/>
      </c>
      <c r="BL54" s="13">
        <f>IF(ISBLANK('Paste Full'!BT54),"",'Paste Full'!BT54)</f>
        <v/>
      </c>
      <c r="BM54" s="13">
        <f>IF(ISBLANK('Paste Full'!BW54),"",'Paste Full'!BW54)</f>
        <v/>
      </c>
    </row>
    <row r="55">
      <c r="A55">
        <f>IF(ISBLANK('Paste Full'!C55),"",'Paste Full'!C55)</f>
        <v/>
      </c>
      <c r="B55">
        <f>INDEX($J$1:$R$1, MATCH(MAX($J55:$R55), $J55:$R55, 0))</f>
        <v/>
      </c>
      <c r="C55" s="45">
        <f>IF(ISBLANK('Paste Full'!H55),"",'Paste Full'!H55)</f>
        <v/>
      </c>
      <c r="D55" s="45">
        <f>IF(ISBLANK('Paste Full'!F55),"",'Paste Full'!F55)</f>
        <v/>
      </c>
      <c r="E55" s="45">
        <f>IF(ISBLANK('Paste Full'!G55),"",'Paste Full'!G55)</f>
        <v/>
      </c>
      <c r="F55" s="21">
        <f>IF(ISBLANK('Paste Full'!E55),"",'Paste Full'!E55)</f>
        <v/>
      </c>
      <c r="G55">
        <f>IF(ISBLANK('Paste Full'!CI55),"",'Paste Full'!CI55)</f>
        <v/>
      </c>
      <c r="H55" s="21">
        <f>IF(ISBLANK('Paste Full'!J55),"",'Paste Full'!J55)</f>
        <v/>
      </c>
      <c r="I55" s="21">
        <f>IF(ISBLANK('Paste Full'!D55),"",'Paste Full'!D55)</f>
        <v/>
      </c>
      <c r="J55" s="14">
        <f>AVERAGE(SUMPRODUCT($S55:$BM55,AttWeights!$C$10:$AW$10)/SUM(AttWeights!$C$10:$AW$10),SUMPRODUCT($S55:$BM55,AttWeights!$C$17:$AW$17)/SUM(AttWeights!$C$17:$AW$17))*10</f>
        <v/>
      </c>
      <c r="K55" s="14">
        <f>AVERAGE(SUMPRODUCT($S55:$BM55,AttWeights!$C$7:$AW$7)/SUM(AttWeights!$C$7:$AW$7),SUMPRODUCT($S55:$BM55,AttWeights!$C$15:$AW$15)/SUM(AttWeights!$C$15:$AW$15))*10</f>
        <v/>
      </c>
      <c r="L55" s="14">
        <f>AVERAGE(SUMPRODUCT($S55:$BM55,AttWeights!$C$8:$AW$8)/SUM(AttWeights!$C$8:$AW$8),SUMPRODUCT($S55:$BM55,AttWeights!$C$16:$AW$16)/SUM(AttWeights!$C$16:$AW$16))*10</f>
        <v/>
      </c>
      <c r="M55" s="14">
        <f>AVERAGE(SUMPRODUCT($S55:$BM55,AttWeights!$C$9:$AW$9)/SUM(AttWeights!$C$9:$AW$9),SUMPRODUCT($S55:$BM55,AttWeights!$C$15:$AW$15)/SUM(AttWeights!$C$15:$AW$15))*10</f>
        <v/>
      </c>
      <c r="N55" s="14">
        <f>AVERAGE(SUMPRODUCT($S55:$BM55,AttWeights!$C$6:$AW$6)/SUM(AttWeights!$C$6:$AW$6),SUMPRODUCT($S55:$BM55,AttWeights!$C$14:$AW$14)/SUM(AttWeights!$C$14:$AW$14))*10</f>
        <v/>
      </c>
      <c r="O55" s="14">
        <f>AVERAGE(SUMPRODUCT($S55:$BM55,AttWeights!$C$5:$AW$5)/SUM(AttWeights!$C$5:$AW$5),SUMPRODUCT($S55:$BM55,AttWeights!$C$14:$AW$14)/SUM(AttWeights!$C$14:$AW$14))*10</f>
        <v/>
      </c>
      <c r="P55" s="14">
        <f>AVERAGE(SUMPRODUCT($S55:$BM55,AttWeights!$C$4:$AW$4)/SUM(AttWeights!$C$4:$AW$4),SUMPRODUCT($S55:$BM55,AttWeights!$C$13:$AW$13)/SUM(AttWeights!$C$13:$AW$13))*10</f>
        <v/>
      </c>
      <c r="Q55" s="14">
        <f>AVERAGE(SUMPRODUCT($S55:$BM55,AttWeights!$C$3:$AW$3)/SUM(AttWeights!$C$3:$AW$3),SUMPRODUCT($S55:$BM55,AttWeights!$C$12:$AW$12)/SUM(AttWeights!$C$12:$AW$12))*10</f>
        <v/>
      </c>
      <c r="R55" s="14">
        <f>AVERAGE(SUMPRODUCT($S55:$BM55,AttWeights!$C$2:$AW$2)/SUM(AttWeights!$C$2:$AW$2),SUMPRODUCT($S55:$BM55,AttWeights!$C$11:$AW$11)/SUM(AttWeights!$C$11:$AW$11))*10</f>
        <v/>
      </c>
      <c r="S55" s="3">
        <f>IF(ISBLANK('Paste Full'!AC55),"",'Paste Full'!AC55)</f>
        <v/>
      </c>
      <c r="T55" s="3">
        <f>IF(ISBLANK('Paste Full'!AD55),"",'Paste Full'!AD55)</f>
        <v/>
      </c>
      <c r="U55" s="3">
        <f>IF(ISBLANK('Paste Full'!AE55),"",'Paste Full'!AE55)</f>
        <v/>
      </c>
      <c r="V55" s="3">
        <f>IF(ISBLANK('Paste Full'!AF55),"",'Paste Full'!AF55)</f>
        <v/>
      </c>
      <c r="W55" s="3">
        <f>IF(ISBLANK('Paste Full'!AH55),"",'Paste Full'!AH55)</f>
        <v/>
      </c>
      <c r="X55" s="3">
        <f>IF(ISBLANK('Paste Full'!AI55),"",'Paste Full'!AI55)</f>
        <v/>
      </c>
      <c r="Y55" s="3">
        <f>IF(ISBLANK('Paste Full'!AK55),"",'Paste Full'!AK55)</f>
        <v/>
      </c>
      <c r="Z55" s="3">
        <f>IF(ISBLANK('Paste Full'!AL55),"",'Paste Full'!AL55)</f>
        <v/>
      </c>
      <c r="AA55" s="4">
        <f>IF(ISBLANK('Paste Full'!AM55),"",'Paste Full'!AM55)</f>
        <v/>
      </c>
      <c r="AB55" s="4">
        <f>IF(ISBLANK('Paste Full'!AN55),"",'Paste Full'!AN55)</f>
        <v/>
      </c>
      <c r="AC55" s="4">
        <f>IF(ISBLANK('Paste Full'!AO55),"",'Paste Full'!AO55)</f>
        <v/>
      </c>
      <c r="AD55" s="4">
        <f>IF(ISBLANK('Paste Full'!AP55),"",'Paste Full'!AP55)</f>
        <v/>
      </c>
      <c r="AE55" s="4">
        <f>IF(ISBLANK('Paste Full'!AQ55),"",'Paste Full'!AQ55)</f>
        <v/>
      </c>
      <c r="AF55" s="4">
        <f>IF(ISBLANK('Paste Full'!AR55),"",'Paste Full'!AR55)</f>
        <v/>
      </c>
      <c r="AG55" s="4">
        <f>IF(ISBLANK('Paste Full'!AS55),"",'Paste Full'!AS55)</f>
        <v/>
      </c>
      <c r="AH55" s="4">
        <f>IF(ISBLANK('Paste Full'!AV55),"",'Paste Full'!AV55)</f>
        <v/>
      </c>
      <c r="AI55" s="4">
        <f>IF(ISBLANK('Paste Full'!AT55),"",'Paste Full'!AT55)</f>
        <v/>
      </c>
      <c r="AJ55" s="4">
        <f>IF(ISBLANK('Paste Full'!AU55),"",'Paste Full'!AU55)</f>
        <v/>
      </c>
      <c r="AK55" s="4">
        <f>IF(ISBLANK('Paste Full'!AW55),"",'Paste Full'!AW55)</f>
        <v/>
      </c>
      <c r="AL55" s="5">
        <f>IF(ISBLANK('Paste Full'!AX55),"",'Paste Full'!AX55)</f>
        <v/>
      </c>
      <c r="AM55" s="5">
        <f>IF(ISBLANK('Paste Full'!AY55),"",'Paste Full'!AY55)</f>
        <v/>
      </c>
      <c r="AN55" s="5">
        <f>IF(ISBLANK('Paste Full'!AZ55),"",'Paste Full'!AZ55)</f>
        <v/>
      </c>
      <c r="AO55" s="5">
        <f>IF(ISBLANK('Paste Full'!BA55),"",'Paste Full'!BA55)</f>
        <v/>
      </c>
      <c r="AP55" s="5">
        <f>IF(ISBLANK('Paste Full'!BB55),"",'Paste Full'!BB55)</f>
        <v/>
      </c>
      <c r="AQ55" s="5">
        <f>IF(ISBLANK('Paste Full'!BC55),"",'Paste Full'!BC55)</f>
        <v/>
      </c>
      <c r="AR55" s="5">
        <f>IF(ISBLANK('Paste Full'!BD55),"",'Paste Full'!BD55)</f>
        <v/>
      </c>
      <c r="AS55" s="5">
        <f>IF(ISBLANK('Paste Full'!BE55),"",'Paste Full'!BE55)</f>
        <v/>
      </c>
      <c r="AT55" s="5">
        <f>IF(ISBLANK('Paste Full'!BF55),"",'Paste Full'!BF55)</f>
        <v/>
      </c>
      <c r="AU55" s="5">
        <f>IF(ISBLANK('Paste Full'!BG55),"",'Paste Full'!BG55)</f>
        <v/>
      </c>
      <c r="AV55" s="5">
        <f>IF(ISBLANK('Paste Full'!BH55),"",'Paste Full'!BH55)</f>
        <v/>
      </c>
      <c r="AW55" s="5">
        <f>IF(ISBLANK('Paste Full'!BI55),"",'Paste Full'!BI55)</f>
        <v/>
      </c>
      <c r="AX55" s="5">
        <f>IF(ISBLANK('Paste Full'!BJ55),"",'Paste Full'!BJ55)</f>
        <v/>
      </c>
      <c r="AY55" s="5">
        <f>IF(ISBLANK('Paste Full'!BK55),"",'Paste Full'!BK55)</f>
        <v/>
      </c>
      <c r="AZ55" s="6">
        <f>IF(ISBLANK('Paste Full'!BM55),"",'Paste Full'!BM55)</f>
        <v/>
      </c>
      <c r="BA55" s="6">
        <f>IF(ISBLANK('Paste Full'!BN55),"",'Paste Full'!BN55)</f>
        <v/>
      </c>
      <c r="BB55" s="6">
        <f>IF(ISBLANK('Paste Full'!BO55),"",'Paste Full'!BO55)</f>
        <v/>
      </c>
      <c r="BC55" s="6">
        <f>IF(ISBLANK('Paste Full'!BP55),"",'Paste Full'!BP55)</f>
        <v/>
      </c>
      <c r="BD55" s="6">
        <f>IF(ISBLANK('Paste Full'!BR55),"",'Paste Full'!BR55)</f>
        <v/>
      </c>
      <c r="BE55" s="6">
        <f>IF(ISBLANK('Paste Full'!BS55),"",'Paste Full'!BS55)</f>
        <v/>
      </c>
      <c r="BF55" s="6">
        <f>IF(ISBLANK('Paste Full'!BU55),"",'Paste Full'!BU55)</f>
        <v/>
      </c>
      <c r="BG55" s="6">
        <f>IF(ISBLANK('Paste Full'!BV55),"",'Paste Full'!BV55)</f>
        <v/>
      </c>
      <c r="BH55" s="6">
        <f>IF(ISBLANK('Paste Full'!BX55),"",'Paste Full'!BX55)</f>
        <v/>
      </c>
      <c r="BI55" s="6">
        <f>IF(ISBLANK('Paste Full'!BY55),"",'Paste Full'!BY55)</f>
        <v/>
      </c>
      <c r="BJ55" s="13">
        <f>IF(ISBLANK('Paste Full'!BL55),"",'Paste Full'!BL55)</f>
        <v/>
      </c>
      <c r="BK55" s="13">
        <f>IF(ISBLANK('Paste Full'!BQ55),"",'Paste Full'!BQ55)</f>
        <v/>
      </c>
      <c r="BL55" s="13">
        <f>IF(ISBLANK('Paste Full'!BT55),"",'Paste Full'!BT55)</f>
        <v/>
      </c>
      <c r="BM55" s="13">
        <f>IF(ISBLANK('Paste Full'!BW55),"",'Paste Full'!BW55)</f>
        <v/>
      </c>
    </row>
    <row r="56">
      <c r="A56">
        <f>IF(ISBLANK('Paste Full'!C56),"",'Paste Full'!C56)</f>
        <v/>
      </c>
      <c r="B56">
        <f>INDEX($J$1:$R$1, MATCH(MAX($J56:$R56), $J56:$R56, 0))</f>
        <v/>
      </c>
      <c r="C56" s="45">
        <f>IF(ISBLANK('Paste Full'!H56),"",'Paste Full'!H56)</f>
        <v/>
      </c>
      <c r="D56" s="45">
        <f>IF(ISBLANK('Paste Full'!F56),"",'Paste Full'!F56)</f>
        <v/>
      </c>
      <c r="E56" s="45">
        <f>IF(ISBLANK('Paste Full'!G56),"",'Paste Full'!G56)</f>
        <v/>
      </c>
      <c r="F56" s="21">
        <f>IF(ISBLANK('Paste Full'!E56),"",'Paste Full'!E56)</f>
        <v/>
      </c>
      <c r="G56">
        <f>IF(ISBLANK('Paste Full'!CI56),"",'Paste Full'!CI56)</f>
        <v/>
      </c>
      <c r="H56" s="21">
        <f>IF(ISBLANK('Paste Full'!J56),"",'Paste Full'!J56)</f>
        <v/>
      </c>
      <c r="I56" s="21">
        <f>IF(ISBLANK('Paste Full'!D56),"",'Paste Full'!D56)</f>
        <v/>
      </c>
      <c r="J56" s="14">
        <f>AVERAGE(SUMPRODUCT($S56:$BM56,AttWeights!$C$10:$AW$10)/SUM(AttWeights!$C$10:$AW$10),SUMPRODUCT($S56:$BM56,AttWeights!$C$17:$AW$17)/SUM(AttWeights!$C$17:$AW$17))*10</f>
        <v/>
      </c>
      <c r="K56" s="14">
        <f>AVERAGE(SUMPRODUCT($S56:$BM56,AttWeights!$C$7:$AW$7)/SUM(AttWeights!$C$7:$AW$7),SUMPRODUCT($S56:$BM56,AttWeights!$C$15:$AW$15)/SUM(AttWeights!$C$15:$AW$15))*10</f>
        <v/>
      </c>
      <c r="L56" s="14">
        <f>AVERAGE(SUMPRODUCT($S56:$BM56,AttWeights!$C$8:$AW$8)/SUM(AttWeights!$C$8:$AW$8),SUMPRODUCT($S56:$BM56,AttWeights!$C$16:$AW$16)/SUM(AttWeights!$C$16:$AW$16))*10</f>
        <v/>
      </c>
      <c r="M56" s="14">
        <f>AVERAGE(SUMPRODUCT($S56:$BM56,AttWeights!$C$9:$AW$9)/SUM(AttWeights!$C$9:$AW$9),SUMPRODUCT($S56:$BM56,AttWeights!$C$15:$AW$15)/SUM(AttWeights!$C$15:$AW$15))*10</f>
        <v/>
      </c>
      <c r="N56" s="14">
        <f>AVERAGE(SUMPRODUCT($S56:$BM56,AttWeights!$C$6:$AW$6)/SUM(AttWeights!$C$6:$AW$6),SUMPRODUCT($S56:$BM56,AttWeights!$C$14:$AW$14)/SUM(AttWeights!$C$14:$AW$14))*10</f>
        <v/>
      </c>
      <c r="O56" s="14">
        <f>AVERAGE(SUMPRODUCT($S56:$BM56,AttWeights!$C$5:$AW$5)/SUM(AttWeights!$C$5:$AW$5),SUMPRODUCT($S56:$BM56,AttWeights!$C$14:$AW$14)/SUM(AttWeights!$C$14:$AW$14))*10</f>
        <v/>
      </c>
      <c r="P56" s="14">
        <f>AVERAGE(SUMPRODUCT($S56:$BM56,AttWeights!$C$4:$AW$4)/SUM(AttWeights!$C$4:$AW$4),SUMPRODUCT($S56:$BM56,AttWeights!$C$13:$AW$13)/SUM(AttWeights!$C$13:$AW$13))*10</f>
        <v/>
      </c>
      <c r="Q56" s="14">
        <f>AVERAGE(SUMPRODUCT($S56:$BM56,AttWeights!$C$3:$AW$3)/SUM(AttWeights!$C$3:$AW$3),SUMPRODUCT($S56:$BM56,AttWeights!$C$12:$AW$12)/SUM(AttWeights!$C$12:$AW$12))*10</f>
        <v/>
      </c>
      <c r="R56" s="14">
        <f>AVERAGE(SUMPRODUCT($S56:$BM56,AttWeights!$C$2:$AW$2)/SUM(AttWeights!$C$2:$AW$2),SUMPRODUCT($S56:$BM56,AttWeights!$C$11:$AW$11)/SUM(AttWeights!$C$11:$AW$11))*10</f>
        <v/>
      </c>
      <c r="S56" s="3">
        <f>IF(ISBLANK('Paste Full'!AC56),"",'Paste Full'!AC56)</f>
        <v/>
      </c>
      <c r="T56" s="3">
        <f>IF(ISBLANK('Paste Full'!AD56),"",'Paste Full'!AD56)</f>
        <v/>
      </c>
      <c r="U56" s="3">
        <f>IF(ISBLANK('Paste Full'!AE56),"",'Paste Full'!AE56)</f>
        <v/>
      </c>
      <c r="V56" s="3">
        <f>IF(ISBLANK('Paste Full'!AF56),"",'Paste Full'!AF56)</f>
        <v/>
      </c>
      <c r="W56" s="3">
        <f>IF(ISBLANK('Paste Full'!AH56),"",'Paste Full'!AH56)</f>
        <v/>
      </c>
      <c r="X56" s="3">
        <f>IF(ISBLANK('Paste Full'!AI56),"",'Paste Full'!AI56)</f>
        <v/>
      </c>
      <c r="Y56" s="3">
        <f>IF(ISBLANK('Paste Full'!AK56),"",'Paste Full'!AK56)</f>
        <v/>
      </c>
      <c r="Z56" s="3">
        <f>IF(ISBLANK('Paste Full'!AL56),"",'Paste Full'!AL56)</f>
        <v/>
      </c>
      <c r="AA56" s="4">
        <f>IF(ISBLANK('Paste Full'!AM56),"",'Paste Full'!AM56)</f>
        <v/>
      </c>
      <c r="AB56" s="4">
        <f>IF(ISBLANK('Paste Full'!AN56),"",'Paste Full'!AN56)</f>
        <v/>
      </c>
      <c r="AC56" s="4">
        <f>IF(ISBLANK('Paste Full'!AO56),"",'Paste Full'!AO56)</f>
        <v/>
      </c>
      <c r="AD56" s="4">
        <f>IF(ISBLANK('Paste Full'!AP56),"",'Paste Full'!AP56)</f>
        <v/>
      </c>
      <c r="AE56" s="4">
        <f>IF(ISBLANK('Paste Full'!AQ56),"",'Paste Full'!AQ56)</f>
        <v/>
      </c>
      <c r="AF56" s="4">
        <f>IF(ISBLANK('Paste Full'!AR56),"",'Paste Full'!AR56)</f>
        <v/>
      </c>
      <c r="AG56" s="4">
        <f>IF(ISBLANK('Paste Full'!AS56),"",'Paste Full'!AS56)</f>
        <v/>
      </c>
      <c r="AH56" s="4">
        <f>IF(ISBLANK('Paste Full'!AV56),"",'Paste Full'!AV56)</f>
        <v/>
      </c>
      <c r="AI56" s="4">
        <f>IF(ISBLANK('Paste Full'!AT56),"",'Paste Full'!AT56)</f>
        <v/>
      </c>
      <c r="AJ56" s="4">
        <f>IF(ISBLANK('Paste Full'!AU56),"",'Paste Full'!AU56)</f>
        <v/>
      </c>
      <c r="AK56" s="4">
        <f>IF(ISBLANK('Paste Full'!AW56),"",'Paste Full'!AW56)</f>
        <v/>
      </c>
      <c r="AL56" s="5">
        <f>IF(ISBLANK('Paste Full'!AX56),"",'Paste Full'!AX56)</f>
        <v/>
      </c>
      <c r="AM56" s="5">
        <f>IF(ISBLANK('Paste Full'!AY56),"",'Paste Full'!AY56)</f>
        <v/>
      </c>
      <c r="AN56" s="5">
        <f>IF(ISBLANK('Paste Full'!AZ56),"",'Paste Full'!AZ56)</f>
        <v/>
      </c>
      <c r="AO56" s="5">
        <f>IF(ISBLANK('Paste Full'!BA56),"",'Paste Full'!BA56)</f>
        <v/>
      </c>
      <c r="AP56" s="5">
        <f>IF(ISBLANK('Paste Full'!BB56),"",'Paste Full'!BB56)</f>
        <v/>
      </c>
      <c r="AQ56" s="5">
        <f>IF(ISBLANK('Paste Full'!BC56),"",'Paste Full'!BC56)</f>
        <v/>
      </c>
      <c r="AR56" s="5">
        <f>IF(ISBLANK('Paste Full'!BD56),"",'Paste Full'!BD56)</f>
        <v/>
      </c>
      <c r="AS56" s="5">
        <f>IF(ISBLANK('Paste Full'!BE56),"",'Paste Full'!BE56)</f>
        <v/>
      </c>
      <c r="AT56" s="5">
        <f>IF(ISBLANK('Paste Full'!BF56),"",'Paste Full'!BF56)</f>
        <v/>
      </c>
      <c r="AU56" s="5">
        <f>IF(ISBLANK('Paste Full'!BG56),"",'Paste Full'!BG56)</f>
        <v/>
      </c>
      <c r="AV56" s="5">
        <f>IF(ISBLANK('Paste Full'!BH56),"",'Paste Full'!BH56)</f>
        <v/>
      </c>
      <c r="AW56" s="5">
        <f>IF(ISBLANK('Paste Full'!BI56),"",'Paste Full'!BI56)</f>
        <v/>
      </c>
      <c r="AX56" s="5">
        <f>IF(ISBLANK('Paste Full'!BJ56),"",'Paste Full'!BJ56)</f>
        <v/>
      </c>
      <c r="AY56" s="5">
        <f>IF(ISBLANK('Paste Full'!BK56),"",'Paste Full'!BK56)</f>
        <v/>
      </c>
      <c r="AZ56" s="6">
        <f>IF(ISBLANK('Paste Full'!BM56),"",'Paste Full'!BM56)</f>
        <v/>
      </c>
      <c r="BA56" s="6">
        <f>IF(ISBLANK('Paste Full'!BN56),"",'Paste Full'!BN56)</f>
        <v/>
      </c>
      <c r="BB56" s="6">
        <f>IF(ISBLANK('Paste Full'!BO56),"",'Paste Full'!BO56)</f>
        <v/>
      </c>
      <c r="BC56" s="6">
        <f>IF(ISBLANK('Paste Full'!BP56),"",'Paste Full'!BP56)</f>
        <v/>
      </c>
      <c r="BD56" s="6">
        <f>IF(ISBLANK('Paste Full'!BR56),"",'Paste Full'!BR56)</f>
        <v/>
      </c>
      <c r="BE56" s="6">
        <f>IF(ISBLANK('Paste Full'!BS56),"",'Paste Full'!BS56)</f>
        <v/>
      </c>
      <c r="BF56" s="6">
        <f>IF(ISBLANK('Paste Full'!BU56),"",'Paste Full'!BU56)</f>
        <v/>
      </c>
      <c r="BG56" s="6">
        <f>IF(ISBLANK('Paste Full'!BV56),"",'Paste Full'!BV56)</f>
        <v/>
      </c>
      <c r="BH56" s="6">
        <f>IF(ISBLANK('Paste Full'!BX56),"",'Paste Full'!BX56)</f>
        <v/>
      </c>
      <c r="BI56" s="6">
        <f>IF(ISBLANK('Paste Full'!BY56),"",'Paste Full'!BY56)</f>
        <v/>
      </c>
      <c r="BJ56" s="13">
        <f>IF(ISBLANK('Paste Full'!BL56),"",'Paste Full'!BL56)</f>
        <v/>
      </c>
      <c r="BK56" s="13">
        <f>IF(ISBLANK('Paste Full'!BQ56),"",'Paste Full'!BQ56)</f>
        <v/>
      </c>
      <c r="BL56" s="13">
        <f>IF(ISBLANK('Paste Full'!BT56),"",'Paste Full'!BT56)</f>
        <v/>
      </c>
      <c r="BM56" s="13">
        <f>IF(ISBLANK('Paste Full'!BW56),"",'Paste Full'!BW56)</f>
        <v/>
      </c>
    </row>
    <row r="57">
      <c r="A57">
        <f>IF(ISBLANK('Paste Full'!C57),"",'Paste Full'!C57)</f>
        <v/>
      </c>
      <c r="B57">
        <f>INDEX($J$1:$R$1, MATCH(MAX($J57:$R57), $J57:$R57, 0))</f>
        <v/>
      </c>
      <c r="C57" s="45">
        <f>IF(ISBLANK('Paste Full'!H57),"",'Paste Full'!H57)</f>
        <v/>
      </c>
      <c r="D57" s="45">
        <f>IF(ISBLANK('Paste Full'!F57),"",'Paste Full'!F57)</f>
        <v/>
      </c>
      <c r="E57" s="45">
        <f>IF(ISBLANK('Paste Full'!G57),"",'Paste Full'!G57)</f>
        <v/>
      </c>
      <c r="F57" s="21">
        <f>IF(ISBLANK('Paste Full'!E57),"",'Paste Full'!E57)</f>
        <v/>
      </c>
      <c r="G57">
        <f>IF(ISBLANK('Paste Full'!CI57),"",'Paste Full'!CI57)</f>
        <v/>
      </c>
      <c r="H57" s="21">
        <f>IF(ISBLANK('Paste Full'!J57),"",'Paste Full'!J57)</f>
        <v/>
      </c>
      <c r="I57" s="21">
        <f>IF(ISBLANK('Paste Full'!D57),"",'Paste Full'!D57)</f>
        <v/>
      </c>
      <c r="J57" s="14">
        <f>AVERAGE(SUMPRODUCT($S57:$BM57,AttWeights!$C$10:$AW$10)/SUM(AttWeights!$C$10:$AW$10),SUMPRODUCT($S57:$BM57,AttWeights!$C$17:$AW$17)/SUM(AttWeights!$C$17:$AW$17))*10</f>
        <v/>
      </c>
      <c r="K57" s="14">
        <f>AVERAGE(SUMPRODUCT($S57:$BM57,AttWeights!$C$7:$AW$7)/SUM(AttWeights!$C$7:$AW$7),SUMPRODUCT($S57:$BM57,AttWeights!$C$15:$AW$15)/SUM(AttWeights!$C$15:$AW$15))*10</f>
        <v/>
      </c>
      <c r="L57" s="14">
        <f>AVERAGE(SUMPRODUCT($S57:$BM57,AttWeights!$C$8:$AW$8)/SUM(AttWeights!$C$8:$AW$8),SUMPRODUCT($S57:$BM57,AttWeights!$C$16:$AW$16)/SUM(AttWeights!$C$16:$AW$16))*10</f>
        <v/>
      </c>
      <c r="M57" s="14">
        <f>AVERAGE(SUMPRODUCT($S57:$BM57,AttWeights!$C$9:$AW$9)/SUM(AttWeights!$C$9:$AW$9),SUMPRODUCT($S57:$BM57,AttWeights!$C$15:$AW$15)/SUM(AttWeights!$C$15:$AW$15))*10</f>
        <v/>
      </c>
      <c r="N57" s="14">
        <f>AVERAGE(SUMPRODUCT($S57:$BM57,AttWeights!$C$6:$AW$6)/SUM(AttWeights!$C$6:$AW$6),SUMPRODUCT($S57:$BM57,AttWeights!$C$14:$AW$14)/SUM(AttWeights!$C$14:$AW$14))*10</f>
        <v/>
      </c>
      <c r="O57" s="14">
        <f>AVERAGE(SUMPRODUCT($S57:$BM57,AttWeights!$C$5:$AW$5)/SUM(AttWeights!$C$5:$AW$5),SUMPRODUCT($S57:$BM57,AttWeights!$C$14:$AW$14)/SUM(AttWeights!$C$14:$AW$14))*10</f>
        <v/>
      </c>
      <c r="P57" s="14">
        <f>AVERAGE(SUMPRODUCT($S57:$BM57,AttWeights!$C$4:$AW$4)/SUM(AttWeights!$C$4:$AW$4),SUMPRODUCT($S57:$BM57,AttWeights!$C$13:$AW$13)/SUM(AttWeights!$C$13:$AW$13))*10</f>
        <v/>
      </c>
      <c r="Q57" s="14">
        <f>AVERAGE(SUMPRODUCT($S57:$BM57,AttWeights!$C$3:$AW$3)/SUM(AttWeights!$C$3:$AW$3),SUMPRODUCT($S57:$BM57,AttWeights!$C$12:$AW$12)/SUM(AttWeights!$C$12:$AW$12))*10</f>
        <v/>
      </c>
      <c r="R57" s="14">
        <f>AVERAGE(SUMPRODUCT($S57:$BM57,AttWeights!$C$2:$AW$2)/SUM(AttWeights!$C$2:$AW$2),SUMPRODUCT($S57:$BM57,AttWeights!$C$11:$AW$11)/SUM(AttWeights!$C$11:$AW$11))*10</f>
        <v/>
      </c>
      <c r="S57" s="3">
        <f>IF(ISBLANK('Paste Full'!AC57),"",'Paste Full'!AC57)</f>
        <v/>
      </c>
      <c r="T57" s="3">
        <f>IF(ISBLANK('Paste Full'!AD57),"",'Paste Full'!AD57)</f>
        <v/>
      </c>
      <c r="U57" s="3">
        <f>IF(ISBLANK('Paste Full'!AE57),"",'Paste Full'!AE57)</f>
        <v/>
      </c>
      <c r="V57" s="3">
        <f>IF(ISBLANK('Paste Full'!AF57),"",'Paste Full'!AF57)</f>
        <v/>
      </c>
      <c r="W57" s="3">
        <f>IF(ISBLANK('Paste Full'!AH57),"",'Paste Full'!AH57)</f>
        <v/>
      </c>
      <c r="X57" s="3">
        <f>IF(ISBLANK('Paste Full'!AI57),"",'Paste Full'!AI57)</f>
        <v/>
      </c>
      <c r="Y57" s="3">
        <f>IF(ISBLANK('Paste Full'!AK57),"",'Paste Full'!AK57)</f>
        <v/>
      </c>
      <c r="Z57" s="3">
        <f>IF(ISBLANK('Paste Full'!AL57),"",'Paste Full'!AL57)</f>
        <v/>
      </c>
      <c r="AA57" s="4">
        <f>IF(ISBLANK('Paste Full'!AM57),"",'Paste Full'!AM57)</f>
        <v/>
      </c>
      <c r="AB57" s="4">
        <f>IF(ISBLANK('Paste Full'!AN57),"",'Paste Full'!AN57)</f>
        <v/>
      </c>
      <c r="AC57" s="4">
        <f>IF(ISBLANK('Paste Full'!AO57),"",'Paste Full'!AO57)</f>
        <v/>
      </c>
      <c r="AD57" s="4">
        <f>IF(ISBLANK('Paste Full'!AP57),"",'Paste Full'!AP57)</f>
        <v/>
      </c>
      <c r="AE57" s="4">
        <f>IF(ISBLANK('Paste Full'!AQ57),"",'Paste Full'!AQ57)</f>
        <v/>
      </c>
      <c r="AF57" s="4">
        <f>IF(ISBLANK('Paste Full'!AR57),"",'Paste Full'!AR57)</f>
        <v/>
      </c>
      <c r="AG57" s="4">
        <f>IF(ISBLANK('Paste Full'!AS57),"",'Paste Full'!AS57)</f>
        <v/>
      </c>
      <c r="AH57" s="4">
        <f>IF(ISBLANK('Paste Full'!AV57),"",'Paste Full'!AV57)</f>
        <v/>
      </c>
      <c r="AI57" s="4">
        <f>IF(ISBLANK('Paste Full'!AT57),"",'Paste Full'!AT57)</f>
        <v/>
      </c>
      <c r="AJ57" s="4">
        <f>IF(ISBLANK('Paste Full'!AU57),"",'Paste Full'!AU57)</f>
        <v/>
      </c>
      <c r="AK57" s="4">
        <f>IF(ISBLANK('Paste Full'!AW57),"",'Paste Full'!AW57)</f>
        <v/>
      </c>
      <c r="AL57" s="5">
        <f>IF(ISBLANK('Paste Full'!AX57),"",'Paste Full'!AX57)</f>
        <v/>
      </c>
      <c r="AM57" s="5">
        <f>IF(ISBLANK('Paste Full'!AY57),"",'Paste Full'!AY57)</f>
        <v/>
      </c>
      <c r="AN57" s="5">
        <f>IF(ISBLANK('Paste Full'!AZ57),"",'Paste Full'!AZ57)</f>
        <v/>
      </c>
      <c r="AO57" s="5">
        <f>IF(ISBLANK('Paste Full'!BA57),"",'Paste Full'!BA57)</f>
        <v/>
      </c>
      <c r="AP57" s="5">
        <f>IF(ISBLANK('Paste Full'!BB57),"",'Paste Full'!BB57)</f>
        <v/>
      </c>
      <c r="AQ57" s="5">
        <f>IF(ISBLANK('Paste Full'!BC57),"",'Paste Full'!BC57)</f>
        <v/>
      </c>
      <c r="AR57" s="5">
        <f>IF(ISBLANK('Paste Full'!BD57),"",'Paste Full'!BD57)</f>
        <v/>
      </c>
      <c r="AS57" s="5">
        <f>IF(ISBLANK('Paste Full'!BE57),"",'Paste Full'!BE57)</f>
        <v/>
      </c>
      <c r="AT57" s="5">
        <f>IF(ISBLANK('Paste Full'!BF57),"",'Paste Full'!BF57)</f>
        <v/>
      </c>
      <c r="AU57" s="5">
        <f>IF(ISBLANK('Paste Full'!BG57),"",'Paste Full'!BG57)</f>
        <v/>
      </c>
      <c r="AV57" s="5">
        <f>IF(ISBLANK('Paste Full'!BH57),"",'Paste Full'!BH57)</f>
        <v/>
      </c>
      <c r="AW57" s="5">
        <f>IF(ISBLANK('Paste Full'!BI57),"",'Paste Full'!BI57)</f>
        <v/>
      </c>
      <c r="AX57" s="5">
        <f>IF(ISBLANK('Paste Full'!BJ57),"",'Paste Full'!BJ57)</f>
        <v/>
      </c>
      <c r="AY57" s="5">
        <f>IF(ISBLANK('Paste Full'!BK57),"",'Paste Full'!BK57)</f>
        <v/>
      </c>
      <c r="AZ57" s="6">
        <f>IF(ISBLANK('Paste Full'!BM57),"",'Paste Full'!BM57)</f>
        <v/>
      </c>
      <c r="BA57" s="6">
        <f>IF(ISBLANK('Paste Full'!BN57),"",'Paste Full'!BN57)</f>
        <v/>
      </c>
      <c r="BB57" s="6">
        <f>IF(ISBLANK('Paste Full'!BO57),"",'Paste Full'!BO57)</f>
        <v/>
      </c>
      <c r="BC57" s="6">
        <f>IF(ISBLANK('Paste Full'!BP57),"",'Paste Full'!BP57)</f>
        <v/>
      </c>
      <c r="BD57" s="6">
        <f>IF(ISBLANK('Paste Full'!BR57),"",'Paste Full'!BR57)</f>
        <v/>
      </c>
      <c r="BE57" s="6">
        <f>IF(ISBLANK('Paste Full'!BS57),"",'Paste Full'!BS57)</f>
        <v/>
      </c>
      <c r="BF57" s="6">
        <f>IF(ISBLANK('Paste Full'!BU57),"",'Paste Full'!BU57)</f>
        <v/>
      </c>
      <c r="BG57" s="6">
        <f>IF(ISBLANK('Paste Full'!BV57),"",'Paste Full'!BV57)</f>
        <v/>
      </c>
      <c r="BH57" s="6">
        <f>IF(ISBLANK('Paste Full'!BX57),"",'Paste Full'!BX57)</f>
        <v/>
      </c>
      <c r="BI57" s="6">
        <f>IF(ISBLANK('Paste Full'!BY57),"",'Paste Full'!BY57)</f>
        <v/>
      </c>
      <c r="BJ57" s="13">
        <f>IF(ISBLANK('Paste Full'!BL57),"",'Paste Full'!BL57)</f>
        <v/>
      </c>
      <c r="BK57" s="13">
        <f>IF(ISBLANK('Paste Full'!BQ57),"",'Paste Full'!BQ57)</f>
        <v/>
      </c>
      <c r="BL57" s="13">
        <f>IF(ISBLANK('Paste Full'!BT57),"",'Paste Full'!BT57)</f>
        <v/>
      </c>
      <c r="BM57" s="13">
        <f>IF(ISBLANK('Paste Full'!BW57),"",'Paste Full'!BW57)</f>
        <v/>
      </c>
    </row>
    <row r="58">
      <c r="A58">
        <f>IF(ISBLANK('Paste Full'!C58),"",'Paste Full'!C58)</f>
        <v/>
      </c>
      <c r="B58">
        <f>INDEX($J$1:$R$1, MATCH(MAX($J58:$R58), $J58:$R58, 0))</f>
        <v/>
      </c>
      <c r="C58" s="45">
        <f>IF(ISBLANK('Paste Full'!H58),"",'Paste Full'!H58)</f>
        <v/>
      </c>
      <c r="D58" s="45">
        <f>IF(ISBLANK('Paste Full'!F58),"",'Paste Full'!F58)</f>
        <v/>
      </c>
      <c r="E58" s="45">
        <f>IF(ISBLANK('Paste Full'!G58),"",'Paste Full'!G58)</f>
        <v/>
      </c>
      <c r="F58" s="21">
        <f>IF(ISBLANK('Paste Full'!E58),"",'Paste Full'!E58)</f>
        <v/>
      </c>
      <c r="G58">
        <f>IF(ISBLANK('Paste Full'!CI58),"",'Paste Full'!CI58)</f>
        <v/>
      </c>
      <c r="H58" s="21">
        <f>IF(ISBLANK('Paste Full'!J58),"",'Paste Full'!J58)</f>
        <v/>
      </c>
      <c r="I58" s="21">
        <f>IF(ISBLANK('Paste Full'!D58),"",'Paste Full'!D58)</f>
        <v/>
      </c>
      <c r="J58" s="14">
        <f>AVERAGE(SUMPRODUCT($S58:$BM58,AttWeights!$C$10:$AW$10)/SUM(AttWeights!$C$10:$AW$10),SUMPRODUCT($S58:$BM58,AttWeights!$C$17:$AW$17)/SUM(AttWeights!$C$17:$AW$17))*10</f>
        <v/>
      </c>
      <c r="K58" s="14">
        <f>AVERAGE(SUMPRODUCT($S58:$BM58,AttWeights!$C$7:$AW$7)/SUM(AttWeights!$C$7:$AW$7),SUMPRODUCT($S58:$BM58,AttWeights!$C$15:$AW$15)/SUM(AttWeights!$C$15:$AW$15))*10</f>
        <v/>
      </c>
      <c r="L58" s="14">
        <f>AVERAGE(SUMPRODUCT($S58:$BM58,AttWeights!$C$8:$AW$8)/SUM(AttWeights!$C$8:$AW$8),SUMPRODUCT($S58:$BM58,AttWeights!$C$16:$AW$16)/SUM(AttWeights!$C$16:$AW$16))*10</f>
        <v/>
      </c>
      <c r="M58" s="14">
        <f>AVERAGE(SUMPRODUCT($S58:$BM58,AttWeights!$C$9:$AW$9)/SUM(AttWeights!$C$9:$AW$9),SUMPRODUCT($S58:$BM58,AttWeights!$C$15:$AW$15)/SUM(AttWeights!$C$15:$AW$15))*10</f>
        <v/>
      </c>
      <c r="N58" s="14">
        <f>AVERAGE(SUMPRODUCT($S58:$BM58,AttWeights!$C$6:$AW$6)/SUM(AttWeights!$C$6:$AW$6),SUMPRODUCT($S58:$BM58,AttWeights!$C$14:$AW$14)/SUM(AttWeights!$C$14:$AW$14))*10</f>
        <v/>
      </c>
      <c r="O58" s="14">
        <f>AVERAGE(SUMPRODUCT($S58:$BM58,AttWeights!$C$5:$AW$5)/SUM(AttWeights!$C$5:$AW$5),SUMPRODUCT($S58:$BM58,AttWeights!$C$14:$AW$14)/SUM(AttWeights!$C$14:$AW$14))*10</f>
        <v/>
      </c>
      <c r="P58" s="14">
        <f>AVERAGE(SUMPRODUCT($S58:$BM58,AttWeights!$C$4:$AW$4)/SUM(AttWeights!$C$4:$AW$4),SUMPRODUCT($S58:$BM58,AttWeights!$C$13:$AW$13)/SUM(AttWeights!$C$13:$AW$13))*10</f>
        <v/>
      </c>
      <c r="Q58" s="14">
        <f>AVERAGE(SUMPRODUCT($S58:$BM58,AttWeights!$C$3:$AW$3)/SUM(AttWeights!$C$3:$AW$3),SUMPRODUCT($S58:$BM58,AttWeights!$C$12:$AW$12)/SUM(AttWeights!$C$12:$AW$12))*10</f>
        <v/>
      </c>
      <c r="R58" s="14">
        <f>AVERAGE(SUMPRODUCT($S58:$BM58,AttWeights!$C$2:$AW$2)/SUM(AttWeights!$C$2:$AW$2),SUMPRODUCT($S58:$BM58,AttWeights!$C$11:$AW$11)/SUM(AttWeights!$C$11:$AW$11))*10</f>
        <v/>
      </c>
      <c r="S58" s="3">
        <f>IF(ISBLANK('Paste Full'!AC58),"",'Paste Full'!AC58)</f>
        <v/>
      </c>
      <c r="T58" s="3">
        <f>IF(ISBLANK('Paste Full'!AD58),"",'Paste Full'!AD58)</f>
        <v/>
      </c>
      <c r="U58" s="3">
        <f>IF(ISBLANK('Paste Full'!AE58),"",'Paste Full'!AE58)</f>
        <v/>
      </c>
      <c r="V58" s="3">
        <f>IF(ISBLANK('Paste Full'!AF58),"",'Paste Full'!AF58)</f>
        <v/>
      </c>
      <c r="W58" s="3">
        <f>IF(ISBLANK('Paste Full'!AH58),"",'Paste Full'!AH58)</f>
        <v/>
      </c>
      <c r="X58" s="3">
        <f>IF(ISBLANK('Paste Full'!AI58),"",'Paste Full'!AI58)</f>
        <v/>
      </c>
      <c r="Y58" s="3">
        <f>IF(ISBLANK('Paste Full'!AK58),"",'Paste Full'!AK58)</f>
        <v/>
      </c>
      <c r="Z58" s="3">
        <f>IF(ISBLANK('Paste Full'!AL58),"",'Paste Full'!AL58)</f>
        <v/>
      </c>
      <c r="AA58" s="4">
        <f>IF(ISBLANK('Paste Full'!AM58),"",'Paste Full'!AM58)</f>
        <v/>
      </c>
      <c r="AB58" s="4">
        <f>IF(ISBLANK('Paste Full'!AN58),"",'Paste Full'!AN58)</f>
        <v/>
      </c>
      <c r="AC58" s="4">
        <f>IF(ISBLANK('Paste Full'!AO58),"",'Paste Full'!AO58)</f>
        <v/>
      </c>
      <c r="AD58" s="4">
        <f>IF(ISBLANK('Paste Full'!AP58),"",'Paste Full'!AP58)</f>
        <v/>
      </c>
      <c r="AE58" s="4">
        <f>IF(ISBLANK('Paste Full'!AQ58),"",'Paste Full'!AQ58)</f>
        <v/>
      </c>
      <c r="AF58" s="4">
        <f>IF(ISBLANK('Paste Full'!AR58),"",'Paste Full'!AR58)</f>
        <v/>
      </c>
      <c r="AG58" s="4">
        <f>IF(ISBLANK('Paste Full'!AS58),"",'Paste Full'!AS58)</f>
        <v/>
      </c>
      <c r="AH58" s="4">
        <f>IF(ISBLANK('Paste Full'!AV58),"",'Paste Full'!AV58)</f>
        <v/>
      </c>
      <c r="AI58" s="4">
        <f>IF(ISBLANK('Paste Full'!AT58),"",'Paste Full'!AT58)</f>
        <v/>
      </c>
      <c r="AJ58" s="4">
        <f>IF(ISBLANK('Paste Full'!AU58),"",'Paste Full'!AU58)</f>
        <v/>
      </c>
      <c r="AK58" s="4">
        <f>IF(ISBLANK('Paste Full'!AW58),"",'Paste Full'!AW58)</f>
        <v/>
      </c>
      <c r="AL58" s="5">
        <f>IF(ISBLANK('Paste Full'!AX58),"",'Paste Full'!AX58)</f>
        <v/>
      </c>
      <c r="AM58" s="5">
        <f>IF(ISBLANK('Paste Full'!AY58),"",'Paste Full'!AY58)</f>
        <v/>
      </c>
      <c r="AN58" s="5">
        <f>IF(ISBLANK('Paste Full'!AZ58),"",'Paste Full'!AZ58)</f>
        <v/>
      </c>
      <c r="AO58" s="5">
        <f>IF(ISBLANK('Paste Full'!BA58),"",'Paste Full'!BA58)</f>
        <v/>
      </c>
      <c r="AP58" s="5">
        <f>IF(ISBLANK('Paste Full'!BB58),"",'Paste Full'!BB58)</f>
        <v/>
      </c>
      <c r="AQ58" s="5">
        <f>IF(ISBLANK('Paste Full'!BC58),"",'Paste Full'!BC58)</f>
        <v/>
      </c>
      <c r="AR58" s="5">
        <f>IF(ISBLANK('Paste Full'!BD58),"",'Paste Full'!BD58)</f>
        <v/>
      </c>
      <c r="AS58" s="5">
        <f>IF(ISBLANK('Paste Full'!BE58),"",'Paste Full'!BE58)</f>
        <v/>
      </c>
      <c r="AT58" s="5">
        <f>IF(ISBLANK('Paste Full'!BF58),"",'Paste Full'!BF58)</f>
        <v/>
      </c>
      <c r="AU58" s="5">
        <f>IF(ISBLANK('Paste Full'!BG58),"",'Paste Full'!BG58)</f>
        <v/>
      </c>
      <c r="AV58" s="5">
        <f>IF(ISBLANK('Paste Full'!BH58),"",'Paste Full'!BH58)</f>
        <v/>
      </c>
      <c r="AW58" s="5">
        <f>IF(ISBLANK('Paste Full'!BI58),"",'Paste Full'!BI58)</f>
        <v/>
      </c>
      <c r="AX58" s="5">
        <f>IF(ISBLANK('Paste Full'!BJ58),"",'Paste Full'!BJ58)</f>
        <v/>
      </c>
      <c r="AY58" s="5">
        <f>IF(ISBLANK('Paste Full'!BK58),"",'Paste Full'!BK58)</f>
        <v/>
      </c>
      <c r="AZ58" s="6">
        <f>IF(ISBLANK('Paste Full'!BM58),"",'Paste Full'!BM58)</f>
        <v/>
      </c>
      <c r="BA58" s="6">
        <f>IF(ISBLANK('Paste Full'!BN58),"",'Paste Full'!BN58)</f>
        <v/>
      </c>
      <c r="BB58" s="6">
        <f>IF(ISBLANK('Paste Full'!BO58),"",'Paste Full'!BO58)</f>
        <v/>
      </c>
      <c r="BC58" s="6">
        <f>IF(ISBLANK('Paste Full'!BP58),"",'Paste Full'!BP58)</f>
        <v/>
      </c>
      <c r="BD58" s="6">
        <f>IF(ISBLANK('Paste Full'!BR58),"",'Paste Full'!BR58)</f>
        <v/>
      </c>
      <c r="BE58" s="6">
        <f>IF(ISBLANK('Paste Full'!BS58),"",'Paste Full'!BS58)</f>
        <v/>
      </c>
      <c r="BF58" s="6">
        <f>IF(ISBLANK('Paste Full'!BU58),"",'Paste Full'!BU58)</f>
        <v/>
      </c>
      <c r="BG58" s="6">
        <f>IF(ISBLANK('Paste Full'!BV58),"",'Paste Full'!BV58)</f>
        <v/>
      </c>
      <c r="BH58" s="6">
        <f>IF(ISBLANK('Paste Full'!BX58),"",'Paste Full'!BX58)</f>
        <v/>
      </c>
      <c r="BI58" s="6">
        <f>IF(ISBLANK('Paste Full'!BY58),"",'Paste Full'!BY58)</f>
        <v/>
      </c>
      <c r="BJ58" s="13">
        <f>IF(ISBLANK('Paste Full'!BL58),"",'Paste Full'!BL58)</f>
        <v/>
      </c>
      <c r="BK58" s="13">
        <f>IF(ISBLANK('Paste Full'!BQ58),"",'Paste Full'!BQ58)</f>
        <v/>
      </c>
      <c r="BL58" s="13">
        <f>IF(ISBLANK('Paste Full'!BT58),"",'Paste Full'!BT58)</f>
        <v/>
      </c>
      <c r="BM58" s="13">
        <f>IF(ISBLANK('Paste Full'!BW58),"",'Paste Full'!BW58)</f>
        <v/>
      </c>
    </row>
    <row r="59">
      <c r="A59">
        <f>IF(ISBLANK('Paste Full'!C59),"",'Paste Full'!C59)</f>
        <v/>
      </c>
      <c r="B59">
        <f>INDEX($J$1:$R$1, MATCH(MAX($J59:$R59), $J59:$R59, 0))</f>
        <v/>
      </c>
      <c r="C59" s="45">
        <f>IF(ISBLANK('Paste Full'!H59),"",'Paste Full'!H59)</f>
        <v/>
      </c>
      <c r="D59" s="45">
        <f>IF(ISBLANK('Paste Full'!F59),"",'Paste Full'!F59)</f>
        <v/>
      </c>
      <c r="E59" s="45">
        <f>IF(ISBLANK('Paste Full'!G59),"",'Paste Full'!G59)</f>
        <v/>
      </c>
      <c r="F59" s="21">
        <f>IF(ISBLANK('Paste Full'!E59),"",'Paste Full'!E59)</f>
        <v/>
      </c>
      <c r="G59">
        <f>IF(ISBLANK('Paste Full'!CI59),"",'Paste Full'!CI59)</f>
        <v/>
      </c>
      <c r="H59" s="21">
        <f>IF(ISBLANK('Paste Full'!J59),"",'Paste Full'!J59)</f>
        <v/>
      </c>
      <c r="I59" s="21">
        <f>IF(ISBLANK('Paste Full'!D59),"",'Paste Full'!D59)</f>
        <v/>
      </c>
      <c r="J59" s="14">
        <f>AVERAGE(SUMPRODUCT($S59:$BM59,AttWeights!$C$10:$AW$10)/SUM(AttWeights!$C$10:$AW$10),SUMPRODUCT($S59:$BM59,AttWeights!$C$17:$AW$17)/SUM(AttWeights!$C$17:$AW$17))*10</f>
        <v/>
      </c>
      <c r="K59" s="14">
        <f>AVERAGE(SUMPRODUCT($S59:$BM59,AttWeights!$C$7:$AW$7)/SUM(AttWeights!$C$7:$AW$7),SUMPRODUCT($S59:$BM59,AttWeights!$C$15:$AW$15)/SUM(AttWeights!$C$15:$AW$15))*10</f>
        <v/>
      </c>
      <c r="L59" s="14">
        <f>AVERAGE(SUMPRODUCT($S59:$BM59,AttWeights!$C$8:$AW$8)/SUM(AttWeights!$C$8:$AW$8),SUMPRODUCT($S59:$BM59,AttWeights!$C$16:$AW$16)/SUM(AttWeights!$C$16:$AW$16))*10</f>
        <v/>
      </c>
      <c r="M59" s="14">
        <f>AVERAGE(SUMPRODUCT($S59:$BM59,AttWeights!$C$9:$AW$9)/SUM(AttWeights!$C$9:$AW$9),SUMPRODUCT($S59:$BM59,AttWeights!$C$15:$AW$15)/SUM(AttWeights!$C$15:$AW$15))*10</f>
        <v/>
      </c>
      <c r="N59" s="14">
        <f>AVERAGE(SUMPRODUCT($S59:$BM59,AttWeights!$C$6:$AW$6)/SUM(AttWeights!$C$6:$AW$6),SUMPRODUCT($S59:$BM59,AttWeights!$C$14:$AW$14)/SUM(AttWeights!$C$14:$AW$14))*10</f>
        <v/>
      </c>
      <c r="O59" s="14">
        <f>AVERAGE(SUMPRODUCT($S59:$BM59,AttWeights!$C$5:$AW$5)/SUM(AttWeights!$C$5:$AW$5),SUMPRODUCT($S59:$BM59,AttWeights!$C$14:$AW$14)/SUM(AttWeights!$C$14:$AW$14))*10</f>
        <v/>
      </c>
      <c r="P59" s="14">
        <f>AVERAGE(SUMPRODUCT($S59:$BM59,AttWeights!$C$4:$AW$4)/SUM(AttWeights!$C$4:$AW$4),SUMPRODUCT($S59:$BM59,AttWeights!$C$13:$AW$13)/SUM(AttWeights!$C$13:$AW$13))*10</f>
        <v/>
      </c>
      <c r="Q59" s="14">
        <f>AVERAGE(SUMPRODUCT($S59:$BM59,AttWeights!$C$3:$AW$3)/SUM(AttWeights!$C$3:$AW$3),SUMPRODUCT($S59:$BM59,AttWeights!$C$12:$AW$12)/SUM(AttWeights!$C$12:$AW$12))*10</f>
        <v/>
      </c>
      <c r="R59" s="14">
        <f>AVERAGE(SUMPRODUCT($S59:$BM59,AttWeights!$C$2:$AW$2)/SUM(AttWeights!$C$2:$AW$2),SUMPRODUCT($S59:$BM59,AttWeights!$C$11:$AW$11)/SUM(AttWeights!$C$11:$AW$11))*10</f>
        <v/>
      </c>
      <c r="S59" s="3">
        <f>IF(ISBLANK('Paste Full'!AC59),"",'Paste Full'!AC59)</f>
        <v/>
      </c>
      <c r="T59" s="3">
        <f>IF(ISBLANK('Paste Full'!AD59),"",'Paste Full'!AD59)</f>
        <v/>
      </c>
      <c r="U59" s="3">
        <f>IF(ISBLANK('Paste Full'!AE59),"",'Paste Full'!AE59)</f>
        <v/>
      </c>
      <c r="V59" s="3">
        <f>IF(ISBLANK('Paste Full'!AF59),"",'Paste Full'!AF59)</f>
        <v/>
      </c>
      <c r="W59" s="3">
        <f>IF(ISBLANK('Paste Full'!AH59),"",'Paste Full'!AH59)</f>
        <v/>
      </c>
      <c r="X59" s="3">
        <f>IF(ISBLANK('Paste Full'!AI59),"",'Paste Full'!AI59)</f>
        <v/>
      </c>
      <c r="Y59" s="3">
        <f>IF(ISBLANK('Paste Full'!AK59),"",'Paste Full'!AK59)</f>
        <v/>
      </c>
      <c r="Z59" s="3">
        <f>IF(ISBLANK('Paste Full'!AL59),"",'Paste Full'!AL59)</f>
        <v/>
      </c>
      <c r="AA59" s="4">
        <f>IF(ISBLANK('Paste Full'!AM59),"",'Paste Full'!AM59)</f>
        <v/>
      </c>
      <c r="AB59" s="4">
        <f>IF(ISBLANK('Paste Full'!AN59),"",'Paste Full'!AN59)</f>
        <v/>
      </c>
      <c r="AC59" s="4">
        <f>IF(ISBLANK('Paste Full'!AO59),"",'Paste Full'!AO59)</f>
        <v/>
      </c>
      <c r="AD59" s="4">
        <f>IF(ISBLANK('Paste Full'!AP59),"",'Paste Full'!AP59)</f>
        <v/>
      </c>
      <c r="AE59" s="4">
        <f>IF(ISBLANK('Paste Full'!AQ59),"",'Paste Full'!AQ59)</f>
        <v/>
      </c>
      <c r="AF59" s="4">
        <f>IF(ISBLANK('Paste Full'!AR59),"",'Paste Full'!AR59)</f>
        <v/>
      </c>
      <c r="AG59" s="4">
        <f>IF(ISBLANK('Paste Full'!AS59),"",'Paste Full'!AS59)</f>
        <v/>
      </c>
      <c r="AH59" s="4">
        <f>IF(ISBLANK('Paste Full'!AV59),"",'Paste Full'!AV59)</f>
        <v/>
      </c>
      <c r="AI59" s="4">
        <f>IF(ISBLANK('Paste Full'!AT59),"",'Paste Full'!AT59)</f>
        <v/>
      </c>
      <c r="AJ59" s="4">
        <f>IF(ISBLANK('Paste Full'!AU59),"",'Paste Full'!AU59)</f>
        <v/>
      </c>
      <c r="AK59" s="4">
        <f>IF(ISBLANK('Paste Full'!AW59),"",'Paste Full'!AW59)</f>
        <v/>
      </c>
      <c r="AL59" s="5">
        <f>IF(ISBLANK('Paste Full'!AX59),"",'Paste Full'!AX59)</f>
        <v/>
      </c>
      <c r="AM59" s="5">
        <f>IF(ISBLANK('Paste Full'!AY59),"",'Paste Full'!AY59)</f>
        <v/>
      </c>
      <c r="AN59" s="5">
        <f>IF(ISBLANK('Paste Full'!AZ59),"",'Paste Full'!AZ59)</f>
        <v/>
      </c>
      <c r="AO59" s="5">
        <f>IF(ISBLANK('Paste Full'!BA59),"",'Paste Full'!BA59)</f>
        <v/>
      </c>
      <c r="AP59" s="5">
        <f>IF(ISBLANK('Paste Full'!BB59),"",'Paste Full'!BB59)</f>
        <v/>
      </c>
      <c r="AQ59" s="5">
        <f>IF(ISBLANK('Paste Full'!BC59),"",'Paste Full'!BC59)</f>
        <v/>
      </c>
      <c r="AR59" s="5">
        <f>IF(ISBLANK('Paste Full'!BD59),"",'Paste Full'!BD59)</f>
        <v/>
      </c>
      <c r="AS59" s="5">
        <f>IF(ISBLANK('Paste Full'!BE59),"",'Paste Full'!BE59)</f>
        <v/>
      </c>
      <c r="AT59" s="5">
        <f>IF(ISBLANK('Paste Full'!BF59),"",'Paste Full'!BF59)</f>
        <v/>
      </c>
      <c r="AU59" s="5">
        <f>IF(ISBLANK('Paste Full'!BG59),"",'Paste Full'!BG59)</f>
        <v/>
      </c>
      <c r="AV59" s="5">
        <f>IF(ISBLANK('Paste Full'!BH59),"",'Paste Full'!BH59)</f>
        <v/>
      </c>
      <c r="AW59" s="5">
        <f>IF(ISBLANK('Paste Full'!BI59),"",'Paste Full'!BI59)</f>
        <v/>
      </c>
      <c r="AX59" s="5">
        <f>IF(ISBLANK('Paste Full'!BJ59),"",'Paste Full'!BJ59)</f>
        <v/>
      </c>
      <c r="AY59" s="5">
        <f>IF(ISBLANK('Paste Full'!BK59),"",'Paste Full'!BK59)</f>
        <v/>
      </c>
      <c r="AZ59" s="6">
        <f>IF(ISBLANK('Paste Full'!BM59),"",'Paste Full'!BM59)</f>
        <v/>
      </c>
      <c r="BA59" s="6">
        <f>IF(ISBLANK('Paste Full'!BN59),"",'Paste Full'!BN59)</f>
        <v/>
      </c>
      <c r="BB59" s="6">
        <f>IF(ISBLANK('Paste Full'!BO59),"",'Paste Full'!BO59)</f>
        <v/>
      </c>
      <c r="BC59" s="6">
        <f>IF(ISBLANK('Paste Full'!BP59),"",'Paste Full'!BP59)</f>
        <v/>
      </c>
      <c r="BD59" s="6">
        <f>IF(ISBLANK('Paste Full'!BR59),"",'Paste Full'!BR59)</f>
        <v/>
      </c>
      <c r="BE59" s="6">
        <f>IF(ISBLANK('Paste Full'!BS59),"",'Paste Full'!BS59)</f>
        <v/>
      </c>
      <c r="BF59" s="6">
        <f>IF(ISBLANK('Paste Full'!BU59),"",'Paste Full'!BU59)</f>
        <v/>
      </c>
      <c r="BG59" s="6">
        <f>IF(ISBLANK('Paste Full'!BV59),"",'Paste Full'!BV59)</f>
        <v/>
      </c>
      <c r="BH59" s="6">
        <f>IF(ISBLANK('Paste Full'!BX59),"",'Paste Full'!BX59)</f>
        <v/>
      </c>
      <c r="BI59" s="6">
        <f>IF(ISBLANK('Paste Full'!BY59),"",'Paste Full'!BY59)</f>
        <v/>
      </c>
      <c r="BJ59" s="13">
        <f>IF(ISBLANK('Paste Full'!BL59),"",'Paste Full'!BL59)</f>
        <v/>
      </c>
      <c r="BK59" s="13">
        <f>IF(ISBLANK('Paste Full'!BQ59),"",'Paste Full'!BQ59)</f>
        <v/>
      </c>
      <c r="BL59" s="13">
        <f>IF(ISBLANK('Paste Full'!BT59),"",'Paste Full'!BT59)</f>
        <v/>
      </c>
      <c r="BM59" s="13">
        <f>IF(ISBLANK('Paste Full'!BW59),"",'Paste Full'!BW59)</f>
        <v/>
      </c>
    </row>
    <row r="60">
      <c r="A60">
        <f>IF(ISBLANK('Paste Full'!C60),"",'Paste Full'!C60)</f>
        <v/>
      </c>
      <c r="B60">
        <f>INDEX($J$1:$R$1, MATCH(MAX($J60:$R60), $J60:$R60, 0))</f>
        <v/>
      </c>
      <c r="C60" s="45">
        <f>IF(ISBLANK('Paste Full'!H60),"",'Paste Full'!H60)</f>
        <v/>
      </c>
      <c r="D60" s="45">
        <f>IF(ISBLANK('Paste Full'!F60),"",'Paste Full'!F60)</f>
        <v/>
      </c>
      <c r="E60" s="45">
        <f>IF(ISBLANK('Paste Full'!G60),"",'Paste Full'!G60)</f>
        <v/>
      </c>
      <c r="F60" s="21">
        <f>IF(ISBLANK('Paste Full'!E60),"",'Paste Full'!E60)</f>
        <v/>
      </c>
      <c r="G60">
        <f>IF(ISBLANK('Paste Full'!CI60),"",'Paste Full'!CI60)</f>
        <v/>
      </c>
      <c r="H60" s="21">
        <f>IF(ISBLANK('Paste Full'!J60),"",'Paste Full'!J60)</f>
        <v/>
      </c>
      <c r="I60" s="21">
        <f>IF(ISBLANK('Paste Full'!D60),"",'Paste Full'!D60)</f>
        <v/>
      </c>
      <c r="J60" s="14">
        <f>AVERAGE(SUMPRODUCT($S60:$BM60,AttWeights!$C$10:$AW$10)/SUM(AttWeights!$C$10:$AW$10),SUMPRODUCT($S60:$BM60,AttWeights!$C$17:$AW$17)/SUM(AttWeights!$C$17:$AW$17))*10</f>
        <v/>
      </c>
      <c r="K60" s="14">
        <f>AVERAGE(SUMPRODUCT($S60:$BM60,AttWeights!$C$7:$AW$7)/SUM(AttWeights!$C$7:$AW$7),SUMPRODUCT($S60:$BM60,AttWeights!$C$15:$AW$15)/SUM(AttWeights!$C$15:$AW$15))*10</f>
        <v/>
      </c>
      <c r="L60" s="14">
        <f>AVERAGE(SUMPRODUCT($S60:$BM60,AttWeights!$C$8:$AW$8)/SUM(AttWeights!$C$8:$AW$8),SUMPRODUCT($S60:$BM60,AttWeights!$C$16:$AW$16)/SUM(AttWeights!$C$16:$AW$16))*10</f>
        <v/>
      </c>
      <c r="M60" s="14">
        <f>AVERAGE(SUMPRODUCT($S60:$BM60,AttWeights!$C$9:$AW$9)/SUM(AttWeights!$C$9:$AW$9),SUMPRODUCT($S60:$BM60,AttWeights!$C$15:$AW$15)/SUM(AttWeights!$C$15:$AW$15))*10</f>
        <v/>
      </c>
      <c r="N60" s="14">
        <f>AVERAGE(SUMPRODUCT($S60:$BM60,AttWeights!$C$6:$AW$6)/SUM(AttWeights!$C$6:$AW$6),SUMPRODUCT($S60:$BM60,AttWeights!$C$14:$AW$14)/SUM(AttWeights!$C$14:$AW$14))*10</f>
        <v/>
      </c>
      <c r="O60" s="14">
        <f>AVERAGE(SUMPRODUCT($S60:$BM60,AttWeights!$C$5:$AW$5)/SUM(AttWeights!$C$5:$AW$5),SUMPRODUCT($S60:$BM60,AttWeights!$C$14:$AW$14)/SUM(AttWeights!$C$14:$AW$14))*10</f>
        <v/>
      </c>
      <c r="P60" s="14">
        <f>AVERAGE(SUMPRODUCT($S60:$BM60,AttWeights!$C$4:$AW$4)/SUM(AttWeights!$C$4:$AW$4),SUMPRODUCT($S60:$BM60,AttWeights!$C$13:$AW$13)/SUM(AttWeights!$C$13:$AW$13))*10</f>
        <v/>
      </c>
      <c r="Q60" s="14">
        <f>AVERAGE(SUMPRODUCT($S60:$BM60,AttWeights!$C$3:$AW$3)/SUM(AttWeights!$C$3:$AW$3),SUMPRODUCT($S60:$BM60,AttWeights!$C$12:$AW$12)/SUM(AttWeights!$C$12:$AW$12))*10</f>
        <v/>
      </c>
      <c r="R60" s="14">
        <f>AVERAGE(SUMPRODUCT($S60:$BM60,AttWeights!$C$2:$AW$2)/SUM(AttWeights!$C$2:$AW$2),SUMPRODUCT($S60:$BM60,AttWeights!$C$11:$AW$11)/SUM(AttWeights!$C$11:$AW$11))*10</f>
        <v/>
      </c>
      <c r="S60" s="3">
        <f>IF(ISBLANK('Paste Full'!AC60),"",'Paste Full'!AC60)</f>
        <v/>
      </c>
      <c r="T60" s="3">
        <f>IF(ISBLANK('Paste Full'!AD60),"",'Paste Full'!AD60)</f>
        <v/>
      </c>
      <c r="U60" s="3">
        <f>IF(ISBLANK('Paste Full'!AE60),"",'Paste Full'!AE60)</f>
        <v/>
      </c>
      <c r="V60" s="3">
        <f>IF(ISBLANK('Paste Full'!AF60),"",'Paste Full'!AF60)</f>
        <v/>
      </c>
      <c r="W60" s="3">
        <f>IF(ISBLANK('Paste Full'!AH60),"",'Paste Full'!AH60)</f>
        <v/>
      </c>
      <c r="X60" s="3">
        <f>IF(ISBLANK('Paste Full'!AI60),"",'Paste Full'!AI60)</f>
        <v/>
      </c>
      <c r="Y60" s="3">
        <f>IF(ISBLANK('Paste Full'!AK60),"",'Paste Full'!AK60)</f>
        <v/>
      </c>
      <c r="Z60" s="3">
        <f>IF(ISBLANK('Paste Full'!AL60),"",'Paste Full'!AL60)</f>
        <v/>
      </c>
      <c r="AA60" s="4">
        <f>IF(ISBLANK('Paste Full'!AM60),"",'Paste Full'!AM60)</f>
        <v/>
      </c>
      <c r="AB60" s="4">
        <f>IF(ISBLANK('Paste Full'!AN60),"",'Paste Full'!AN60)</f>
        <v/>
      </c>
      <c r="AC60" s="4">
        <f>IF(ISBLANK('Paste Full'!AO60),"",'Paste Full'!AO60)</f>
        <v/>
      </c>
      <c r="AD60" s="4">
        <f>IF(ISBLANK('Paste Full'!AP60),"",'Paste Full'!AP60)</f>
        <v/>
      </c>
      <c r="AE60" s="4">
        <f>IF(ISBLANK('Paste Full'!AQ60),"",'Paste Full'!AQ60)</f>
        <v/>
      </c>
      <c r="AF60" s="4">
        <f>IF(ISBLANK('Paste Full'!AR60),"",'Paste Full'!AR60)</f>
        <v/>
      </c>
      <c r="AG60" s="4">
        <f>IF(ISBLANK('Paste Full'!AS60),"",'Paste Full'!AS60)</f>
        <v/>
      </c>
      <c r="AH60" s="4">
        <f>IF(ISBLANK('Paste Full'!AV60),"",'Paste Full'!AV60)</f>
        <v/>
      </c>
      <c r="AI60" s="4">
        <f>IF(ISBLANK('Paste Full'!AT60),"",'Paste Full'!AT60)</f>
        <v/>
      </c>
      <c r="AJ60" s="4">
        <f>IF(ISBLANK('Paste Full'!AU60),"",'Paste Full'!AU60)</f>
        <v/>
      </c>
      <c r="AK60" s="4">
        <f>IF(ISBLANK('Paste Full'!AW60),"",'Paste Full'!AW60)</f>
        <v/>
      </c>
      <c r="AL60" s="5">
        <f>IF(ISBLANK('Paste Full'!AX60),"",'Paste Full'!AX60)</f>
        <v/>
      </c>
      <c r="AM60" s="5">
        <f>IF(ISBLANK('Paste Full'!AY60),"",'Paste Full'!AY60)</f>
        <v/>
      </c>
      <c r="AN60" s="5">
        <f>IF(ISBLANK('Paste Full'!AZ60),"",'Paste Full'!AZ60)</f>
        <v/>
      </c>
      <c r="AO60" s="5">
        <f>IF(ISBLANK('Paste Full'!BA60),"",'Paste Full'!BA60)</f>
        <v/>
      </c>
      <c r="AP60" s="5">
        <f>IF(ISBLANK('Paste Full'!BB60),"",'Paste Full'!BB60)</f>
        <v/>
      </c>
      <c r="AQ60" s="5">
        <f>IF(ISBLANK('Paste Full'!BC60),"",'Paste Full'!BC60)</f>
        <v/>
      </c>
      <c r="AR60" s="5">
        <f>IF(ISBLANK('Paste Full'!BD60),"",'Paste Full'!BD60)</f>
        <v/>
      </c>
      <c r="AS60" s="5">
        <f>IF(ISBLANK('Paste Full'!BE60),"",'Paste Full'!BE60)</f>
        <v/>
      </c>
      <c r="AT60" s="5">
        <f>IF(ISBLANK('Paste Full'!BF60),"",'Paste Full'!BF60)</f>
        <v/>
      </c>
      <c r="AU60" s="5">
        <f>IF(ISBLANK('Paste Full'!BG60),"",'Paste Full'!BG60)</f>
        <v/>
      </c>
      <c r="AV60" s="5">
        <f>IF(ISBLANK('Paste Full'!BH60),"",'Paste Full'!BH60)</f>
        <v/>
      </c>
      <c r="AW60" s="5">
        <f>IF(ISBLANK('Paste Full'!BI60),"",'Paste Full'!BI60)</f>
        <v/>
      </c>
      <c r="AX60" s="5">
        <f>IF(ISBLANK('Paste Full'!BJ60),"",'Paste Full'!BJ60)</f>
        <v/>
      </c>
      <c r="AY60" s="5">
        <f>IF(ISBLANK('Paste Full'!BK60),"",'Paste Full'!BK60)</f>
        <v/>
      </c>
      <c r="AZ60" s="6">
        <f>IF(ISBLANK('Paste Full'!BM60),"",'Paste Full'!BM60)</f>
        <v/>
      </c>
      <c r="BA60" s="6">
        <f>IF(ISBLANK('Paste Full'!BN60),"",'Paste Full'!BN60)</f>
        <v/>
      </c>
      <c r="BB60" s="6">
        <f>IF(ISBLANK('Paste Full'!BO60),"",'Paste Full'!BO60)</f>
        <v/>
      </c>
      <c r="BC60" s="6">
        <f>IF(ISBLANK('Paste Full'!BP60),"",'Paste Full'!BP60)</f>
        <v/>
      </c>
      <c r="BD60" s="6">
        <f>IF(ISBLANK('Paste Full'!BR60),"",'Paste Full'!BR60)</f>
        <v/>
      </c>
      <c r="BE60" s="6">
        <f>IF(ISBLANK('Paste Full'!BS60),"",'Paste Full'!BS60)</f>
        <v/>
      </c>
      <c r="BF60" s="6">
        <f>IF(ISBLANK('Paste Full'!BU60),"",'Paste Full'!BU60)</f>
        <v/>
      </c>
      <c r="BG60" s="6">
        <f>IF(ISBLANK('Paste Full'!BV60),"",'Paste Full'!BV60)</f>
        <v/>
      </c>
      <c r="BH60" s="6">
        <f>IF(ISBLANK('Paste Full'!BX60),"",'Paste Full'!BX60)</f>
        <v/>
      </c>
      <c r="BI60" s="6">
        <f>IF(ISBLANK('Paste Full'!BY60),"",'Paste Full'!BY60)</f>
        <v/>
      </c>
      <c r="BJ60" s="13">
        <f>IF(ISBLANK('Paste Full'!BL60),"",'Paste Full'!BL60)</f>
        <v/>
      </c>
      <c r="BK60" s="13">
        <f>IF(ISBLANK('Paste Full'!BQ60),"",'Paste Full'!BQ60)</f>
        <v/>
      </c>
      <c r="BL60" s="13">
        <f>IF(ISBLANK('Paste Full'!BT60),"",'Paste Full'!BT60)</f>
        <v/>
      </c>
      <c r="BM60" s="13">
        <f>IF(ISBLANK('Paste Full'!BW60),"",'Paste Full'!BW60)</f>
        <v/>
      </c>
    </row>
    <row r="61">
      <c r="A61">
        <f>IF(ISBLANK('Paste Full'!C61),"",'Paste Full'!C61)</f>
        <v/>
      </c>
      <c r="B61">
        <f>INDEX($J$1:$R$1, MATCH(MAX($J61:$R61), $J61:$R61, 0))</f>
        <v/>
      </c>
      <c r="C61" s="45">
        <f>IF(ISBLANK('Paste Full'!H61),"",'Paste Full'!H61)</f>
        <v/>
      </c>
      <c r="D61" s="45">
        <f>IF(ISBLANK('Paste Full'!F61),"",'Paste Full'!F61)</f>
        <v/>
      </c>
      <c r="E61" s="45">
        <f>IF(ISBLANK('Paste Full'!G61),"",'Paste Full'!G61)</f>
        <v/>
      </c>
      <c r="F61" s="21">
        <f>IF(ISBLANK('Paste Full'!E61),"",'Paste Full'!E61)</f>
        <v/>
      </c>
      <c r="G61">
        <f>IF(ISBLANK('Paste Full'!CI61),"",'Paste Full'!CI61)</f>
        <v/>
      </c>
      <c r="H61" s="21">
        <f>IF(ISBLANK('Paste Full'!J61),"",'Paste Full'!J61)</f>
        <v/>
      </c>
      <c r="I61" s="21">
        <f>IF(ISBLANK('Paste Full'!D61),"",'Paste Full'!D61)</f>
        <v/>
      </c>
      <c r="J61" s="14">
        <f>AVERAGE(SUMPRODUCT($S61:$BM61,AttWeights!$C$10:$AW$10)/SUM(AttWeights!$C$10:$AW$10),SUMPRODUCT($S61:$BM61,AttWeights!$C$17:$AW$17)/SUM(AttWeights!$C$17:$AW$17))*10</f>
        <v/>
      </c>
      <c r="K61" s="14">
        <f>AVERAGE(SUMPRODUCT($S61:$BM61,AttWeights!$C$7:$AW$7)/SUM(AttWeights!$C$7:$AW$7),SUMPRODUCT($S61:$BM61,AttWeights!$C$15:$AW$15)/SUM(AttWeights!$C$15:$AW$15))*10</f>
        <v/>
      </c>
      <c r="L61" s="14">
        <f>AVERAGE(SUMPRODUCT($S61:$BM61,AttWeights!$C$8:$AW$8)/SUM(AttWeights!$C$8:$AW$8),SUMPRODUCT($S61:$BM61,AttWeights!$C$16:$AW$16)/SUM(AttWeights!$C$16:$AW$16))*10</f>
        <v/>
      </c>
      <c r="M61" s="14">
        <f>AVERAGE(SUMPRODUCT($S61:$BM61,AttWeights!$C$9:$AW$9)/SUM(AttWeights!$C$9:$AW$9),SUMPRODUCT($S61:$BM61,AttWeights!$C$15:$AW$15)/SUM(AttWeights!$C$15:$AW$15))*10</f>
        <v/>
      </c>
      <c r="N61" s="14">
        <f>AVERAGE(SUMPRODUCT($S61:$BM61,AttWeights!$C$6:$AW$6)/SUM(AttWeights!$C$6:$AW$6),SUMPRODUCT($S61:$BM61,AttWeights!$C$14:$AW$14)/SUM(AttWeights!$C$14:$AW$14))*10</f>
        <v/>
      </c>
      <c r="O61" s="14">
        <f>AVERAGE(SUMPRODUCT($S61:$BM61,AttWeights!$C$5:$AW$5)/SUM(AttWeights!$C$5:$AW$5),SUMPRODUCT($S61:$BM61,AttWeights!$C$14:$AW$14)/SUM(AttWeights!$C$14:$AW$14))*10</f>
        <v/>
      </c>
      <c r="P61" s="14">
        <f>AVERAGE(SUMPRODUCT($S61:$BM61,AttWeights!$C$4:$AW$4)/SUM(AttWeights!$C$4:$AW$4),SUMPRODUCT($S61:$BM61,AttWeights!$C$13:$AW$13)/SUM(AttWeights!$C$13:$AW$13))*10</f>
        <v/>
      </c>
      <c r="Q61" s="14">
        <f>AVERAGE(SUMPRODUCT($S61:$BM61,AttWeights!$C$3:$AW$3)/SUM(AttWeights!$C$3:$AW$3),SUMPRODUCT($S61:$BM61,AttWeights!$C$12:$AW$12)/SUM(AttWeights!$C$12:$AW$12))*10</f>
        <v/>
      </c>
      <c r="R61" s="14">
        <f>AVERAGE(SUMPRODUCT($S61:$BM61,AttWeights!$C$2:$AW$2)/SUM(AttWeights!$C$2:$AW$2),SUMPRODUCT($S61:$BM61,AttWeights!$C$11:$AW$11)/SUM(AttWeights!$C$11:$AW$11))*10</f>
        <v/>
      </c>
      <c r="S61" s="3">
        <f>IF(ISBLANK('Paste Full'!AC61),"",'Paste Full'!AC61)</f>
        <v/>
      </c>
      <c r="T61" s="3">
        <f>IF(ISBLANK('Paste Full'!AD61),"",'Paste Full'!AD61)</f>
        <v/>
      </c>
      <c r="U61" s="3">
        <f>IF(ISBLANK('Paste Full'!AE61),"",'Paste Full'!AE61)</f>
        <v/>
      </c>
      <c r="V61" s="3">
        <f>IF(ISBLANK('Paste Full'!AF61),"",'Paste Full'!AF61)</f>
        <v/>
      </c>
      <c r="W61" s="3">
        <f>IF(ISBLANK('Paste Full'!AH61),"",'Paste Full'!AH61)</f>
        <v/>
      </c>
      <c r="X61" s="3">
        <f>IF(ISBLANK('Paste Full'!AI61),"",'Paste Full'!AI61)</f>
        <v/>
      </c>
      <c r="Y61" s="3">
        <f>IF(ISBLANK('Paste Full'!AK61),"",'Paste Full'!AK61)</f>
        <v/>
      </c>
      <c r="Z61" s="3">
        <f>IF(ISBLANK('Paste Full'!AL61),"",'Paste Full'!AL61)</f>
        <v/>
      </c>
      <c r="AA61" s="4">
        <f>IF(ISBLANK('Paste Full'!AM61),"",'Paste Full'!AM61)</f>
        <v/>
      </c>
      <c r="AB61" s="4">
        <f>IF(ISBLANK('Paste Full'!AN61),"",'Paste Full'!AN61)</f>
        <v/>
      </c>
      <c r="AC61" s="4">
        <f>IF(ISBLANK('Paste Full'!AO61),"",'Paste Full'!AO61)</f>
        <v/>
      </c>
      <c r="AD61" s="4">
        <f>IF(ISBLANK('Paste Full'!AP61),"",'Paste Full'!AP61)</f>
        <v/>
      </c>
      <c r="AE61" s="4">
        <f>IF(ISBLANK('Paste Full'!AQ61),"",'Paste Full'!AQ61)</f>
        <v/>
      </c>
      <c r="AF61" s="4">
        <f>IF(ISBLANK('Paste Full'!AR61),"",'Paste Full'!AR61)</f>
        <v/>
      </c>
      <c r="AG61" s="4">
        <f>IF(ISBLANK('Paste Full'!AS61),"",'Paste Full'!AS61)</f>
        <v/>
      </c>
      <c r="AH61" s="4">
        <f>IF(ISBLANK('Paste Full'!AV61),"",'Paste Full'!AV61)</f>
        <v/>
      </c>
      <c r="AI61" s="4">
        <f>IF(ISBLANK('Paste Full'!AT61),"",'Paste Full'!AT61)</f>
        <v/>
      </c>
      <c r="AJ61" s="4">
        <f>IF(ISBLANK('Paste Full'!AU61),"",'Paste Full'!AU61)</f>
        <v/>
      </c>
      <c r="AK61" s="4">
        <f>IF(ISBLANK('Paste Full'!AW61),"",'Paste Full'!AW61)</f>
        <v/>
      </c>
      <c r="AL61" s="5">
        <f>IF(ISBLANK('Paste Full'!AX61),"",'Paste Full'!AX61)</f>
        <v/>
      </c>
      <c r="AM61" s="5">
        <f>IF(ISBLANK('Paste Full'!AY61),"",'Paste Full'!AY61)</f>
        <v/>
      </c>
      <c r="AN61" s="5">
        <f>IF(ISBLANK('Paste Full'!AZ61),"",'Paste Full'!AZ61)</f>
        <v/>
      </c>
      <c r="AO61" s="5">
        <f>IF(ISBLANK('Paste Full'!BA61),"",'Paste Full'!BA61)</f>
        <v/>
      </c>
      <c r="AP61" s="5">
        <f>IF(ISBLANK('Paste Full'!BB61),"",'Paste Full'!BB61)</f>
        <v/>
      </c>
      <c r="AQ61" s="5">
        <f>IF(ISBLANK('Paste Full'!BC61),"",'Paste Full'!BC61)</f>
        <v/>
      </c>
      <c r="AR61" s="5">
        <f>IF(ISBLANK('Paste Full'!BD61),"",'Paste Full'!BD61)</f>
        <v/>
      </c>
      <c r="AS61" s="5">
        <f>IF(ISBLANK('Paste Full'!BE61),"",'Paste Full'!BE61)</f>
        <v/>
      </c>
      <c r="AT61" s="5">
        <f>IF(ISBLANK('Paste Full'!BF61),"",'Paste Full'!BF61)</f>
        <v/>
      </c>
      <c r="AU61" s="5">
        <f>IF(ISBLANK('Paste Full'!BG61),"",'Paste Full'!BG61)</f>
        <v/>
      </c>
      <c r="AV61" s="5">
        <f>IF(ISBLANK('Paste Full'!BH61),"",'Paste Full'!BH61)</f>
        <v/>
      </c>
      <c r="AW61" s="5">
        <f>IF(ISBLANK('Paste Full'!BI61),"",'Paste Full'!BI61)</f>
        <v/>
      </c>
      <c r="AX61" s="5">
        <f>IF(ISBLANK('Paste Full'!BJ61),"",'Paste Full'!BJ61)</f>
        <v/>
      </c>
      <c r="AY61" s="5">
        <f>IF(ISBLANK('Paste Full'!BK61),"",'Paste Full'!BK61)</f>
        <v/>
      </c>
      <c r="AZ61" s="6">
        <f>IF(ISBLANK('Paste Full'!BM61),"",'Paste Full'!BM61)</f>
        <v/>
      </c>
      <c r="BA61" s="6">
        <f>IF(ISBLANK('Paste Full'!BN61),"",'Paste Full'!BN61)</f>
        <v/>
      </c>
      <c r="BB61" s="6">
        <f>IF(ISBLANK('Paste Full'!BO61),"",'Paste Full'!BO61)</f>
        <v/>
      </c>
      <c r="BC61" s="6">
        <f>IF(ISBLANK('Paste Full'!BP61),"",'Paste Full'!BP61)</f>
        <v/>
      </c>
      <c r="BD61" s="6">
        <f>IF(ISBLANK('Paste Full'!BR61),"",'Paste Full'!BR61)</f>
        <v/>
      </c>
      <c r="BE61" s="6">
        <f>IF(ISBLANK('Paste Full'!BS61),"",'Paste Full'!BS61)</f>
        <v/>
      </c>
      <c r="BF61" s="6">
        <f>IF(ISBLANK('Paste Full'!BU61),"",'Paste Full'!BU61)</f>
        <v/>
      </c>
      <c r="BG61" s="6">
        <f>IF(ISBLANK('Paste Full'!BV61),"",'Paste Full'!BV61)</f>
        <v/>
      </c>
      <c r="BH61" s="6">
        <f>IF(ISBLANK('Paste Full'!BX61),"",'Paste Full'!BX61)</f>
        <v/>
      </c>
      <c r="BI61" s="6">
        <f>IF(ISBLANK('Paste Full'!BY61),"",'Paste Full'!BY61)</f>
        <v/>
      </c>
      <c r="BJ61" s="13">
        <f>IF(ISBLANK('Paste Full'!BL61),"",'Paste Full'!BL61)</f>
        <v/>
      </c>
      <c r="BK61" s="13">
        <f>IF(ISBLANK('Paste Full'!BQ61),"",'Paste Full'!BQ61)</f>
        <v/>
      </c>
      <c r="BL61" s="13">
        <f>IF(ISBLANK('Paste Full'!BT61),"",'Paste Full'!BT61)</f>
        <v/>
      </c>
      <c r="BM61" s="13">
        <f>IF(ISBLANK('Paste Full'!BW61),"",'Paste Full'!BW61)</f>
        <v/>
      </c>
    </row>
    <row r="62">
      <c r="A62">
        <f>IF(ISBLANK('Paste Full'!C62),"",'Paste Full'!C62)</f>
        <v/>
      </c>
      <c r="B62">
        <f>INDEX($J$1:$R$1, MATCH(MAX($J62:$R62), $J62:$R62, 0))</f>
        <v/>
      </c>
      <c r="C62" s="45">
        <f>IF(ISBLANK('Paste Full'!H62),"",'Paste Full'!H62)</f>
        <v/>
      </c>
      <c r="D62" s="45">
        <f>IF(ISBLANK('Paste Full'!F62),"",'Paste Full'!F62)</f>
        <v/>
      </c>
      <c r="E62" s="45">
        <f>IF(ISBLANK('Paste Full'!G62),"",'Paste Full'!G62)</f>
        <v/>
      </c>
      <c r="F62" s="21">
        <f>IF(ISBLANK('Paste Full'!E62),"",'Paste Full'!E62)</f>
        <v/>
      </c>
      <c r="G62">
        <f>IF(ISBLANK('Paste Full'!CI62),"",'Paste Full'!CI62)</f>
        <v/>
      </c>
      <c r="H62" s="21">
        <f>IF(ISBLANK('Paste Full'!J62),"",'Paste Full'!J62)</f>
        <v/>
      </c>
      <c r="I62" s="21">
        <f>IF(ISBLANK('Paste Full'!D62),"",'Paste Full'!D62)</f>
        <v/>
      </c>
      <c r="J62" s="14">
        <f>AVERAGE(SUMPRODUCT($S62:$BM62,AttWeights!$C$10:$AW$10)/SUM(AttWeights!$C$10:$AW$10),SUMPRODUCT($S62:$BM62,AttWeights!$C$17:$AW$17)/SUM(AttWeights!$C$17:$AW$17))*10</f>
        <v/>
      </c>
      <c r="K62" s="14">
        <f>AVERAGE(SUMPRODUCT($S62:$BM62,AttWeights!$C$7:$AW$7)/SUM(AttWeights!$C$7:$AW$7),SUMPRODUCT($S62:$BM62,AttWeights!$C$15:$AW$15)/SUM(AttWeights!$C$15:$AW$15))*10</f>
        <v/>
      </c>
      <c r="L62" s="14">
        <f>AVERAGE(SUMPRODUCT($S62:$BM62,AttWeights!$C$8:$AW$8)/SUM(AttWeights!$C$8:$AW$8),SUMPRODUCT($S62:$BM62,AttWeights!$C$16:$AW$16)/SUM(AttWeights!$C$16:$AW$16))*10</f>
        <v/>
      </c>
      <c r="M62" s="14">
        <f>AVERAGE(SUMPRODUCT($S62:$BM62,AttWeights!$C$9:$AW$9)/SUM(AttWeights!$C$9:$AW$9),SUMPRODUCT($S62:$BM62,AttWeights!$C$15:$AW$15)/SUM(AttWeights!$C$15:$AW$15))*10</f>
        <v/>
      </c>
      <c r="N62" s="14">
        <f>AVERAGE(SUMPRODUCT($S62:$BM62,AttWeights!$C$6:$AW$6)/SUM(AttWeights!$C$6:$AW$6),SUMPRODUCT($S62:$BM62,AttWeights!$C$14:$AW$14)/SUM(AttWeights!$C$14:$AW$14))*10</f>
        <v/>
      </c>
      <c r="O62" s="14">
        <f>AVERAGE(SUMPRODUCT($S62:$BM62,AttWeights!$C$5:$AW$5)/SUM(AttWeights!$C$5:$AW$5),SUMPRODUCT($S62:$BM62,AttWeights!$C$14:$AW$14)/SUM(AttWeights!$C$14:$AW$14))*10</f>
        <v/>
      </c>
      <c r="P62" s="14">
        <f>AVERAGE(SUMPRODUCT($S62:$BM62,AttWeights!$C$4:$AW$4)/SUM(AttWeights!$C$4:$AW$4),SUMPRODUCT($S62:$BM62,AttWeights!$C$13:$AW$13)/SUM(AttWeights!$C$13:$AW$13))*10</f>
        <v/>
      </c>
      <c r="Q62" s="14">
        <f>AVERAGE(SUMPRODUCT($S62:$BM62,AttWeights!$C$3:$AW$3)/SUM(AttWeights!$C$3:$AW$3),SUMPRODUCT($S62:$BM62,AttWeights!$C$12:$AW$12)/SUM(AttWeights!$C$12:$AW$12))*10</f>
        <v/>
      </c>
      <c r="R62" s="14">
        <f>AVERAGE(SUMPRODUCT($S62:$BM62,AttWeights!$C$2:$AW$2)/SUM(AttWeights!$C$2:$AW$2),SUMPRODUCT($S62:$BM62,AttWeights!$C$11:$AW$11)/SUM(AttWeights!$C$11:$AW$11))*10</f>
        <v/>
      </c>
      <c r="S62" s="3">
        <f>IF(ISBLANK('Paste Full'!AC62),"",'Paste Full'!AC62)</f>
        <v/>
      </c>
      <c r="T62" s="3">
        <f>IF(ISBLANK('Paste Full'!AD62),"",'Paste Full'!AD62)</f>
        <v/>
      </c>
      <c r="U62" s="3">
        <f>IF(ISBLANK('Paste Full'!AE62),"",'Paste Full'!AE62)</f>
        <v/>
      </c>
      <c r="V62" s="3">
        <f>IF(ISBLANK('Paste Full'!AF62),"",'Paste Full'!AF62)</f>
        <v/>
      </c>
      <c r="W62" s="3">
        <f>IF(ISBLANK('Paste Full'!AH62),"",'Paste Full'!AH62)</f>
        <v/>
      </c>
      <c r="X62" s="3">
        <f>IF(ISBLANK('Paste Full'!AI62),"",'Paste Full'!AI62)</f>
        <v/>
      </c>
      <c r="Y62" s="3">
        <f>IF(ISBLANK('Paste Full'!AK62),"",'Paste Full'!AK62)</f>
        <v/>
      </c>
      <c r="Z62" s="3">
        <f>IF(ISBLANK('Paste Full'!AL62),"",'Paste Full'!AL62)</f>
        <v/>
      </c>
      <c r="AA62" s="4">
        <f>IF(ISBLANK('Paste Full'!AM62),"",'Paste Full'!AM62)</f>
        <v/>
      </c>
      <c r="AB62" s="4">
        <f>IF(ISBLANK('Paste Full'!AN62),"",'Paste Full'!AN62)</f>
        <v/>
      </c>
      <c r="AC62" s="4">
        <f>IF(ISBLANK('Paste Full'!AO62),"",'Paste Full'!AO62)</f>
        <v/>
      </c>
      <c r="AD62" s="4">
        <f>IF(ISBLANK('Paste Full'!AP62),"",'Paste Full'!AP62)</f>
        <v/>
      </c>
      <c r="AE62" s="4">
        <f>IF(ISBLANK('Paste Full'!AQ62),"",'Paste Full'!AQ62)</f>
        <v/>
      </c>
      <c r="AF62" s="4">
        <f>IF(ISBLANK('Paste Full'!AR62),"",'Paste Full'!AR62)</f>
        <v/>
      </c>
      <c r="AG62" s="4">
        <f>IF(ISBLANK('Paste Full'!AS62),"",'Paste Full'!AS62)</f>
        <v/>
      </c>
      <c r="AH62" s="4">
        <f>IF(ISBLANK('Paste Full'!AV62),"",'Paste Full'!AV62)</f>
        <v/>
      </c>
      <c r="AI62" s="4">
        <f>IF(ISBLANK('Paste Full'!AT62),"",'Paste Full'!AT62)</f>
        <v/>
      </c>
      <c r="AJ62" s="4">
        <f>IF(ISBLANK('Paste Full'!AU62),"",'Paste Full'!AU62)</f>
        <v/>
      </c>
      <c r="AK62" s="4">
        <f>IF(ISBLANK('Paste Full'!AW62),"",'Paste Full'!AW62)</f>
        <v/>
      </c>
      <c r="AL62" s="5">
        <f>IF(ISBLANK('Paste Full'!AX62),"",'Paste Full'!AX62)</f>
        <v/>
      </c>
      <c r="AM62" s="5">
        <f>IF(ISBLANK('Paste Full'!AY62),"",'Paste Full'!AY62)</f>
        <v/>
      </c>
      <c r="AN62" s="5">
        <f>IF(ISBLANK('Paste Full'!AZ62),"",'Paste Full'!AZ62)</f>
        <v/>
      </c>
      <c r="AO62" s="5">
        <f>IF(ISBLANK('Paste Full'!BA62),"",'Paste Full'!BA62)</f>
        <v/>
      </c>
      <c r="AP62" s="5">
        <f>IF(ISBLANK('Paste Full'!BB62),"",'Paste Full'!BB62)</f>
        <v/>
      </c>
      <c r="AQ62" s="5">
        <f>IF(ISBLANK('Paste Full'!BC62),"",'Paste Full'!BC62)</f>
        <v/>
      </c>
      <c r="AR62" s="5">
        <f>IF(ISBLANK('Paste Full'!BD62),"",'Paste Full'!BD62)</f>
        <v/>
      </c>
      <c r="AS62" s="5">
        <f>IF(ISBLANK('Paste Full'!BE62),"",'Paste Full'!BE62)</f>
        <v/>
      </c>
      <c r="AT62" s="5">
        <f>IF(ISBLANK('Paste Full'!BF62),"",'Paste Full'!BF62)</f>
        <v/>
      </c>
      <c r="AU62" s="5">
        <f>IF(ISBLANK('Paste Full'!BG62),"",'Paste Full'!BG62)</f>
        <v/>
      </c>
      <c r="AV62" s="5">
        <f>IF(ISBLANK('Paste Full'!BH62),"",'Paste Full'!BH62)</f>
        <v/>
      </c>
      <c r="AW62" s="5">
        <f>IF(ISBLANK('Paste Full'!BI62),"",'Paste Full'!BI62)</f>
        <v/>
      </c>
      <c r="AX62" s="5">
        <f>IF(ISBLANK('Paste Full'!BJ62),"",'Paste Full'!BJ62)</f>
        <v/>
      </c>
      <c r="AY62" s="5">
        <f>IF(ISBLANK('Paste Full'!BK62),"",'Paste Full'!BK62)</f>
        <v/>
      </c>
      <c r="AZ62" s="6">
        <f>IF(ISBLANK('Paste Full'!BM62),"",'Paste Full'!BM62)</f>
        <v/>
      </c>
      <c r="BA62" s="6">
        <f>IF(ISBLANK('Paste Full'!BN62),"",'Paste Full'!BN62)</f>
        <v/>
      </c>
      <c r="BB62" s="6">
        <f>IF(ISBLANK('Paste Full'!BO62),"",'Paste Full'!BO62)</f>
        <v/>
      </c>
      <c r="BC62" s="6">
        <f>IF(ISBLANK('Paste Full'!BP62),"",'Paste Full'!BP62)</f>
        <v/>
      </c>
      <c r="BD62" s="6">
        <f>IF(ISBLANK('Paste Full'!BR62),"",'Paste Full'!BR62)</f>
        <v/>
      </c>
      <c r="BE62" s="6">
        <f>IF(ISBLANK('Paste Full'!BS62),"",'Paste Full'!BS62)</f>
        <v/>
      </c>
      <c r="BF62" s="6">
        <f>IF(ISBLANK('Paste Full'!BU62),"",'Paste Full'!BU62)</f>
        <v/>
      </c>
      <c r="BG62" s="6">
        <f>IF(ISBLANK('Paste Full'!BV62),"",'Paste Full'!BV62)</f>
        <v/>
      </c>
      <c r="BH62" s="6">
        <f>IF(ISBLANK('Paste Full'!BX62),"",'Paste Full'!BX62)</f>
        <v/>
      </c>
      <c r="BI62" s="6">
        <f>IF(ISBLANK('Paste Full'!BY62),"",'Paste Full'!BY62)</f>
        <v/>
      </c>
      <c r="BJ62" s="13">
        <f>IF(ISBLANK('Paste Full'!BL62),"",'Paste Full'!BL62)</f>
        <v/>
      </c>
      <c r="BK62" s="13">
        <f>IF(ISBLANK('Paste Full'!BQ62),"",'Paste Full'!BQ62)</f>
        <v/>
      </c>
      <c r="BL62" s="13">
        <f>IF(ISBLANK('Paste Full'!BT62),"",'Paste Full'!BT62)</f>
        <v/>
      </c>
      <c r="BM62" s="13">
        <f>IF(ISBLANK('Paste Full'!BW62),"",'Paste Full'!BW62)</f>
        <v/>
      </c>
    </row>
    <row r="63">
      <c r="A63">
        <f>IF(ISBLANK('Paste Full'!C63),"",'Paste Full'!C63)</f>
        <v/>
      </c>
      <c r="B63">
        <f>INDEX($J$1:$R$1, MATCH(MAX($J63:$R63), $J63:$R63, 0))</f>
        <v/>
      </c>
      <c r="C63" s="45">
        <f>IF(ISBLANK('Paste Full'!H63),"",'Paste Full'!H63)</f>
        <v/>
      </c>
      <c r="D63" s="45">
        <f>IF(ISBLANK('Paste Full'!F63),"",'Paste Full'!F63)</f>
        <v/>
      </c>
      <c r="E63" s="45">
        <f>IF(ISBLANK('Paste Full'!G63),"",'Paste Full'!G63)</f>
        <v/>
      </c>
      <c r="F63" s="21">
        <f>IF(ISBLANK('Paste Full'!E63),"",'Paste Full'!E63)</f>
        <v/>
      </c>
      <c r="G63">
        <f>IF(ISBLANK('Paste Full'!CI63),"",'Paste Full'!CI63)</f>
        <v/>
      </c>
      <c r="H63" s="21">
        <f>IF(ISBLANK('Paste Full'!J63),"",'Paste Full'!J63)</f>
        <v/>
      </c>
      <c r="I63" s="21">
        <f>IF(ISBLANK('Paste Full'!D63),"",'Paste Full'!D63)</f>
        <v/>
      </c>
      <c r="J63" s="14">
        <f>AVERAGE(SUMPRODUCT($S63:$BM63,AttWeights!$C$10:$AW$10)/SUM(AttWeights!$C$10:$AW$10),SUMPRODUCT($S63:$BM63,AttWeights!$C$17:$AW$17)/SUM(AttWeights!$C$17:$AW$17))*10</f>
        <v/>
      </c>
      <c r="K63" s="14">
        <f>AVERAGE(SUMPRODUCT($S63:$BM63,AttWeights!$C$7:$AW$7)/SUM(AttWeights!$C$7:$AW$7),SUMPRODUCT($S63:$BM63,AttWeights!$C$15:$AW$15)/SUM(AttWeights!$C$15:$AW$15))*10</f>
        <v/>
      </c>
      <c r="L63" s="14">
        <f>AVERAGE(SUMPRODUCT($S63:$BM63,AttWeights!$C$8:$AW$8)/SUM(AttWeights!$C$8:$AW$8),SUMPRODUCT($S63:$BM63,AttWeights!$C$16:$AW$16)/SUM(AttWeights!$C$16:$AW$16))*10</f>
        <v/>
      </c>
      <c r="M63" s="14">
        <f>AVERAGE(SUMPRODUCT($S63:$BM63,AttWeights!$C$9:$AW$9)/SUM(AttWeights!$C$9:$AW$9),SUMPRODUCT($S63:$BM63,AttWeights!$C$15:$AW$15)/SUM(AttWeights!$C$15:$AW$15))*10</f>
        <v/>
      </c>
      <c r="N63" s="14">
        <f>AVERAGE(SUMPRODUCT($S63:$BM63,AttWeights!$C$6:$AW$6)/SUM(AttWeights!$C$6:$AW$6),SUMPRODUCT($S63:$BM63,AttWeights!$C$14:$AW$14)/SUM(AttWeights!$C$14:$AW$14))*10</f>
        <v/>
      </c>
      <c r="O63" s="14">
        <f>AVERAGE(SUMPRODUCT($S63:$BM63,AttWeights!$C$5:$AW$5)/SUM(AttWeights!$C$5:$AW$5),SUMPRODUCT($S63:$BM63,AttWeights!$C$14:$AW$14)/SUM(AttWeights!$C$14:$AW$14))*10</f>
        <v/>
      </c>
      <c r="P63" s="14">
        <f>AVERAGE(SUMPRODUCT($S63:$BM63,AttWeights!$C$4:$AW$4)/SUM(AttWeights!$C$4:$AW$4),SUMPRODUCT($S63:$BM63,AttWeights!$C$13:$AW$13)/SUM(AttWeights!$C$13:$AW$13))*10</f>
        <v/>
      </c>
      <c r="Q63" s="14">
        <f>AVERAGE(SUMPRODUCT($S63:$BM63,AttWeights!$C$3:$AW$3)/SUM(AttWeights!$C$3:$AW$3),SUMPRODUCT($S63:$BM63,AttWeights!$C$12:$AW$12)/SUM(AttWeights!$C$12:$AW$12))*10</f>
        <v/>
      </c>
      <c r="R63" s="14">
        <f>AVERAGE(SUMPRODUCT($S63:$BM63,AttWeights!$C$2:$AW$2)/SUM(AttWeights!$C$2:$AW$2),SUMPRODUCT($S63:$BM63,AttWeights!$C$11:$AW$11)/SUM(AttWeights!$C$11:$AW$11))*10</f>
        <v/>
      </c>
      <c r="S63" s="3">
        <f>IF(ISBLANK('Paste Full'!AC63),"",'Paste Full'!AC63)</f>
        <v/>
      </c>
      <c r="T63" s="3">
        <f>IF(ISBLANK('Paste Full'!AD63),"",'Paste Full'!AD63)</f>
        <v/>
      </c>
      <c r="U63" s="3">
        <f>IF(ISBLANK('Paste Full'!AE63),"",'Paste Full'!AE63)</f>
        <v/>
      </c>
      <c r="V63" s="3">
        <f>IF(ISBLANK('Paste Full'!AF63),"",'Paste Full'!AF63)</f>
        <v/>
      </c>
      <c r="W63" s="3">
        <f>IF(ISBLANK('Paste Full'!AH63),"",'Paste Full'!AH63)</f>
        <v/>
      </c>
      <c r="X63" s="3">
        <f>IF(ISBLANK('Paste Full'!AI63),"",'Paste Full'!AI63)</f>
        <v/>
      </c>
      <c r="Y63" s="3">
        <f>IF(ISBLANK('Paste Full'!AK63),"",'Paste Full'!AK63)</f>
        <v/>
      </c>
      <c r="Z63" s="3">
        <f>IF(ISBLANK('Paste Full'!AL63),"",'Paste Full'!AL63)</f>
        <v/>
      </c>
      <c r="AA63" s="4">
        <f>IF(ISBLANK('Paste Full'!AM63),"",'Paste Full'!AM63)</f>
        <v/>
      </c>
      <c r="AB63" s="4">
        <f>IF(ISBLANK('Paste Full'!AN63),"",'Paste Full'!AN63)</f>
        <v/>
      </c>
      <c r="AC63" s="4">
        <f>IF(ISBLANK('Paste Full'!AO63),"",'Paste Full'!AO63)</f>
        <v/>
      </c>
      <c r="AD63" s="4">
        <f>IF(ISBLANK('Paste Full'!AP63),"",'Paste Full'!AP63)</f>
        <v/>
      </c>
      <c r="AE63" s="4">
        <f>IF(ISBLANK('Paste Full'!AQ63),"",'Paste Full'!AQ63)</f>
        <v/>
      </c>
      <c r="AF63" s="4">
        <f>IF(ISBLANK('Paste Full'!AR63),"",'Paste Full'!AR63)</f>
        <v/>
      </c>
      <c r="AG63" s="4">
        <f>IF(ISBLANK('Paste Full'!AS63),"",'Paste Full'!AS63)</f>
        <v/>
      </c>
      <c r="AH63" s="4">
        <f>IF(ISBLANK('Paste Full'!AV63),"",'Paste Full'!AV63)</f>
        <v/>
      </c>
      <c r="AI63" s="4">
        <f>IF(ISBLANK('Paste Full'!AT63),"",'Paste Full'!AT63)</f>
        <v/>
      </c>
      <c r="AJ63" s="4">
        <f>IF(ISBLANK('Paste Full'!AU63),"",'Paste Full'!AU63)</f>
        <v/>
      </c>
      <c r="AK63" s="4">
        <f>IF(ISBLANK('Paste Full'!AW63),"",'Paste Full'!AW63)</f>
        <v/>
      </c>
      <c r="AL63" s="5">
        <f>IF(ISBLANK('Paste Full'!AX63),"",'Paste Full'!AX63)</f>
        <v/>
      </c>
      <c r="AM63" s="5">
        <f>IF(ISBLANK('Paste Full'!AY63),"",'Paste Full'!AY63)</f>
        <v/>
      </c>
      <c r="AN63" s="5">
        <f>IF(ISBLANK('Paste Full'!AZ63),"",'Paste Full'!AZ63)</f>
        <v/>
      </c>
      <c r="AO63" s="5">
        <f>IF(ISBLANK('Paste Full'!BA63),"",'Paste Full'!BA63)</f>
        <v/>
      </c>
      <c r="AP63" s="5">
        <f>IF(ISBLANK('Paste Full'!BB63),"",'Paste Full'!BB63)</f>
        <v/>
      </c>
      <c r="AQ63" s="5">
        <f>IF(ISBLANK('Paste Full'!BC63),"",'Paste Full'!BC63)</f>
        <v/>
      </c>
      <c r="AR63" s="5">
        <f>IF(ISBLANK('Paste Full'!BD63),"",'Paste Full'!BD63)</f>
        <v/>
      </c>
      <c r="AS63" s="5">
        <f>IF(ISBLANK('Paste Full'!BE63),"",'Paste Full'!BE63)</f>
        <v/>
      </c>
      <c r="AT63" s="5">
        <f>IF(ISBLANK('Paste Full'!BF63),"",'Paste Full'!BF63)</f>
        <v/>
      </c>
      <c r="AU63" s="5">
        <f>IF(ISBLANK('Paste Full'!BG63),"",'Paste Full'!BG63)</f>
        <v/>
      </c>
      <c r="AV63" s="5">
        <f>IF(ISBLANK('Paste Full'!BH63),"",'Paste Full'!BH63)</f>
        <v/>
      </c>
      <c r="AW63" s="5">
        <f>IF(ISBLANK('Paste Full'!BI63),"",'Paste Full'!BI63)</f>
        <v/>
      </c>
      <c r="AX63" s="5">
        <f>IF(ISBLANK('Paste Full'!BJ63),"",'Paste Full'!BJ63)</f>
        <v/>
      </c>
      <c r="AY63" s="5">
        <f>IF(ISBLANK('Paste Full'!BK63),"",'Paste Full'!BK63)</f>
        <v/>
      </c>
      <c r="AZ63" s="6">
        <f>IF(ISBLANK('Paste Full'!BM63),"",'Paste Full'!BM63)</f>
        <v/>
      </c>
      <c r="BA63" s="6">
        <f>IF(ISBLANK('Paste Full'!BN63),"",'Paste Full'!BN63)</f>
        <v/>
      </c>
      <c r="BB63" s="6">
        <f>IF(ISBLANK('Paste Full'!BO63),"",'Paste Full'!BO63)</f>
        <v/>
      </c>
      <c r="BC63" s="6">
        <f>IF(ISBLANK('Paste Full'!BP63),"",'Paste Full'!BP63)</f>
        <v/>
      </c>
      <c r="BD63" s="6">
        <f>IF(ISBLANK('Paste Full'!BR63),"",'Paste Full'!BR63)</f>
        <v/>
      </c>
      <c r="BE63" s="6">
        <f>IF(ISBLANK('Paste Full'!BS63),"",'Paste Full'!BS63)</f>
        <v/>
      </c>
      <c r="BF63" s="6">
        <f>IF(ISBLANK('Paste Full'!BU63),"",'Paste Full'!BU63)</f>
        <v/>
      </c>
      <c r="BG63" s="6">
        <f>IF(ISBLANK('Paste Full'!BV63),"",'Paste Full'!BV63)</f>
        <v/>
      </c>
      <c r="BH63" s="6">
        <f>IF(ISBLANK('Paste Full'!BX63),"",'Paste Full'!BX63)</f>
        <v/>
      </c>
      <c r="BI63" s="6">
        <f>IF(ISBLANK('Paste Full'!BY63),"",'Paste Full'!BY63)</f>
        <v/>
      </c>
      <c r="BJ63" s="13">
        <f>IF(ISBLANK('Paste Full'!BL63),"",'Paste Full'!BL63)</f>
        <v/>
      </c>
      <c r="BK63" s="13">
        <f>IF(ISBLANK('Paste Full'!BQ63),"",'Paste Full'!BQ63)</f>
        <v/>
      </c>
      <c r="BL63" s="13">
        <f>IF(ISBLANK('Paste Full'!BT63),"",'Paste Full'!BT63)</f>
        <v/>
      </c>
      <c r="BM63" s="13">
        <f>IF(ISBLANK('Paste Full'!BW63),"",'Paste Full'!BW63)</f>
        <v/>
      </c>
    </row>
    <row r="64">
      <c r="A64">
        <f>IF(ISBLANK('Paste Full'!C64),"",'Paste Full'!C64)</f>
        <v/>
      </c>
      <c r="B64">
        <f>INDEX($J$1:$R$1, MATCH(MAX($J64:$R64), $J64:$R64, 0))</f>
        <v/>
      </c>
      <c r="C64" s="45">
        <f>IF(ISBLANK('Paste Full'!H64),"",'Paste Full'!H64)</f>
        <v/>
      </c>
      <c r="D64" s="45">
        <f>IF(ISBLANK('Paste Full'!F64),"",'Paste Full'!F64)</f>
        <v/>
      </c>
      <c r="E64" s="45">
        <f>IF(ISBLANK('Paste Full'!G64),"",'Paste Full'!G64)</f>
        <v/>
      </c>
      <c r="F64" s="21">
        <f>IF(ISBLANK('Paste Full'!E64),"",'Paste Full'!E64)</f>
        <v/>
      </c>
      <c r="G64">
        <f>IF(ISBLANK('Paste Full'!CI64),"",'Paste Full'!CI64)</f>
        <v/>
      </c>
      <c r="H64" s="21">
        <f>IF(ISBLANK('Paste Full'!J64),"",'Paste Full'!J64)</f>
        <v/>
      </c>
      <c r="I64" s="21">
        <f>IF(ISBLANK('Paste Full'!D64),"",'Paste Full'!D64)</f>
        <v/>
      </c>
      <c r="J64" s="14">
        <f>AVERAGE(SUMPRODUCT($S64:$BM64,AttWeights!$C$10:$AW$10)/SUM(AttWeights!$C$10:$AW$10),SUMPRODUCT($S64:$BM64,AttWeights!$C$17:$AW$17)/SUM(AttWeights!$C$17:$AW$17))*10</f>
        <v/>
      </c>
      <c r="K64" s="14">
        <f>AVERAGE(SUMPRODUCT($S64:$BM64,AttWeights!$C$7:$AW$7)/SUM(AttWeights!$C$7:$AW$7),SUMPRODUCT($S64:$BM64,AttWeights!$C$15:$AW$15)/SUM(AttWeights!$C$15:$AW$15))*10</f>
        <v/>
      </c>
      <c r="L64" s="14">
        <f>AVERAGE(SUMPRODUCT($S64:$BM64,AttWeights!$C$8:$AW$8)/SUM(AttWeights!$C$8:$AW$8),SUMPRODUCT($S64:$BM64,AttWeights!$C$16:$AW$16)/SUM(AttWeights!$C$16:$AW$16))*10</f>
        <v/>
      </c>
      <c r="M64" s="14">
        <f>AVERAGE(SUMPRODUCT($S64:$BM64,AttWeights!$C$9:$AW$9)/SUM(AttWeights!$C$9:$AW$9),SUMPRODUCT($S64:$BM64,AttWeights!$C$15:$AW$15)/SUM(AttWeights!$C$15:$AW$15))*10</f>
        <v/>
      </c>
      <c r="N64" s="14">
        <f>AVERAGE(SUMPRODUCT($S64:$BM64,AttWeights!$C$6:$AW$6)/SUM(AttWeights!$C$6:$AW$6),SUMPRODUCT($S64:$BM64,AttWeights!$C$14:$AW$14)/SUM(AttWeights!$C$14:$AW$14))*10</f>
        <v/>
      </c>
      <c r="O64" s="14">
        <f>AVERAGE(SUMPRODUCT($S64:$BM64,AttWeights!$C$5:$AW$5)/SUM(AttWeights!$C$5:$AW$5),SUMPRODUCT($S64:$BM64,AttWeights!$C$14:$AW$14)/SUM(AttWeights!$C$14:$AW$14))*10</f>
        <v/>
      </c>
      <c r="P64" s="14">
        <f>AVERAGE(SUMPRODUCT($S64:$BM64,AttWeights!$C$4:$AW$4)/SUM(AttWeights!$C$4:$AW$4),SUMPRODUCT($S64:$BM64,AttWeights!$C$13:$AW$13)/SUM(AttWeights!$C$13:$AW$13))*10</f>
        <v/>
      </c>
      <c r="Q64" s="14">
        <f>AVERAGE(SUMPRODUCT($S64:$BM64,AttWeights!$C$3:$AW$3)/SUM(AttWeights!$C$3:$AW$3),SUMPRODUCT($S64:$BM64,AttWeights!$C$12:$AW$12)/SUM(AttWeights!$C$12:$AW$12))*10</f>
        <v/>
      </c>
      <c r="R64" s="14">
        <f>AVERAGE(SUMPRODUCT($S64:$BM64,AttWeights!$C$2:$AW$2)/SUM(AttWeights!$C$2:$AW$2),SUMPRODUCT($S64:$BM64,AttWeights!$C$11:$AW$11)/SUM(AttWeights!$C$11:$AW$11))*10</f>
        <v/>
      </c>
      <c r="S64" s="3">
        <f>IF(ISBLANK('Paste Full'!AC64),"",'Paste Full'!AC64)</f>
        <v/>
      </c>
      <c r="T64" s="3">
        <f>IF(ISBLANK('Paste Full'!AD64),"",'Paste Full'!AD64)</f>
        <v/>
      </c>
      <c r="U64" s="3">
        <f>IF(ISBLANK('Paste Full'!AE64),"",'Paste Full'!AE64)</f>
        <v/>
      </c>
      <c r="V64" s="3">
        <f>IF(ISBLANK('Paste Full'!AF64),"",'Paste Full'!AF64)</f>
        <v/>
      </c>
      <c r="W64" s="3">
        <f>IF(ISBLANK('Paste Full'!AH64),"",'Paste Full'!AH64)</f>
        <v/>
      </c>
      <c r="X64" s="3">
        <f>IF(ISBLANK('Paste Full'!AI64),"",'Paste Full'!AI64)</f>
        <v/>
      </c>
      <c r="Y64" s="3">
        <f>IF(ISBLANK('Paste Full'!AK64),"",'Paste Full'!AK64)</f>
        <v/>
      </c>
      <c r="Z64" s="3">
        <f>IF(ISBLANK('Paste Full'!AL64),"",'Paste Full'!AL64)</f>
        <v/>
      </c>
      <c r="AA64" s="4">
        <f>IF(ISBLANK('Paste Full'!AM64),"",'Paste Full'!AM64)</f>
        <v/>
      </c>
      <c r="AB64" s="4">
        <f>IF(ISBLANK('Paste Full'!AN64),"",'Paste Full'!AN64)</f>
        <v/>
      </c>
      <c r="AC64" s="4">
        <f>IF(ISBLANK('Paste Full'!AO64),"",'Paste Full'!AO64)</f>
        <v/>
      </c>
      <c r="AD64" s="4">
        <f>IF(ISBLANK('Paste Full'!AP64),"",'Paste Full'!AP64)</f>
        <v/>
      </c>
      <c r="AE64" s="4">
        <f>IF(ISBLANK('Paste Full'!AQ64),"",'Paste Full'!AQ64)</f>
        <v/>
      </c>
      <c r="AF64" s="4">
        <f>IF(ISBLANK('Paste Full'!AR64),"",'Paste Full'!AR64)</f>
        <v/>
      </c>
      <c r="AG64" s="4">
        <f>IF(ISBLANK('Paste Full'!AS64),"",'Paste Full'!AS64)</f>
        <v/>
      </c>
      <c r="AH64" s="4">
        <f>IF(ISBLANK('Paste Full'!AV64),"",'Paste Full'!AV64)</f>
        <v/>
      </c>
      <c r="AI64" s="4">
        <f>IF(ISBLANK('Paste Full'!AT64),"",'Paste Full'!AT64)</f>
        <v/>
      </c>
      <c r="AJ64" s="4">
        <f>IF(ISBLANK('Paste Full'!AU64),"",'Paste Full'!AU64)</f>
        <v/>
      </c>
      <c r="AK64" s="4">
        <f>IF(ISBLANK('Paste Full'!AW64),"",'Paste Full'!AW64)</f>
        <v/>
      </c>
      <c r="AL64" s="5">
        <f>IF(ISBLANK('Paste Full'!AX64),"",'Paste Full'!AX64)</f>
        <v/>
      </c>
      <c r="AM64" s="5">
        <f>IF(ISBLANK('Paste Full'!AY64),"",'Paste Full'!AY64)</f>
        <v/>
      </c>
      <c r="AN64" s="5">
        <f>IF(ISBLANK('Paste Full'!AZ64),"",'Paste Full'!AZ64)</f>
        <v/>
      </c>
      <c r="AO64" s="5">
        <f>IF(ISBLANK('Paste Full'!BA64),"",'Paste Full'!BA64)</f>
        <v/>
      </c>
      <c r="AP64" s="5">
        <f>IF(ISBLANK('Paste Full'!BB64),"",'Paste Full'!BB64)</f>
        <v/>
      </c>
      <c r="AQ64" s="5">
        <f>IF(ISBLANK('Paste Full'!BC64),"",'Paste Full'!BC64)</f>
        <v/>
      </c>
      <c r="AR64" s="5">
        <f>IF(ISBLANK('Paste Full'!BD64),"",'Paste Full'!BD64)</f>
        <v/>
      </c>
      <c r="AS64" s="5">
        <f>IF(ISBLANK('Paste Full'!BE64),"",'Paste Full'!BE64)</f>
        <v/>
      </c>
      <c r="AT64" s="5">
        <f>IF(ISBLANK('Paste Full'!BF64),"",'Paste Full'!BF64)</f>
        <v/>
      </c>
      <c r="AU64" s="5">
        <f>IF(ISBLANK('Paste Full'!BG64),"",'Paste Full'!BG64)</f>
        <v/>
      </c>
      <c r="AV64" s="5">
        <f>IF(ISBLANK('Paste Full'!BH64),"",'Paste Full'!BH64)</f>
        <v/>
      </c>
      <c r="AW64" s="5">
        <f>IF(ISBLANK('Paste Full'!BI64),"",'Paste Full'!BI64)</f>
        <v/>
      </c>
      <c r="AX64" s="5">
        <f>IF(ISBLANK('Paste Full'!BJ64),"",'Paste Full'!BJ64)</f>
        <v/>
      </c>
      <c r="AY64" s="5">
        <f>IF(ISBLANK('Paste Full'!BK64),"",'Paste Full'!BK64)</f>
        <v/>
      </c>
      <c r="AZ64" s="6">
        <f>IF(ISBLANK('Paste Full'!BM64),"",'Paste Full'!BM64)</f>
        <v/>
      </c>
      <c r="BA64" s="6">
        <f>IF(ISBLANK('Paste Full'!BN64),"",'Paste Full'!BN64)</f>
        <v/>
      </c>
      <c r="BB64" s="6">
        <f>IF(ISBLANK('Paste Full'!BO64),"",'Paste Full'!BO64)</f>
        <v/>
      </c>
      <c r="BC64" s="6">
        <f>IF(ISBLANK('Paste Full'!BP64),"",'Paste Full'!BP64)</f>
        <v/>
      </c>
      <c r="BD64" s="6">
        <f>IF(ISBLANK('Paste Full'!BR64),"",'Paste Full'!BR64)</f>
        <v/>
      </c>
      <c r="BE64" s="6">
        <f>IF(ISBLANK('Paste Full'!BS64),"",'Paste Full'!BS64)</f>
        <v/>
      </c>
      <c r="BF64" s="6">
        <f>IF(ISBLANK('Paste Full'!BU64),"",'Paste Full'!BU64)</f>
        <v/>
      </c>
      <c r="BG64" s="6">
        <f>IF(ISBLANK('Paste Full'!BV64),"",'Paste Full'!BV64)</f>
        <v/>
      </c>
      <c r="BH64" s="6">
        <f>IF(ISBLANK('Paste Full'!BX64),"",'Paste Full'!BX64)</f>
        <v/>
      </c>
      <c r="BI64" s="6">
        <f>IF(ISBLANK('Paste Full'!BY64),"",'Paste Full'!BY64)</f>
        <v/>
      </c>
      <c r="BJ64" s="13">
        <f>IF(ISBLANK('Paste Full'!BL64),"",'Paste Full'!BL64)</f>
        <v/>
      </c>
      <c r="BK64" s="13">
        <f>IF(ISBLANK('Paste Full'!BQ64),"",'Paste Full'!BQ64)</f>
        <v/>
      </c>
      <c r="BL64" s="13">
        <f>IF(ISBLANK('Paste Full'!BT64),"",'Paste Full'!BT64)</f>
        <v/>
      </c>
      <c r="BM64" s="13">
        <f>IF(ISBLANK('Paste Full'!BW64),"",'Paste Full'!BW64)</f>
        <v/>
      </c>
    </row>
    <row r="65">
      <c r="A65">
        <f>IF(ISBLANK('Paste Full'!C65),"",'Paste Full'!C65)</f>
        <v/>
      </c>
      <c r="B65">
        <f>INDEX($J$1:$R$1, MATCH(MAX($J65:$R65), $J65:$R65, 0))</f>
        <v/>
      </c>
      <c r="C65" s="45">
        <f>IF(ISBLANK('Paste Full'!H65),"",'Paste Full'!H65)</f>
        <v/>
      </c>
      <c r="D65" s="45">
        <f>IF(ISBLANK('Paste Full'!F65),"",'Paste Full'!F65)</f>
        <v/>
      </c>
      <c r="E65" s="45">
        <f>IF(ISBLANK('Paste Full'!G65),"",'Paste Full'!G65)</f>
        <v/>
      </c>
      <c r="F65" s="21">
        <f>IF(ISBLANK('Paste Full'!E65),"",'Paste Full'!E65)</f>
        <v/>
      </c>
      <c r="G65">
        <f>IF(ISBLANK('Paste Full'!CI65),"",'Paste Full'!CI65)</f>
        <v/>
      </c>
      <c r="H65" s="21">
        <f>IF(ISBLANK('Paste Full'!J65),"",'Paste Full'!J65)</f>
        <v/>
      </c>
      <c r="I65" s="21">
        <f>IF(ISBLANK('Paste Full'!D65),"",'Paste Full'!D65)</f>
        <v/>
      </c>
      <c r="J65" s="14">
        <f>AVERAGE(SUMPRODUCT($S65:$BM65,AttWeights!$C$10:$AW$10)/SUM(AttWeights!$C$10:$AW$10),SUMPRODUCT($S65:$BM65,AttWeights!$C$17:$AW$17)/SUM(AttWeights!$C$17:$AW$17))*10</f>
        <v/>
      </c>
      <c r="K65" s="14">
        <f>AVERAGE(SUMPRODUCT($S65:$BM65,AttWeights!$C$7:$AW$7)/SUM(AttWeights!$C$7:$AW$7),SUMPRODUCT($S65:$BM65,AttWeights!$C$15:$AW$15)/SUM(AttWeights!$C$15:$AW$15))*10</f>
        <v/>
      </c>
      <c r="L65" s="14">
        <f>AVERAGE(SUMPRODUCT($S65:$BM65,AttWeights!$C$8:$AW$8)/SUM(AttWeights!$C$8:$AW$8),SUMPRODUCT($S65:$BM65,AttWeights!$C$16:$AW$16)/SUM(AttWeights!$C$16:$AW$16))*10</f>
        <v/>
      </c>
      <c r="M65" s="14">
        <f>AVERAGE(SUMPRODUCT($S65:$BM65,AttWeights!$C$9:$AW$9)/SUM(AttWeights!$C$9:$AW$9),SUMPRODUCT($S65:$BM65,AttWeights!$C$15:$AW$15)/SUM(AttWeights!$C$15:$AW$15))*10</f>
        <v/>
      </c>
      <c r="N65" s="14">
        <f>AVERAGE(SUMPRODUCT($S65:$BM65,AttWeights!$C$6:$AW$6)/SUM(AttWeights!$C$6:$AW$6),SUMPRODUCT($S65:$BM65,AttWeights!$C$14:$AW$14)/SUM(AttWeights!$C$14:$AW$14))*10</f>
        <v/>
      </c>
      <c r="O65" s="14">
        <f>AVERAGE(SUMPRODUCT($S65:$BM65,AttWeights!$C$5:$AW$5)/SUM(AttWeights!$C$5:$AW$5),SUMPRODUCT($S65:$BM65,AttWeights!$C$14:$AW$14)/SUM(AttWeights!$C$14:$AW$14))*10</f>
        <v/>
      </c>
      <c r="P65" s="14">
        <f>AVERAGE(SUMPRODUCT($S65:$BM65,AttWeights!$C$4:$AW$4)/SUM(AttWeights!$C$4:$AW$4),SUMPRODUCT($S65:$BM65,AttWeights!$C$13:$AW$13)/SUM(AttWeights!$C$13:$AW$13))*10</f>
        <v/>
      </c>
      <c r="Q65" s="14">
        <f>AVERAGE(SUMPRODUCT($S65:$BM65,AttWeights!$C$3:$AW$3)/SUM(AttWeights!$C$3:$AW$3),SUMPRODUCT($S65:$BM65,AttWeights!$C$12:$AW$12)/SUM(AttWeights!$C$12:$AW$12))*10</f>
        <v/>
      </c>
      <c r="R65" s="14">
        <f>AVERAGE(SUMPRODUCT($S65:$BM65,AttWeights!$C$2:$AW$2)/SUM(AttWeights!$C$2:$AW$2),SUMPRODUCT($S65:$BM65,AttWeights!$C$11:$AW$11)/SUM(AttWeights!$C$11:$AW$11))*10</f>
        <v/>
      </c>
      <c r="S65" s="3">
        <f>IF(ISBLANK('Paste Full'!AC65),"",'Paste Full'!AC65)</f>
        <v/>
      </c>
      <c r="T65" s="3">
        <f>IF(ISBLANK('Paste Full'!AD65),"",'Paste Full'!AD65)</f>
        <v/>
      </c>
      <c r="U65" s="3">
        <f>IF(ISBLANK('Paste Full'!AE65),"",'Paste Full'!AE65)</f>
        <v/>
      </c>
      <c r="V65" s="3">
        <f>IF(ISBLANK('Paste Full'!AF65),"",'Paste Full'!AF65)</f>
        <v/>
      </c>
      <c r="W65" s="3">
        <f>IF(ISBLANK('Paste Full'!AH65),"",'Paste Full'!AH65)</f>
        <v/>
      </c>
      <c r="X65" s="3">
        <f>IF(ISBLANK('Paste Full'!AI65),"",'Paste Full'!AI65)</f>
        <v/>
      </c>
      <c r="Y65" s="3">
        <f>IF(ISBLANK('Paste Full'!AK65),"",'Paste Full'!AK65)</f>
        <v/>
      </c>
      <c r="Z65" s="3">
        <f>IF(ISBLANK('Paste Full'!AL65),"",'Paste Full'!AL65)</f>
        <v/>
      </c>
      <c r="AA65" s="4">
        <f>IF(ISBLANK('Paste Full'!AM65),"",'Paste Full'!AM65)</f>
        <v/>
      </c>
      <c r="AB65" s="4">
        <f>IF(ISBLANK('Paste Full'!AN65),"",'Paste Full'!AN65)</f>
        <v/>
      </c>
      <c r="AC65" s="4">
        <f>IF(ISBLANK('Paste Full'!AO65),"",'Paste Full'!AO65)</f>
        <v/>
      </c>
      <c r="AD65" s="4">
        <f>IF(ISBLANK('Paste Full'!AP65),"",'Paste Full'!AP65)</f>
        <v/>
      </c>
      <c r="AE65" s="4">
        <f>IF(ISBLANK('Paste Full'!AQ65),"",'Paste Full'!AQ65)</f>
        <v/>
      </c>
      <c r="AF65" s="4">
        <f>IF(ISBLANK('Paste Full'!AR65),"",'Paste Full'!AR65)</f>
        <v/>
      </c>
      <c r="AG65" s="4">
        <f>IF(ISBLANK('Paste Full'!AS65),"",'Paste Full'!AS65)</f>
        <v/>
      </c>
      <c r="AH65" s="4">
        <f>IF(ISBLANK('Paste Full'!AV65),"",'Paste Full'!AV65)</f>
        <v/>
      </c>
      <c r="AI65" s="4">
        <f>IF(ISBLANK('Paste Full'!AT65),"",'Paste Full'!AT65)</f>
        <v/>
      </c>
      <c r="AJ65" s="4">
        <f>IF(ISBLANK('Paste Full'!AU65),"",'Paste Full'!AU65)</f>
        <v/>
      </c>
      <c r="AK65" s="4">
        <f>IF(ISBLANK('Paste Full'!AW65),"",'Paste Full'!AW65)</f>
        <v/>
      </c>
      <c r="AL65" s="5">
        <f>IF(ISBLANK('Paste Full'!AX65),"",'Paste Full'!AX65)</f>
        <v/>
      </c>
      <c r="AM65" s="5">
        <f>IF(ISBLANK('Paste Full'!AY65),"",'Paste Full'!AY65)</f>
        <v/>
      </c>
      <c r="AN65" s="5">
        <f>IF(ISBLANK('Paste Full'!AZ65),"",'Paste Full'!AZ65)</f>
        <v/>
      </c>
      <c r="AO65" s="5">
        <f>IF(ISBLANK('Paste Full'!BA65),"",'Paste Full'!BA65)</f>
        <v/>
      </c>
      <c r="AP65" s="5">
        <f>IF(ISBLANK('Paste Full'!BB65),"",'Paste Full'!BB65)</f>
        <v/>
      </c>
      <c r="AQ65" s="5">
        <f>IF(ISBLANK('Paste Full'!BC65),"",'Paste Full'!BC65)</f>
        <v/>
      </c>
      <c r="AR65" s="5">
        <f>IF(ISBLANK('Paste Full'!BD65),"",'Paste Full'!BD65)</f>
        <v/>
      </c>
      <c r="AS65" s="5">
        <f>IF(ISBLANK('Paste Full'!BE65),"",'Paste Full'!BE65)</f>
        <v/>
      </c>
      <c r="AT65" s="5">
        <f>IF(ISBLANK('Paste Full'!BF65),"",'Paste Full'!BF65)</f>
        <v/>
      </c>
      <c r="AU65" s="5">
        <f>IF(ISBLANK('Paste Full'!BG65),"",'Paste Full'!BG65)</f>
        <v/>
      </c>
      <c r="AV65" s="5">
        <f>IF(ISBLANK('Paste Full'!BH65),"",'Paste Full'!BH65)</f>
        <v/>
      </c>
      <c r="AW65" s="5">
        <f>IF(ISBLANK('Paste Full'!BI65),"",'Paste Full'!BI65)</f>
        <v/>
      </c>
      <c r="AX65" s="5">
        <f>IF(ISBLANK('Paste Full'!BJ65),"",'Paste Full'!BJ65)</f>
        <v/>
      </c>
      <c r="AY65" s="5">
        <f>IF(ISBLANK('Paste Full'!BK65),"",'Paste Full'!BK65)</f>
        <v/>
      </c>
      <c r="AZ65" s="6">
        <f>IF(ISBLANK('Paste Full'!BM65),"",'Paste Full'!BM65)</f>
        <v/>
      </c>
      <c r="BA65" s="6">
        <f>IF(ISBLANK('Paste Full'!BN65),"",'Paste Full'!BN65)</f>
        <v/>
      </c>
      <c r="BB65" s="6">
        <f>IF(ISBLANK('Paste Full'!BO65),"",'Paste Full'!BO65)</f>
        <v/>
      </c>
      <c r="BC65" s="6">
        <f>IF(ISBLANK('Paste Full'!BP65),"",'Paste Full'!BP65)</f>
        <v/>
      </c>
      <c r="BD65" s="6">
        <f>IF(ISBLANK('Paste Full'!BR65),"",'Paste Full'!BR65)</f>
        <v/>
      </c>
      <c r="BE65" s="6">
        <f>IF(ISBLANK('Paste Full'!BS65),"",'Paste Full'!BS65)</f>
        <v/>
      </c>
      <c r="BF65" s="6">
        <f>IF(ISBLANK('Paste Full'!BU65),"",'Paste Full'!BU65)</f>
        <v/>
      </c>
      <c r="BG65" s="6">
        <f>IF(ISBLANK('Paste Full'!BV65),"",'Paste Full'!BV65)</f>
        <v/>
      </c>
      <c r="BH65" s="6">
        <f>IF(ISBLANK('Paste Full'!BX65),"",'Paste Full'!BX65)</f>
        <v/>
      </c>
      <c r="BI65" s="6">
        <f>IF(ISBLANK('Paste Full'!BY65),"",'Paste Full'!BY65)</f>
        <v/>
      </c>
      <c r="BJ65" s="13">
        <f>IF(ISBLANK('Paste Full'!BL65),"",'Paste Full'!BL65)</f>
        <v/>
      </c>
      <c r="BK65" s="13">
        <f>IF(ISBLANK('Paste Full'!BQ65),"",'Paste Full'!BQ65)</f>
        <v/>
      </c>
      <c r="BL65" s="13">
        <f>IF(ISBLANK('Paste Full'!BT65),"",'Paste Full'!BT65)</f>
        <v/>
      </c>
      <c r="BM65" s="13">
        <f>IF(ISBLANK('Paste Full'!BW65),"",'Paste Full'!BW65)</f>
        <v/>
      </c>
    </row>
    <row r="66">
      <c r="A66">
        <f>IF(ISBLANK('Paste Full'!C66),"",'Paste Full'!C66)</f>
        <v/>
      </c>
      <c r="B66">
        <f>INDEX($J$1:$R$1, MATCH(MAX($J66:$R66), $J66:$R66, 0))</f>
        <v/>
      </c>
      <c r="C66" s="45">
        <f>IF(ISBLANK('Paste Full'!H66),"",'Paste Full'!H66)</f>
        <v/>
      </c>
      <c r="D66" s="45">
        <f>IF(ISBLANK('Paste Full'!F66),"",'Paste Full'!F66)</f>
        <v/>
      </c>
      <c r="E66" s="45">
        <f>IF(ISBLANK('Paste Full'!G66),"",'Paste Full'!G66)</f>
        <v/>
      </c>
      <c r="F66" s="21">
        <f>IF(ISBLANK('Paste Full'!E66),"",'Paste Full'!E66)</f>
        <v/>
      </c>
      <c r="G66">
        <f>IF(ISBLANK('Paste Full'!CI66),"",'Paste Full'!CI66)</f>
        <v/>
      </c>
      <c r="H66" s="21">
        <f>IF(ISBLANK('Paste Full'!J66),"",'Paste Full'!J66)</f>
        <v/>
      </c>
      <c r="I66" s="21">
        <f>IF(ISBLANK('Paste Full'!D66),"",'Paste Full'!D66)</f>
        <v/>
      </c>
      <c r="J66" s="14">
        <f>AVERAGE(SUMPRODUCT($S66:$BM66,AttWeights!$C$10:$AW$10)/SUM(AttWeights!$C$10:$AW$10),SUMPRODUCT($S66:$BM66,AttWeights!$C$17:$AW$17)/SUM(AttWeights!$C$17:$AW$17))*10</f>
        <v/>
      </c>
      <c r="K66" s="14">
        <f>AVERAGE(SUMPRODUCT($S66:$BM66,AttWeights!$C$7:$AW$7)/SUM(AttWeights!$C$7:$AW$7),SUMPRODUCT($S66:$BM66,AttWeights!$C$15:$AW$15)/SUM(AttWeights!$C$15:$AW$15))*10</f>
        <v/>
      </c>
      <c r="L66" s="14">
        <f>AVERAGE(SUMPRODUCT($S66:$BM66,AttWeights!$C$8:$AW$8)/SUM(AttWeights!$C$8:$AW$8),SUMPRODUCT($S66:$BM66,AttWeights!$C$16:$AW$16)/SUM(AttWeights!$C$16:$AW$16))*10</f>
        <v/>
      </c>
      <c r="M66" s="14">
        <f>AVERAGE(SUMPRODUCT($S66:$BM66,AttWeights!$C$9:$AW$9)/SUM(AttWeights!$C$9:$AW$9),SUMPRODUCT($S66:$BM66,AttWeights!$C$15:$AW$15)/SUM(AttWeights!$C$15:$AW$15))*10</f>
        <v/>
      </c>
      <c r="N66" s="14">
        <f>AVERAGE(SUMPRODUCT($S66:$BM66,AttWeights!$C$6:$AW$6)/SUM(AttWeights!$C$6:$AW$6),SUMPRODUCT($S66:$BM66,AttWeights!$C$14:$AW$14)/SUM(AttWeights!$C$14:$AW$14))*10</f>
        <v/>
      </c>
      <c r="O66" s="14">
        <f>AVERAGE(SUMPRODUCT($S66:$BM66,AttWeights!$C$5:$AW$5)/SUM(AttWeights!$C$5:$AW$5),SUMPRODUCT($S66:$BM66,AttWeights!$C$14:$AW$14)/SUM(AttWeights!$C$14:$AW$14))*10</f>
        <v/>
      </c>
      <c r="P66" s="14">
        <f>AVERAGE(SUMPRODUCT($S66:$BM66,AttWeights!$C$4:$AW$4)/SUM(AttWeights!$C$4:$AW$4),SUMPRODUCT($S66:$BM66,AttWeights!$C$13:$AW$13)/SUM(AttWeights!$C$13:$AW$13))*10</f>
        <v/>
      </c>
      <c r="Q66" s="14">
        <f>AVERAGE(SUMPRODUCT($S66:$BM66,AttWeights!$C$3:$AW$3)/SUM(AttWeights!$C$3:$AW$3),SUMPRODUCT($S66:$BM66,AttWeights!$C$12:$AW$12)/SUM(AttWeights!$C$12:$AW$12))*10</f>
        <v/>
      </c>
      <c r="R66" s="14">
        <f>AVERAGE(SUMPRODUCT($S66:$BM66,AttWeights!$C$2:$AW$2)/SUM(AttWeights!$C$2:$AW$2),SUMPRODUCT($S66:$BM66,AttWeights!$C$11:$AW$11)/SUM(AttWeights!$C$11:$AW$11))*10</f>
        <v/>
      </c>
      <c r="S66" s="3">
        <f>IF(ISBLANK('Paste Full'!AC66),"",'Paste Full'!AC66)</f>
        <v/>
      </c>
      <c r="T66" s="3">
        <f>IF(ISBLANK('Paste Full'!AD66),"",'Paste Full'!AD66)</f>
        <v/>
      </c>
      <c r="U66" s="3">
        <f>IF(ISBLANK('Paste Full'!AE66),"",'Paste Full'!AE66)</f>
        <v/>
      </c>
      <c r="V66" s="3">
        <f>IF(ISBLANK('Paste Full'!AF66),"",'Paste Full'!AF66)</f>
        <v/>
      </c>
      <c r="W66" s="3">
        <f>IF(ISBLANK('Paste Full'!AH66),"",'Paste Full'!AH66)</f>
        <v/>
      </c>
      <c r="X66" s="3">
        <f>IF(ISBLANK('Paste Full'!AI66),"",'Paste Full'!AI66)</f>
        <v/>
      </c>
      <c r="Y66" s="3">
        <f>IF(ISBLANK('Paste Full'!AK66),"",'Paste Full'!AK66)</f>
        <v/>
      </c>
      <c r="Z66" s="3">
        <f>IF(ISBLANK('Paste Full'!AL66),"",'Paste Full'!AL66)</f>
        <v/>
      </c>
      <c r="AA66" s="4">
        <f>IF(ISBLANK('Paste Full'!AM66),"",'Paste Full'!AM66)</f>
        <v/>
      </c>
      <c r="AB66" s="4">
        <f>IF(ISBLANK('Paste Full'!AN66),"",'Paste Full'!AN66)</f>
        <v/>
      </c>
      <c r="AC66" s="4">
        <f>IF(ISBLANK('Paste Full'!AO66),"",'Paste Full'!AO66)</f>
        <v/>
      </c>
      <c r="AD66" s="4">
        <f>IF(ISBLANK('Paste Full'!AP66),"",'Paste Full'!AP66)</f>
        <v/>
      </c>
      <c r="AE66" s="4">
        <f>IF(ISBLANK('Paste Full'!AQ66),"",'Paste Full'!AQ66)</f>
        <v/>
      </c>
      <c r="AF66" s="4">
        <f>IF(ISBLANK('Paste Full'!AR66),"",'Paste Full'!AR66)</f>
        <v/>
      </c>
      <c r="AG66" s="4">
        <f>IF(ISBLANK('Paste Full'!AS66),"",'Paste Full'!AS66)</f>
        <v/>
      </c>
      <c r="AH66" s="4">
        <f>IF(ISBLANK('Paste Full'!AV66),"",'Paste Full'!AV66)</f>
        <v/>
      </c>
      <c r="AI66" s="4">
        <f>IF(ISBLANK('Paste Full'!AT66),"",'Paste Full'!AT66)</f>
        <v/>
      </c>
      <c r="AJ66" s="4">
        <f>IF(ISBLANK('Paste Full'!AU66),"",'Paste Full'!AU66)</f>
        <v/>
      </c>
      <c r="AK66" s="4">
        <f>IF(ISBLANK('Paste Full'!AW66),"",'Paste Full'!AW66)</f>
        <v/>
      </c>
      <c r="AL66" s="5">
        <f>IF(ISBLANK('Paste Full'!AX66),"",'Paste Full'!AX66)</f>
        <v/>
      </c>
      <c r="AM66" s="5">
        <f>IF(ISBLANK('Paste Full'!AY66),"",'Paste Full'!AY66)</f>
        <v/>
      </c>
      <c r="AN66" s="5">
        <f>IF(ISBLANK('Paste Full'!AZ66),"",'Paste Full'!AZ66)</f>
        <v/>
      </c>
      <c r="AO66" s="5">
        <f>IF(ISBLANK('Paste Full'!BA66),"",'Paste Full'!BA66)</f>
        <v/>
      </c>
      <c r="AP66" s="5">
        <f>IF(ISBLANK('Paste Full'!BB66),"",'Paste Full'!BB66)</f>
        <v/>
      </c>
      <c r="AQ66" s="5">
        <f>IF(ISBLANK('Paste Full'!BC66),"",'Paste Full'!BC66)</f>
        <v/>
      </c>
      <c r="AR66" s="5">
        <f>IF(ISBLANK('Paste Full'!BD66),"",'Paste Full'!BD66)</f>
        <v/>
      </c>
      <c r="AS66" s="5">
        <f>IF(ISBLANK('Paste Full'!BE66),"",'Paste Full'!BE66)</f>
        <v/>
      </c>
      <c r="AT66" s="5">
        <f>IF(ISBLANK('Paste Full'!BF66),"",'Paste Full'!BF66)</f>
        <v/>
      </c>
      <c r="AU66" s="5">
        <f>IF(ISBLANK('Paste Full'!BG66),"",'Paste Full'!BG66)</f>
        <v/>
      </c>
      <c r="AV66" s="5">
        <f>IF(ISBLANK('Paste Full'!BH66),"",'Paste Full'!BH66)</f>
        <v/>
      </c>
      <c r="AW66" s="5">
        <f>IF(ISBLANK('Paste Full'!BI66),"",'Paste Full'!BI66)</f>
        <v/>
      </c>
      <c r="AX66" s="5">
        <f>IF(ISBLANK('Paste Full'!BJ66),"",'Paste Full'!BJ66)</f>
        <v/>
      </c>
      <c r="AY66" s="5">
        <f>IF(ISBLANK('Paste Full'!BK66),"",'Paste Full'!BK66)</f>
        <v/>
      </c>
      <c r="AZ66" s="6">
        <f>IF(ISBLANK('Paste Full'!BM66),"",'Paste Full'!BM66)</f>
        <v/>
      </c>
      <c r="BA66" s="6">
        <f>IF(ISBLANK('Paste Full'!BN66),"",'Paste Full'!BN66)</f>
        <v/>
      </c>
      <c r="BB66" s="6">
        <f>IF(ISBLANK('Paste Full'!BO66),"",'Paste Full'!BO66)</f>
        <v/>
      </c>
      <c r="BC66" s="6">
        <f>IF(ISBLANK('Paste Full'!BP66),"",'Paste Full'!BP66)</f>
        <v/>
      </c>
      <c r="BD66" s="6">
        <f>IF(ISBLANK('Paste Full'!BR66),"",'Paste Full'!BR66)</f>
        <v/>
      </c>
      <c r="BE66" s="6">
        <f>IF(ISBLANK('Paste Full'!BS66),"",'Paste Full'!BS66)</f>
        <v/>
      </c>
      <c r="BF66" s="6">
        <f>IF(ISBLANK('Paste Full'!BU66),"",'Paste Full'!BU66)</f>
        <v/>
      </c>
      <c r="BG66" s="6">
        <f>IF(ISBLANK('Paste Full'!BV66),"",'Paste Full'!BV66)</f>
        <v/>
      </c>
      <c r="BH66" s="6">
        <f>IF(ISBLANK('Paste Full'!BX66),"",'Paste Full'!BX66)</f>
        <v/>
      </c>
      <c r="BI66" s="6">
        <f>IF(ISBLANK('Paste Full'!BY66),"",'Paste Full'!BY66)</f>
        <v/>
      </c>
      <c r="BJ66" s="13">
        <f>IF(ISBLANK('Paste Full'!BL66),"",'Paste Full'!BL66)</f>
        <v/>
      </c>
      <c r="BK66" s="13">
        <f>IF(ISBLANK('Paste Full'!BQ66),"",'Paste Full'!BQ66)</f>
        <v/>
      </c>
      <c r="BL66" s="13">
        <f>IF(ISBLANK('Paste Full'!BT66),"",'Paste Full'!BT66)</f>
        <v/>
      </c>
      <c r="BM66" s="13">
        <f>IF(ISBLANK('Paste Full'!BW66),"",'Paste Full'!BW66)</f>
        <v/>
      </c>
    </row>
    <row r="67">
      <c r="A67">
        <f>IF(ISBLANK('Paste Full'!C67),"",'Paste Full'!C67)</f>
        <v/>
      </c>
      <c r="B67">
        <f>INDEX($J$1:$R$1, MATCH(MAX($J67:$R67), $J67:$R67, 0))</f>
        <v/>
      </c>
      <c r="C67" s="45">
        <f>IF(ISBLANK('Paste Full'!H67),"",'Paste Full'!H67)</f>
        <v/>
      </c>
      <c r="D67" s="45">
        <f>IF(ISBLANK('Paste Full'!F67),"",'Paste Full'!F67)</f>
        <v/>
      </c>
      <c r="E67" s="45">
        <f>IF(ISBLANK('Paste Full'!G67),"",'Paste Full'!G67)</f>
        <v/>
      </c>
      <c r="F67" s="21">
        <f>IF(ISBLANK('Paste Full'!E67),"",'Paste Full'!E67)</f>
        <v/>
      </c>
      <c r="G67">
        <f>IF(ISBLANK('Paste Full'!CI67),"",'Paste Full'!CI67)</f>
        <v/>
      </c>
      <c r="H67" s="21">
        <f>IF(ISBLANK('Paste Full'!J67),"",'Paste Full'!J67)</f>
        <v/>
      </c>
      <c r="I67" s="21">
        <f>IF(ISBLANK('Paste Full'!D67),"",'Paste Full'!D67)</f>
        <v/>
      </c>
      <c r="J67" s="14">
        <f>AVERAGE(SUMPRODUCT($S67:$BM67,AttWeights!$C$10:$AW$10)/SUM(AttWeights!$C$10:$AW$10),SUMPRODUCT($S67:$BM67,AttWeights!$C$17:$AW$17)/SUM(AttWeights!$C$17:$AW$17))*10</f>
        <v/>
      </c>
      <c r="K67" s="14">
        <f>AVERAGE(SUMPRODUCT($S67:$BM67,AttWeights!$C$7:$AW$7)/SUM(AttWeights!$C$7:$AW$7),SUMPRODUCT($S67:$BM67,AttWeights!$C$15:$AW$15)/SUM(AttWeights!$C$15:$AW$15))*10</f>
        <v/>
      </c>
      <c r="L67" s="14">
        <f>AVERAGE(SUMPRODUCT($S67:$BM67,AttWeights!$C$8:$AW$8)/SUM(AttWeights!$C$8:$AW$8),SUMPRODUCT($S67:$BM67,AttWeights!$C$16:$AW$16)/SUM(AttWeights!$C$16:$AW$16))*10</f>
        <v/>
      </c>
      <c r="M67" s="14">
        <f>AVERAGE(SUMPRODUCT($S67:$BM67,AttWeights!$C$9:$AW$9)/SUM(AttWeights!$C$9:$AW$9),SUMPRODUCT($S67:$BM67,AttWeights!$C$15:$AW$15)/SUM(AttWeights!$C$15:$AW$15))*10</f>
        <v/>
      </c>
      <c r="N67" s="14">
        <f>AVERAGE(SUMPRODUCT($S67:$BM67,AttWeights!$C$6:$AW$6)/SUM(AttWeights!$C$6:$AW$6),SUMPRODUCT($S67:$BM67,AttWeights!$C$14:$AW$14)/SUM(AttWeights!$C$14:$AW$14))*10</f>
        <v/>
      </c>
      <c r="O67" s="14">
        <f>AVERAGE(SUMPRODUCT($S67:$BM67,AttWeights!$C$5:$AW$5)/SUM(AttWeights!$C$5:$AW$5),SUMPRODUCT($S67:$BM67,AttWeights!$C$14:$AW$14)/SUM(AttWeights!$C$14:$AW$14))*10</f>
        <v/>
      </c>
      <c r="P67" s="14">
        <f>AVERAGE(SUMPRODUCT($S67:$BM67,AttWeights!$C$4:$AW$4)/SUM(AttWeights!$C$4:$AW$4),SUMPRODUCT($S67:$BM67,AttWeights!$C$13:$AW$13)/SUM(AttWeights!$C$13:$AW$13))*10</f>
        <v/>
      </c>
      <c r="Q67" s="14">
        <f>AVERAGE(SUMPRODUCT($S67:$BM67,AttWeights!$C$3:$AW$3)/SUM(AttWeights!$C$3:$AW$3),SUMPRODUCT($S67:$BM67,AttWeights!$C$12:$AW$12)/SUM(AttWeights!$C$12:$AW$12))*10</f>
        <v/>
      </c>
      <c r="R67" s="14">
        <f>AVERAGE(SUMPRODUCT($S67:$BM67,AttWeights!$C$2:$AW$2)/SUM(AttWeights!$C$2:$AW$2),SUMPRODUCT($S67:$BM67,AttWeights!$C$11:$AW$11)/SUM(AttWeights!$C$11:$AW$11))*10</f>
        <v/>
      </c>
      <c r="S67" s="3">
        <f>IF(ISBLANK('Paste Full'!AC67),"",'Paste Full'!AC67)</f>
        <v/>
      </c>
      <c r="T67" s="3">
        <f>IF(ISBLANK('Paste Full'!AD67),"",'Paste Full'!AD67)</f>
        <v/>
      </c>
      <c r="U67" s="3">
        <f>IF(ISBLANK('Paste Full'!AE67),"",'Paste Full'!AE67)</f>
        <v/>
      </c>
      <c r="V67" s="3">
        <f>IF(ISBLANK('Paste Full'!AF67),"",'Paste Full'!AF67)</f>
        <v/>
      </c>
      <c r="W67" s="3">
        <f>IF(ISBLANK('Paste Full'!AH67),"",'Paste Full'!AH67)</f>
        <v/>
      </c>
      <c r="X67" s="3">
        <f>IF(ISBLANK('Paste Full'!AI67),"",'Paste Full'!AI67)</f>
        <v/>
      </c>
      <c r="Y67" s="3">
        <f>IF(ISBLANK('Paste Full'!AK67),"",'Paste Full'!AK67)</f>
        <v/>
      </c>
      <c r="Z67" s="3">
        <f>IF(ISBLANK('Paste Full'!AL67),"",'Paste Full'!AL67)</f>
        <v/>
      </c>
      <c r="AA67" s="4">
        <f>IF(ISBLANK('Paste Full'!AM67),"",'Paste Full'!AM67)</f>
        <v/>
      </c>
      <c r="AB67" s="4">
        <f>IF(ISBLANK('Paste Full'!AN67),"",'Paste Full'!AN67)</f>
        <v/>
      </c>
      <c r="AC67" s="4">
        <f>IF(ISBLANK('Paste Full'!AO67),"",'Paste Full'!AO67)</f>
        <v/>
      </c>
      <c r="AD67" s="4">
        <f>IF(ISBLANK('Paste Full'!AP67),"",'Paste Full'!AP67)</f>
        <v/>
      </c>
      <c r="AE67" s="4">
        <f>IF(ISBLANK('Paste Full'!AQ67),"",'Paste Full'!AQ67)</f>
        <v/>
      </c>
      <c r="AF67" s="4">
        <f>IF(ISBLANK('Paste Full'!AR67),"",'Paste Full'!AR67)</f>
        <v/>
      </c>
      <c r="AG67" s="4">
        <f>IF(ISBLANK('Paste Full'!AS67),"",'Paste Full'!AS67)</f>
        <v/>
      </c>
      <c r="AH67" s="4">
        <f>IF(ISBLANK('Paste Full'!AV67),"",'Paste Full'!AV67)</f>
        <v/>
      </c>
      <c r="AI67" s="4">
        <f>IF(ISBLANK('Paste Full'!AT67),"",'Paste Full'!AT67)</f>
        <v/>
      </c>
      <c r="AJ67" s="4">
        <f>IF(ISBLANK('Paste Full'!AU67),"",'Paste Full'!AU67)</f>
        <v/>
      </c>
      <c r="AK67" s="4">
        <f>IF(ISBLANK('Paste Full'!AW67),"",'Paste Full'!AW67)</f>
        <v/>
      </c>
      <c r="AL67" s="5">
        <f>IF(ISBLANK('Paste Full'!AX67),"",'Paste Full'!AX67)</f>
        <v/>
      </c>
      <c r="AM67" s="5">
        <f>IF(ISBLANK('Paste Full'!AY67),"",'Paste Full'!AY67)</f>
        <v/>
      </c>
      <c r="AN67" s="5">
        <f>IF(ISBLANK('Paste Full'!AZ67),"",'Paste Full'!AZ67)</f>
        <v/>
      </c>
      <c r="AO67" s="5">
        <f>IF(ISBLANK('Paste Full'!BA67),"",'Paste Full'!BA67)</f>
        <v/>
      </c>
      <c r="AP67" s="5">
        <f>IF(ISBLANK('Paste Full'!BB67),"",'Paste Full'!BB67)</f>
        <v/>
      </c>
      <c r="AQ67" s="5">
        <f>IF(ISBLANK('Paste Full'!BC67),"",'Paste Full'!BC67)</f>
        <v/>
      </c>
      <c r="AR67" s="5">
        <f>IF(ISBLANK('Paste Full'!BD67),"",'Paste Full'!BD67)</f>
        <v/>
      </c>
      <c r="AS67" s="5">
        <f>IF(ISBLANK('Paste Full'!BE67),"",'Paste Full'!BE67)</f>
        <v/>
      </c>
      <c r="AT67" s="5">
        <f>IF(ISBLANK('Paste Full'!BF67),"",'Paste Full'!BF67)</f>
        <v/>
      </c>
      <c r="AU67" s="5">
        <f>IF(ISBLANK('Paste Full'!BG67),"",'Paste Full'!BG67)</f>
        <v/>
      </c>
      <c r="AV67" s="5">
        <f>IF(ISBLANK('Paste Full'!BH67),"",'Paste Full'!BH67)</f>
        <v/>
      </c>
      <c r="AW67" s="5">
        <f>IF(ISBLANK('Paste Full'!BI67),"",'Paste Full'!BI67)</f>
        <v/>
      </c>
      <c r="AX67" s="5">
        <f>IF(ISBLANK('Paste Full'!BJ67),"",'Paste Full'!BJ67)</f>
        <v/>
      </c>
      <c r="AY67" s="5">
        <f>IF(ISBLANK('Paste Full'!BK67),"",'Paste Full'!BK67)</f>
        <v/>
      </c>
      <c r="AZ67" s="6">
        <f>IF(ISBLANK('Paste Full'!BM67),"",'Paste Full'!BM67)</f>
        <v/>
      </c>
      <c r="BA67" s="6">
        <f>IF(ISBLANK('Paste Full'!BN67),"",'Paste Full'!BN67)</f>
        <v/>
      </c>
      <c r="BB67" s="6">
        <f>IF(ISBLANK('Paste Full'!BO67),"",'Paste Full'!BO67)</f>
        <v/>
      </c>
      <c r="BC67" s="6">
        <f>IF(ISBLANK('Paste Full'!BP67),"",'Paste Full'!BP67)</f>
        <v/>
      </c>
      <c r="BD67" s="6">
        <f>IF(ISBLANK('Paste Full'!BR67),"",'Paste Full'!BR67)</f>
        <v/>
      </c>
      <c r="BE67" s="6">
        <f>IF(ISBLANK('Paste Full'!BS67),"",'Paste Full'!BS67)</f>
        <v/>
      </c>
      <c r="BF67" s="6">
        <f>IF(ISBLANK('Paste Full'!BU67),"",'Paste Full'!BU67)</f>
        <v/>
      </c>
      <c r="BG67" s="6">
        <f>IF(ISBLANK('Paste Full'!BV67),"",'Paste Full'!BV67)</f>
        <v/>
      </c>
      <c r="BH67" s="6">
        <f>IF(ISBLANK('Paste Full'!BX67),"",'Paste Full'!BX67)</f>
        <v/>
      </c>
      <c r="BI67" s="6">
        <f>IF(ISBLANK('Paste Full'!BY67),"",'Paste Full'!BY67)</f>
        <v/>
      </c>
      <c r="BJ67" s="13">
        <f>IF(ISBLANK('Paste Full'!BL67),"",'Paste Full'!BL67)</f>
        <v/>
      </c>
      <c r="BK67" s="13">
        <f>IF(ISBLANK('Paste Full'!BQ67),"",'Paste Full'!BQ67)</f>
        <v/>
      </c>
      <c r="BL67" s="13">
        <f>IF(ISBLANK('Paste Full'!BT67),"",'Paste Full'!BT67)</f>
        <v/>
      </c>
      <c r="BM67" s="13">
        <f>IF(ISBLANK('Paste Full'!BW67),"",'Paste Full'!BW67)</f>
        <v/>
      </c>
    </row>
    <row r="68">
      <c r="A68">
        <f>IF(ISBLANK('Paste Full'!C68),"",'Paste Full'!C68)</f>
        <v/>
      </c>
      <c r="B68">
        <f>INDEX($J$1:$R$1, MATCH(MAX($J68:$R68), $J68:$R68, 0))</f>
        <v/>
      </c>
      <c r="C68" s="45">
        <f>IF(ISBLANK('Paste Full'!H68),"",'Paste Full'!H68)</f>
        <v/>
      </c>
      <c r="D68" s="45">
        <f>IF(ISBLANK('Paste Full'!F68),"",'Paste Full'!F68)</f>
        <v/>
      </c>
      <c r="E68" s="45">
        <f>IF(ISBLANK('Paste Full'!G68),"",'Paste Full'!G68)</f>
        <v/>
      </c>
      <c r="F68" s="21">
        <f>IF(ISBLANK('Paste Full'!E68),"",'Paste Full'!E68)</f>
        <v/>
      </c>
      <c r="G68">
        <f>IF(ISBLANK('Paste Full'!CI68),"",'Paste Full'!CI68)</f>
        <v/>
      </c>
      <c r="H68" s="21">
        <f>IF(ISBLANK('Paste Full'!J68),"",'Paste Full'!J68)</f>
        <v/>
      </c>
      <c r="I68" s="21">
        <f>IF(ISBLANK('Paste Full'!D68),"",'Paste Full'!D68)</f>
        <v/>
      </c>
      <c r="J68" s="14">
        <f>AVERAGE(SUMPRODUCT($S68:$BM68,AttWeights!$C$10:$AW$10)/SUM(AttWeights!$C$10:$AW$10),SUMPRODUCT($S68:$BM68,AttWeights!$C$17:$AW$17)/SUM(AttWeights!$C$17:$AW$17))*10</f>
        <v/>
      </c>
      <c r="K68" s="14">
        <f>AVERAGE(SUMPRODUCT($S68:$BM68,AttWeights!$C$7:$AW$7)/SUM(AttWeights!$C$7:$AW$7),SUMPRODUCT($S68:$BM68,AttWeights!$C$15:$AW$15)/SUM(AttWeights!$C$15:$AW$15))*10</f>
        <v/>
      </c>
      <c r="L68" s="14">
        <f>AVERAGE(SUMPRODUCT($S68:$BM68,AttWeights!$C$8:$AW$8)/SUM(AttWeights!$C$8:$AW$8),SUMPRODUCT($S68:$BM68,AttWeights!$C$16:$AW$16)/SUM(AttWeights!$C$16:$AW$16))*10</f>
        <v/>
      </c>
      <c r="M68" s="14">
        <f>AVERAGE(SUMPRODUCT($S68:$BM68,AttWeights!$C$9:$AW$9)/SUM(AttWeights!$C$9:$AW$9),SUMPRODUCT($S68:$BM68,AttWeights!$C$15:$AW$15)/SUM(AttWeights!$C$15:$AW$15))*10</f>
        <v/>
      </c>
      <c r="N68" s="14">
        <f>AVERAGE(SUMPRODUCT($S68:$BM68,AttWeights!$C$6:$AW$6)/SUM(AttWeights!$C$6:$AW$6),SUMPRODUCT($S68:$BM68,AttWeights!$C$14:$AW$14)/SUM(AttWeights!$C$14:$AW$14))*10</f>
        <v/>
      </c>
      <c r="O68" s="14">
        <f>AVERAGE(SUMPRODUCT($S68:$BM68,AttWeights!$C$5:$AW$5)/SUM(AttWeights!$C$5:$AW$5),SUMPRODUCT($S68:$BM68,AttWeights!$C$14:$AW$14)/SUM(AttWeights!$C$14:$AW$14))*10</f>
        <v/>
      </c>
      <c r="P68" s="14">
        <f>AVERAGE(SUMPRODUCT($S68:$BM68,AttWeights!$C$4:$AW$4)/SUM(AttWeights!$C$4:$AW$4),SUMPRODUCT($S68:$BM68,AttWeights!$C$13:$AW$13)/SUM(AttWeights!$C$13:$AW$13))*10</f>
        <v/>
      </c>
      <c r="Q68" s="14">
        <f>AVERAGE(SUMPRODUCT($S68:$BM68,AttWeights!$C$3:$AW$3)/SUM(AttWeights!$C$3:$AW$3),SUMPRODUCT($S68:$BM68,AttWeights!$C$12:$AW$12)/SUM(AttWeights!$C$12:$AW$12))*10</f>
        <v/>
      </c>
      <c r="R68" s="14">
        <f>AVERAGE(SUMPRODUCT($S68:$BM68,AttWeights!$C$2:$AW$2)/SUM(AttWeights!$C$2:$AW$2),SUMPRODUCT($S68:$BM68,AttWeights!$C$11:$AW$11)/SUM(AttWeights!$C$11:$AW$11))*10</f>
        <v/>
      </c>
      <c r="S68" s="3">
        <f>IF(ISBLANK('Paste Full'!AC68),"",'Paste Full'!AC68)</f>
        <v/>
      </c>
      <c r="T68" s="3">
        <f>IF(ISBLANK('Paste Full'!AD68),"",'Paste Full'!AD68)</f>
        <v/>
      </c>
      <c r="U68" s="3">
        <f>IF(ISBLANK('Paste Full'!AE68),"",'Paste Full'!AE68)</f>
        <v/>
      </c>
      <c r="V68" s="3">
        <f>IF(ISBLANK('Paste Full'!AF68),"",'Paste Full'!AF68)</f>
        <v/>
      </c>
      <c r="W68" s="3">
        <f>IF(ISBLANK('Paste Full'!AH68),"",'Paste Full'!AH68)</f>
        <v/>
      </c>
      <c r="X68" s="3">
        <f>IF(ISBLANK('Paste Full'!AI68),"",'Paste Full'!AI68)</f>
        <v/>
      </c>
      <c r="Y68" s="3">
        <f>IF(ISBLANK('Paste Full'!AK68),"",'Paste Full'!AK68)</f>
        <v/>
      </c>
      <c r="Z68" s="3">
        <f>IF(ISBLANK('Paste Full'!AL68),"",'Paste Full'!AL68)</f>
        <v/>
      </c>
      <c r="AA68" s="4">
        <f>IF(ISBLANK('Paste Full'!AM68),"",'Paste Full'!AM68)</f>
        <v/>
      </c>
      <c r="AB68" s="4">
        <f>IF(ISBLANK('Paste Full'!AN68),"",'Paste Full'!AN68)</f>
        <v/>
      </c>
      <c r="AC68" s="4">
        <f>IF(ISBLANK('Paste Full'!AO68),"",'Paste Full'!AO68)</f>
        <v/>
      </c>
      <c r="AD68" s="4">
        <f>IF(ISBLANK('Paste Full'!AP68),"",'Paste Full'!AP68)</f>
        <v/>
      </c>
      <c r="AE68" s="4">
        <f>IF(ISBLANK('Paste Full'!AQ68),"",'Paste Full'!AQ68)</f>
        <v/>
      </c>
      <c r="AF68" s="4">
        <f>IF(ISBLANK('Paste Full'!AR68),"",'Paste Full'!AR68)</f>
        <v/>
      </c>
      <c r="AG68" s="4">
        <f>IF(ISBLANK('Paste Full'!AS68),"",'Paste Full'!AS68)</f>
        <v/>
      </c>
      <c r="AH68" s="4">
        <f>IF(ISBLANK('Paste Full'!AV68),"",'Paste Full'!AV68)</f>
        <v/>
      </c>
      <c r="AI68" s="4">
        <f>IF(ISBLANK('Paste Full'!AT68),"",'Paste Full'!AT68)</f>
        <v/>
      </c>
      <c r="AJ68" s="4">
        <f>IF(ISBLANK('Paste Full'!AU68),"",'Paste Full'!AU68)</f>
        <v/>
      </c>
      <c r="AK68" s="4">
        <f>IF(ISBLANK('Paste Full'!AW68),"",'Paste Full'!AW68)</f>
        <v/>
      </c>
      <c r="AL68" s="5">
        <f>IF(ISBLANK('Paste Full'!AX68),"",'Paste Full'!AX68)</f>
        <v/>
      </c>
      <c r="AM68" s="5">
        <f>IF(ISBLANK('Paste Full'!AY68),"",'Paste Full'!AY68)</f>
        <v/>
      </c>
      <c r="AN68" s="5">
        <f>IF(ISBLANK('Paste Full'!AZ68),"",'Paste Full'!AZ68)</f>
        <v/>
      </c>
      <c r="AO68" s="5">
        <f>IF(ISBLANK('Paste Full'!BA68),"",'Paste Full'!BA68)</f>
        <v/>
      </c>
      <c r="AP68" s="5">
        <f>IF(ISBLANK('Paste Full'!BB68),"",'Paste Full'!BB68)</f>
        <v/>
      </c>
      <c r="AQ68" s="5">
        <f>IF(ISBLANK('Paste Full'!BC68),"",'Paste Full'!BC68)</f>
        <v/>
      </c>
      <c r="AR68" s="5">
        <f>IF(ISBLANK('Paste Full'!BD68),"",'Paste Full'!BD68)</f>
        <v/>
      </c>
      <c r="AS68" s="5">
        <f>IF(ISBLANK('Paste Full'!BE68),"",'Paste Full'!BE68)</f>
        <v/>
      </c>
      <c r="AT68" s="5">
        <f>IF(ISBLANK('Paste Full'!BF68),"",'Paste Full'!BF68)</f>
        <v/>
      </c>
      <c r="AU68" s="5">
        <f>IF(ISBLANK('Paste Full'!BG68),"",'Paste Full'!BG68)</f>
        <v/>
      </c>
      <c r="AV68" s="5">
        <f>IF(ISBLANK('Paste Full'!BH68),"",'Paste Full'!BH68)</f>
        <v/>
      </c>
      <c r="AW68" s="5">
        <f>IF(ISBLANK('Paste Full'!BI68),"",'Paste Full'!BI68)</f>
        <v/>
      </c>
      <c r="AX68" s="5">
        <f>IF(ISBLANK('Paste Full'!BJ68),"",'Paste Full'!BJ68)</f>
        <v/>
      </c>
      <c r="AY68" s="5">
        <f>IF(ISBLANK('Paste Full'!BK68),"",'Paste Full'!BK68)</f>
        <v/>
      </c>
      <c r="AZ68" s="6">
        <f>IF(ISBLANK('Paste Full'!BM68),"",'Paste Full'!BM68)</f>
        <v/>
      </c>
      <c r="BA68" s="6">
        <f>IF(ISBLANK('Paste Full'!BN68),"",'Paste Full'!BN68)</f>
        <v/>
      </c>
      <c r="BB68" s="6">
        <f>IF(ISBLANK('Paste Full'!BO68),"",'Paste Full'!BO68)</f>
        <v/>
      </c>
      <c r="BC68" s="6">
        <f>IF(ISBLANK('Paste Full'!BP68),"",'Paste Full'!BP68)</f>
        <v/>
      </c>
      <c r="BD68" s="6">
        <f>IF(ISBLANK('Paste Full'!BR68),"",'Paste Full'!BR68)</f>
        <v/>
      </c>
      <c r="BE68" s="6">
        <f>IF(ISBLANK('Paste Full'!BS68),"",'Paste Full'!BS68)</f>
        <v/>
      </c>
      <c r="BF68" s="6">
        <f>IF(ISBLANK('Paste Full'!BU68),"",'Paste Full'!BU68)</f>
        <v/>
      </c>
      <c r="BG68" s="6">
        <f>IF(ISBLANK('Paste Full'!BV68),"",'Paste Full'!BV68)</f>
        <v/>
      </c>
      <c r="BH68" s="6">
        <f>IF(ISBLANK('Paste Full'!BX68),"",'Paste Full'!BX68)</f>
        <v/>
      </c>
      <c r="BI68" s="6">
        <f>IF(ISBLANK('Paste Full'!BY68),"",'Paste Full'!BY68)</f>
        <v/>
      </c>
      <c r="BJ68" s="13">
        <f>IF(ISBLANK('Paste Full'!BL68),"",'Paste Full'!BL68)</f>
        <v/>
      </c>
      <c r="BK68" s="13">
        <f>IF(ISBLANK('Paste Full'!BQ68),"",'Paste Full'!BQ68)</f>
        <v/>
      </c>
      <c r="BL68" s="13">
        <f>IF(ISBLANK('Paste Full'!BT68),"",'Paste Full'!BT68)</f>
        <v/>
      </c>
      <c r="BM68" s="13">
        <f>IF(ISBLANK('Paste Full'!BW68),"",'Paste Full'!BW68)</f>
        <v/>
      </c>
    </row>
    <row r="69">
      <c r="A69">
        <f>IF(ISBLANK('Paste Full'!C69),"",'Paste Full'!C69)</f>
        <v/>
      </c>
      <c r="B69">
        <f>INDEX($J$1:$R$1, MATCH(MAX($J69:$R69), $J69:$R69, 0))</f>
        <v/>
      </c>
      <c r="C69" s="45">
        <f>IF(ISBLANK('Paste Full'!H69),"",'Paste Full'!H69)</f>
        <v/>
      </c>
      <c r="D69" s="45">
        <f>IF(ISBLANK('Paste Full'!F69),"",'Paste Full'!F69)</f>
        <v/>
      </c>
      <c r="E69" s="45">
        <f>IF(ISBLANK('Paste Full'!G69),"",'Paste Full'!G69)</f>
        <v/>
      </c>
      <c r="F69" s="21">
        <f>IF(ISBLANK('Paste Full'!E69),"",'Paste Full'!E69)</f>
        <v/>
      </c>
      <c r="G69">
        <f>IF(ISBLANK('Paste Full'!CI69),"",'Paste Full'!CI69)</f>
        <v/>
      </c>
      <c r="H69" s="21">
        <f>IF(ISBLANK('Paste Full'!J69),"",'Paste Full'!J69)</f>
        <v/>
      </c>
      <c r="I69" s="21">
        <f>IF(ISBLANK('Paste Full'!D69),"",'Paste Full'!D69)</f>
        <v/>
      </c>
      <c r="J69" s="14">
        <f>AVERAGE(SUMPRODUCT($S69:$BM69,AttWeights!$C$10:$AW$10)/SUM(AttWeights!$C$10:$AW$10),SUMPRODUCT($S69:$BM69,AttWeights!$C$17:$AW$17)/SUM(AttWeights!$C$17:$AW$17))*10</f>
        <v/>
      </c>
      <c r="K69" s="14">
        <f>AVERAGE(SUMPRODUCT($S69:$BM69,AttWeights!$C$7:$AW$7)/SUM(AttWeights!$C$7:$AW$7),SUMPRODUCT($S69:$BM69,AttWeights!$C$15:$AW$15)/SUM(AttWeights!$C$15:$AW$15))*10</f>
        <v/>
      </c>
      <c r="L69" s="14">
        <f>AVERAGE(SUMPRODUCT($S69:$BM69,AttWeights!$C$8:$AW$8)/SUM(AttWeights!$C$8:$AW$8),SUMPRODUCT($S69:$BM69,AttWeights!$C$16:$AW$16)/SUM(AttWeights!$C$16:$AW$16))*10</f>
        <v/>
      </c>
      <c r="M69" s="14">
        <f>AVERAGE(SUMPRODUCT($S69:$BM69,AttWeights!$C$9:$AW$9)/SUM(AttWeights!$C$9:$AW$9),SUMPRODUCT($S69:$BM69,AttWeights!$C$15:$AW$15)/SUM(AttWeights!$C$15:$AW$15))*10</f>
        <v/>
      </c>
      <c r="N69" s="14">
        <f>AVERAGE(SUMPRODUCT($S69:$BM69,AttWeights!$C$6:$AW$6)/SUM(AttWeights!$C$6:$AW$6),SUMPRODUCT($S69:$BM69,AttWeights!$C$14:$AW$14)/SUM(AttWeights!$C$14:$AW$14))*10</f>
        <v/>
      </c>
      <c r="O69" s="14">
        <f>AVERAGE(SUMPRODUCT($S69:$BM69,AttWeights!$C$5:$AW$5)/SUM(AttWeights!$C$5:$AW$5),SUMPRODUCT($S69:$BM69,AttWeights!$C$14:$AW$14)/SUM(AttWeights!$C$14:$AW$14))*10</f>
        <v/>
      </c>
      <c r="P69" s="14">
        <f>AVERAGE(SUMPRODUCT($S69:$BM69,AttWeights!$C$4:$AW$4)/SUM(AttWeights!$C$4:$AW$4),SUMPRODUCT($S69:$BM69,AttWeights!$C$13:$AW$13)/SUM(AttWeights!$C$13:$AW$13))*10</f>
        <v/>
      </c>
      <c r="Q69" s="14">
        <f>AVERAGE(SUMPRODUCT($S69:$BM69,AttWeights!$C$3:$AW$3)/SUM(AttWeights!$C$3:$AW$3),SUMPRODUCT($S69:$BM69,AttWeights!$C$12:$AW$12)/SUM(AttWeights!$C$12:$AW$12))*10</f>
        <v/>
      </c>
      <c r="R69" s="14">
        <f>AVERAGE(SUMPRODUCT($S69:$BM69,AttWeights!$C$2:$AW$2)/SUM(AttWeights!$C$2:$AW$2),SUMPRODUCT($S69:$BM69,AttWeights!$C$11:$AW$11)/SUM(AttWeights!$C$11:$AW$11))*10</f>
        <v/>
      </c>
      <c r="S69" s="3">
        <f>IF(ISBLANK('Paste Full'!AC69),"",'Paste Full'!AC69)</f>
        <v/>
      </c>
      <c r="T69" s="3">
        <f>IF(ISBLANK('Paste Full'!AD69),"",'Paste Full'!AD69)</f>
        <v/>
      </c>
      <c r="U69" s="3">
        <f>IF(ISBLANK('Paste Full'!AE69),"",'Paste Full'!AE69)</f>
        <v/>
      </c>
      <c r="V69" s="3">
        <f>IF(ISBLANK('Paste Full'!AF69),"",'Paste Full'!AF69)</f>
        <v/>
      </c>
      <c r="W69" s="3">
        <f>IF(ISBLANK('Paste Full'!AH69),"",'Paste Full'!AH69)</f>
        <v/>
      </c>
      <c r="X69" s="3">
        <f>IF(ISBLANK('Paste Full'!AI69),"",'Paste Full'!AI69)</f>
        <v/>
      </c>
      <c r="Y69" s="3">
        <f>IF(ISBLANK('Paste Full'!AK69),"",'Paste Full'!AK69)</f>
        <v/>
      </c>
      <c r="Z69" s="3">
        <f>IF(ISBLANK('Paste Full'!AL69),"",'Paste Full'!AL69)</f>
        <v/>
      </c>
      <c r="AA69" s="4">
        <f>IF(ISBLANK('Paste Full'!AM69),"",'Paste Full'!AM69)</f>
        <v/>
      </c>
      <c r="AB69" s="4">
        <f>IF(ISBLANK('Paste Full'!AN69),"",'Paste Full'!AN69)</f>
        <v/>
      </c>
      <c r="AC69" s="4">
        <f>IF(ISBLANK('Paste Full'!AO69),"",'Paste Full'!AO69)</f>
        <v/>
      </c>
      <c r="AD69" s="4">
        <f>IF(ISBLANK('Paste Full'!AP69),"",'Paste Full'!AP69)</f>
        <v/>
      </c>
      <c r="AE69" s="4">
        <f>IF(ISBLANK('Paste Full'!AQ69),"",'Paste Full'!AQ69)</f>
        <v/>
      </c>
      <c r="AF69" s="4">
        <f>IF(ISBLANK('Paste Full'!AR69),"",'Paste Full'!AR69)</f>
        <v/>
      </c>
      <c r="AG69" s="4">
        <f>IF(ISBLANK('Paste Full'!AS69),"",'Paste Full'!AS69)</f>
        <v/>
      </c>
      <c r="AH69" s="4">
        <f>IF(ISBLANK('Paste Full'!AV69),"",'Paste Full'!AV69)</f>
        <v/>
      </c>
      <c r="AI69" s="4">
        <f>IF(ISBLANK('Paste Full'!AT69),"",'Paste Full'!AT69)</f>
        <v/>
      </c>
      <c r="AJ69" s="4">
        <f>IF(ISBLANK('Paste Full'!AU69),"",'Paste Full'!AU69)</f>
        <v/>
      </c>
      <c r="AK69" s="4">
        <f>IF(ISBLANK('Paste Full'!AW69),"",'Paste Full'!AW69)</f>
        <v/>
      </c>
      <c r="AL69" s="5">
        <f>IF(ISBLANK('Paste Full'!AX69),"",'Paste Full'!AX69)</f>
        <v/>
      </c>
      <c r="AM69" s="5">
        <f>IF(ISBLANK('Paste Full'!AY69),"",'Paste Full'!AY69)</f>
        <v/>
      </c>
      <c r="AN69" s="5">
        <f>IF(ISBLANK('Paste Full'!AZ69),"",'Paste Full'!AZ69)</f>
        <v/>
      </c>
      <c r="AO69" s="5">
        <f>IF(ISBLANK('Paste Full'!BA69),"",'Paste Full'!BA69)</f>
        <v/>
      </c>
      <c r="AP69" s="5">
        <f>IF(ISBLANK('Paste Full'!BB69),"",'Paste Full'!BB69)</f>
        <v/>
      </c>
      <c r="AQ69" s="5">
        <f>IF(ISBLANK('Paste Full'!BC69),"",'Paste Full'!BC69)</f>
        <v/>
      </c>
      <c r="AR69" s="5">
        <f>IF(ISBLANK('Paste Full'!BD69),"",'Paste Full'!BD69)</f>
        <v/>
      </c>
      <c r="AS69" s="5">
        <f>IF(ISBLANK('Paste Full'!BE69),"",'Paste Full'!BE69)</f>
        <v/>
      </c>
      <c r="AT69" s="5">
        <f>IF(ISBLANK('Paste Full'!BF69),"",'Paste Full'!BF69)</f>
        <v/>
      </c>
      <c r="AU69" s="5">
        <f>IF(ISBLANK('Paste Full'!BG69),"",'Paste Full'!BG69)</f>
        <v/>
      </c>
      <c r="AV69" s="5">
        <f>IF(ISBLANK('Paste Full'!BH69),"",'Paste Full'!BH69)</f>
        <v/>
      </c>
      <c r="AW69" s="5">
        <f>IF(ISBLANK('Paste Full'!BI69),"",'Paste Full'!BI69)</f>
        <v/>
      </c>
      <c r="AX69" s="5">
        <f>IF(ISBLANK('Paste Full'!BJ69),"",'Paste Full'!BJ69)</f>
        <v/>
      </c>
      <c r="AY69" s="5">
        <f>IF(ISBLANK('Paste Full'!BK69),"",'Paste Full'!BK69)</f>
        <v/>
      </c>
      <c r="AZ69" s="6">
        <f>IF(ISBLANK('Paste Full'!BM69),"",'Paste Full'!BM69)</f>
        <v/>
      </c>
      <c r="BA69" s="6">
        <f>IF(ISBLANK('Paste Full'!BN69),"",'Paste Full'!BN69)</f>
        <v/>
      </c>
      <c r="BB69" s="6">
        <f>IF(ISBLANK('Paste Full'!BO69),"",'Paste Full'!BO69)</f>
        <v/>
      </c>
      <c r="BC69" s="6">
        <f>IF(ISBLANK('Paste Full'!BP69),"",'Paste Full'!BP69)</f>
        <v/>
      </c>
      <c r="BD69" s="6">
        <f>IF(ISBLANK('Paste Full'!BR69),"",'Paste Full'!BR69)</f>
        <v/>
      </c>
      <c r="BE69" s="6">
        <f>IF(ISBLANK('Paste Full'!BS69),"",'Paste Full'!BS69)</f>
        <v/>
      </c>
      <c r="BF69" s="6">
        <f>IF(ISBLANK('Paste Full'!BU69),"",'Paste Full'!BU69)</f>
        <v/>
      </c>
      <c r="BG69" s="6">
        <f>IF(ISBLANK('Paste Full'!BV69),"",'Paste Full'!BV69)</f>
        <v/>
      </c>
      <c r="BH69" s="6">
        <f>IF(ISBLANK('Paste Full'!BX69),"",'Paste Full'!BX69)</f>
        <v/>
      </c>
      <c r="BI69" s="6">
        <f>IF(ISBLANK('Paste Full'!BY69),"",'Paste Full'!BY69)</f>
        <v/>
      </c>
      <c r="BJ69" s="13">
        <f>IF(ISBLANK('Paste Full'!BL69),"",'Paste Full'!BL69)</f>
        <v/>
      </c>
      <c r="BK69" s="13">
        <f>IF(ISBLANK('Paste Full'!BQ69),"",'Paste Full'!BQ69)</f>
        <v/>
      </c>
      <c r="BL69" s="13">
        <f>IF(ISBLANK('Paste Full'!BT69),"",'Paste Full'!BT69)</f>
        <v/>
      </c>
      <c r="BM69" s="13">
        <f>IF(ISBLANK('Paste Full'!BW69),"",'Paste Full'!BW69)</f>
        <v/>
      </c>
    </row>
    <row r="70">
      <c r="A70">
        <f>IF(ISBLANK('Paste Full'!C70),"",'Paste Full'!C70)</f>
        <v/>
      </c>
      <c r="B70">
        <f>INDEX($J$1:$R$1, MATCH(MAX($J70:$R70), $J70:$R70, 0))</f>
        <v/>
      </c>
      <c r="C70" s="45">
        <f>IF(ISBLANK('Paste Full'!H70),"",'Paste Full'!H70)</f>
        <v/>
      </c>
      <c r="D70" s="45">
        <f>IF(ISBLANK('Paste Full'!F70),"",'Paste Full'!F70)</f>
        <v/>
      </c>
      <c r="E70" s="45">
        <f>IF(ISBLANK('Paste Full'!G70),"",'Paste Full'!G70)</f>
        <v/>
      </c>
      <c r="F70" s="21">
        <f>IF(ISBLANK('Paste Full'!E70),"",'Paste Full'!E70)</f>
        <v/>
      </c>
      <c r="G70">
        <f>IF(ISBLANK('Paste Full'!CI70),"",'Paste Full'!CI70)</f>
        <v/>
      </c>
      <c r="H70" s="21">
        <f>IF(ISBLANK('Paste Full'!J70),"",'Paste Full'!J70)</f>
        <v/>
      </c>
      <c r="I70" s="21">
        <f>IF(ISBLANK('Paste Full'!D70),"",'Paste Full'!D70)</f>
        <v/>
      </c>
      <c r="J70" s="14">
        <f>AVERAGE(SUMPRODUCT($S70:$BM70,AttWeights!$C$10:$AW$10)/SUM(AttWeights!$C$10:$AW$10),SUMPRODUCT($S70:$BM70,AttWeights!$C$17:$AW$17)/SUM(AttWeights!$C$17:$AW$17))*10</f>
        <v/>
      </c>
      <c r="K70" s="14">
        <f>AVERAGE(SUMPRODUCT($S70:$BM70,AttWeights!$C$7:$AW$7)/SUM(AttWeights!$C$7:$AW$7),SUMPRODUCT($S70:$BM70,AttWeights!$C$15:$AW$15)/SUM(AttWeights!$C$15:$AW$15))*10</f>
        <v/>
      </c>
      <c r="L70" s="14">
        <f>AVERAGE(SUMPRODUCT($S70:$BM70,AttWeights!$C$8:$AW$8)/SUM(AttWeights!$C$8:$AW$8),SUMPRODUCT($S70:$BM70,AttWeights!$C$16:$AW$16)/SUM(AttWeights!$C$16:$AW$16))*10</f>
        <v/>
      </c>
      <c r="M70" s="14">
        <f>AVERAGE(SUMPRODUCT($S70:$BM70,AttWeights!$C$9:$AW$9)/SUM(AttWeights!$C$9:$AW$9),SUMPRODUCT($S70:$BM70,AttWeights!$C$15:$AW$15)/SUM(AttWeights!$C$15:$AW$15))*10</f>
        <v/>
      </c>
      <c r="N70" s="14">
        <f>AVERAGE(SUMPRODUCT($S70:$BM70,AttWeights!$C$6:$AW$6)/SUM(AttWeights!$C$6:$AW$6),SUMPRODUCT($S70:$BM70,AttWeights!$C$14:$AW$14)/SUM(AttWeights!$C$14:$AW$14))*10</f>
        <v/>
      </c>
      <c r="O70" s="14">
        <f>AVERAGE(SUMPRODUCT($S70:$BM70,AttWeights!$C$5:$AW$5)/SUM(AttWeights!$C$5:$AW$5),SUMPRODUCT($S70:$BM70,AttWeights!$C$14:$AW$14)/SUM(AttWeights!$C$14:$AW$14))*10</f>
        <v/>
      </c>
      <c r="P70" s="14">
        <f>AVERAGE(SUMPRODUCT($S70:$BM70,AttWeights!$C$4:$AW$4)/SUM(AttWeights!$C$4:$AW$4),SUMPRODUCT($S70:$BM70,AttWeights!$C$13:$AW$13)/SUM(AttWeights!$C$13:$AW$13))*10</f>
        <v/>
      </c>
      <c r="Q70" s="14">
        <f>AVERAGE(SUMPRODUCT($S70:$BM70,AttWeights!$C$3:$AW$3)/SUM(AttWeights!$C$3:$AW$3),SUMPRODUCT($S70:$BM70,AttWeights!$C$12:$AW$12)/SUM(AttWeights!$C$12:$AW$12))*10</f>
        <v/>
      </c>
      <c r="R70" s="14">
        <f>AVERAGE(SUMPRODUCT($S70:$BM70,AttWeights!$C$2:$AW$2)/SUM(AttWeights!$C$2:$AW$2),SUMPRODUCT($S70:$BM70,AttWeights!$C$11:$AW$11)/SUM(AttWeights!$C$11:$AW$11))*10</f>
        <v/>
      </c>
      <c r="S70" s="3">
        <f>IF(ISBLANK('Paste Full'!AC70),"",'Paste Full'!AC70)</f>
        <v/>
      </c>
      <c r="T70" s="3">
        <f>IF(ISBLANK('Paste Full'!AD70),"",'Paste Full'!AD70)</f>
        <v/>
      </c>
      <c r="U70" s="3">
        <f>IF(ISBLANK('Paste Full'!AE70),"",'Paste Full'!AE70)</f>
        <v/>
      </c>
      <c r="V70" s="3">
        <f>IF(ISBLANK('Paste Full'!AF70),"",'Paste Full'!AF70)</f>
        <v/>
      </c>
      <c r="W70" s="3">
        <f>IF(ISBLANK('Paste Full'!AH70),"",'Paste Full'!AH70)</f>
        <v/>
      </c>
      <c r="X70" s="3">
        <f>IF(ISBLANK('Paste Full'!AI70),"",'Paste Full'!AI70)</f>
        <v/>
      </c>
      <c r="Y70" s="3">
        <f>IF(ISBLANK('Paste Full'!AK70),"",'Paste Full'!AK70)</f>
        <v/>
      </c>
      <c r="Z70" s="3">
        <f>IF(ISBLANK('Paste Full'!AL70),"",'Paste Full'!AL70)</f>
        <v/>
      </c>
      <c r="AA70" s="4">
        <f>IF(ISBLANK('Paste Full'!AM70),"",'Paste Full'!AM70)</f>
        <v/>
      </c>
      <c r="AB70" s="4">
        <f>IF(ISBLANK('Paste Full'!AN70),"",'Paste Full'!AN70)</f>
        <v/>
      </c>
      <c r="AC70" s="4">
        <f>IF(ISBLANK('Paste Full'!AO70),"",'Paste Full'!AO70)</f>
        <v/>
      </c>
      <c r="AD70" s="4">
        <f>IF(ISBLANK('Paste Full'!AP70),"",'Paste Full'!AP70)</f>
        <v/>
      </c>
      <c r="AE70" s="4">
        <f>IF(ISBLANK('Paste Full'!AQ70),"",'Paste Full'!AQ70)</f>
        <v/>
      </c>
      <c r="AF70" s="4">
        <f>IF(ISBLANK('Paste Full'!AR70),"",'Paste Full'!AR70)</f>
        <v/>
      </c>
      <c r="AG70" s="4">
        <f>IF(ISBLANK('Paste Full'!AS70),"",'Paste Full'!AS70)</f>
        <v/>
      </c>
      <c r="AH70" s="4">
        <f>IF(ISBLANK('Paste Full'!AV70),"",'Paste Full'!AV70)</f>
        <v/>
      </c>
      <c r="AI70" s="4">
        <f>IF(ISBLANK('Paste Full'!AT70),"",'Paste Full'!AT70)</f>
        <v/>
      </c>
      <c r="AJ70" s="4">
        <f>IF(ISBLANK('Paste Full'!AU70),"",'Paste Full'!AU70)</f>
        <v/>
      </c>
      <c r="AK70" s="4">
        <f>IF(ISBLANK('Paste Full'!AW70),"",'Paste Full'!AW70)</f>
        <v/>
      </c>
      <c r="AL70" s="5">
        <f>IF(ISBLANK('Paste Full'!AX70),"",'Paste Full'!AX70)</f>
        <v/>
      </c>
      <c r="AM70" s="5">
        <f>IF(ISBLANK('Paste Full'!AY70),"",'Paste Full'!AY70)</f>
        <v/>
      </c>
      <c r="AN70" s="5">
        <f>IF(ISBLANK('Paste Full'!AZ70),"",'Paste Full'!AZ70)</f>
        <v/>
      </c>
      <c r="AO70" s="5">
        <f>IF(ISBLANK('Paste Full'!BA70),"",'Paste Full'!BA70)</f>
        <v/>
      </c>
      <c r="AP70" s="5">
        <f>IF(ISBLANK('Paste Full'!BB70),"",'Paste Full'!BB70)</f>
        <v/>
      </c>
      <c r="AQ70" s="5">
        <f>IF(ISBLANK('Paste Full'!BC70),"",'Paste Full'!BC70)</f>
        <v/>
      </c>
      <c r="AR70" s="5">
        <f>IF(ISBLANK('Paste Full'!BD70),"",'Paste Full'!BD70)</f>
        <v/>
      </c>
      <c r="AS70" s="5">
        <f>IF(ISBLANK('Paste Full'!BE70),"",'Paste Full'!BE70)</f>
        <v/>
      </c>
      <c r="AT70" s="5">
        <f>IF(ISBLANK('Paste Full'!BF70),"",'Paste Full'!BF70)</f>
        <v/>
      </c>
      <c r="AU70" s="5">
        <f>IF(ISBLANK('Paste Full'!BG70),"",'Paste Full'!BG70)</f>
        <v/>
      </c>
      <c r="AV70" s="5">
        <f>IF(ISBLANK('Paste Full'!BH70),"",'Paste Full'!BH70)</f>
        <v/>
      </c>
      <c r="AW70" s="5">
        <f>IF(ISBLANK('Paste Full'!BI70),"",'Paste Full'!BI70)</f>
        <v/>
      </c>
      <c r="AX70" s="5">
        <f>IF(ISBLANK('Paste Full'!BJ70),"",'Paste Full'!BJ70)</f>
        <v/>
      </c>
      <c r="AY70" s="5">
        <f>IF(ISBLANK('Paste Full'!BK70),"",'Paste Full'!BK70)</f>
        <v/>
      </c>
      <c r="AZ70" s="6">
        <f>IF(ISBLANK('Paste Full'!BM70),"",'Paste Full'!BM70)</f>
        <v/>
      </c>
      <c r="BA70" s="6">
        <f>IF(ISBLANK('Paste Full'!BN70),"",'Paste Full'!BN70)</f>
        <v/>
      </c>
      <c r="BB70" s="6">
        <f>IF(ISBLANK('Paste Full'!BO70),"",'Paste Full'!BO70)</f>
        <v/>
      </c>
      <c r="BC70" s="6">
        <f>IF(ISBLANK('Paste Full'!BP70),"",'Paste Full'!BP70)</f>
        <v/>
      </c>
      <c r="BD70" s="6">
        <f>IF(ISBLANK('Paste Full'!BR70),"",'Paste Full'!BR70)</f>
        <v/>
      </c>
      <c r="BE70" s="6">
        <f>IF(ISBLANK('Paste Full'!BS70),"",'Paste Full'!BS70)</f>
        <v/>
      </c>
      <c r="BF70" s="6">
        <f>IF(ISBLANK('Paste Full'!BU70),"",'Paste Full'!BU70)</f>
        <v/>
      </c>
      <c r="BG70" s="6">
        <f>IF(ISBLANK('Paste Full'!BV70),"",'Paste Full'!BV70)</f>
        <v/>
      </c>
      <c r="BH70" s="6">
        <f>IF(ISBLANK('Paste Full'!BX70),"",'Paste Full'!BX70)</f>
        <v/>
      </c>
      <c r="BI70" s="6">
        <f>IF(ISBLANK('Paste Full'!BY70),"",'Paste Full'!BY70)</f>
        <v/>
      </c>
      <c r="BJ70" s="13">
        <f>IF(ISBLANK('Paste Full'!BL70),"",'Paste Full'!BL70)</f>
        <v/>
      </c>
      <c r="BK70" s="13">
        <f>IF(ISBLANK('Paste Full'!BQ70),"",'Paste Full'!BQ70)</f>
        <v/>
      </c>
      <c r="BL70" s="13">
        <f>IF(ISBLANK('Paste Full'!BT70),"",'Paste Full'!BT70)</f>
        <v/>
      </c>
      <c r="BM70" s="13">
        <f>IF(ISBLANK('Paste Full'!BW70),"",'Paste Full'!BW70)</f>
        <v/>
      </c>
    </row>
    <row r="71">
      <c r="A71">
        <f>IF(ISBLANK('Paste Full'!C71),"",'Paste Full'!C71)</f>
        <v/>
      </c>
      <c r="B71">
        <f>INDEX($J$1:$R$1, MATCH(MAX($J71:$R71), $J71:$R71, 0))</f>
        <v/>
      </c>
      <c r="C71" s="45">
        <f>IF(ISBLANK('Paste Full'!H71),"",'Paste Full'!H71)</f>
        <v/>
      </c>
      <c r="D71" s="45">
        <f>IF(ISBLANK('Paste Full'!F71),"",'Paste Full'!F71)</f>
        <v/>
      </c>
      <c r="E71" s="45">
        <f>IF(ISBLANK('Paste Full'!G71),"",'Paste Full'!G71)</f>
        <v/>
      </c>
      <c r="F71" s="21">
        <f>IF(ISBLANK('Paste Full'!E71),"",'Paste Full'!E71)</f>
        <v/>
      </c>
      <c r="G71">
        <f>IF(ISBLANK('Paste Full'!CI71),"",'Paste Full'!CI71)</f>
        <v/>
      </c>
      <c r="H71" s="21">
        <f>IF(ISBLANK('Paste Full'!J71),"",'Paste Full'!J71)</f>
        <v/>
      </c>
      <c r="I71" s="21">
        <f>IF(ISBLANK('Paste Full'!D71),"",'Paste Full'!D71)</f>
        <v/>
      </c>
      <c r="J71" s="14">
        <f>AVERAGE(SUMPRODUCT($S71:$BM71,AttWeights!$C$10:$AW$10)/SUM(AttWeights!$C$10:$AW$10),SUMPRODUCT($S71:$BM71,AttWeights!$C$17:$AW$17)/SUM(AttWeights!$C$17:$AW$17))*10</f>
        <v/>
      </c>
      <c r="K71" s="14">
        <f>AVERAGE(SUMPRODUCT($S71:$BM71,AttWeights!$C$7:$AW$7)/SUM(AttWeights!$C$7:$AW$7),SUMPRODUCT($S71:$BM71,AttWeights!$C$15:$AW$15)/SUM(AttWeights!$C$15:$AW$15))*10</f>
        <v/>
      </c>
      <c r="L71" s="14">
        <f>AVERAGE(SUMPRODUCT($S71:$BM71,AttWeights!$C$8:$AW$8)/SUM(AttWeights!$C$8:$AW$8),SUMPRODUCT($S71:$BM71,AttWeights!$C$16:$AW$16)/SUM(AttWeights!$C$16:$AW$16))*10</f>
        <v/>
      </c>
      <c r="M71" s="14">
        <f>AVERAGE(SUMPRODUCT($S71:$BM71,AttWeights!$C$9:$AW$9)/SUM(AttWeights!$C$9:$AW$9),SUMPRODUCT($S71:$BM71,AttWeights!$C$15:$AW$15)/SUM(AttWeights!$C$15:$AW$15))*10</f>
        <v/>
      </c>
      <c r="N71" s="14">
        <f>AVERAGE(SUMPRODUCT($S71:$BM71,AttWeights!$C$6:$AW$6)/SUM(AttWeights!$C$6:$AW$6),SUMPRODUCT($S71:$BM71,AttWeights!$C$14:$AW$14)/SUM(AttWeights!$C$14:$AW$14))*10</f>
        <v/>
      </c>
      <c r="O71" s="14">
        <f>AVERAGE(SUMPRODUCT($S71:$BM71,AttWeights!$C$5:$AW$5)/SUM(AttWeights!$C$5:$AW$5),SUMPRODUCT($S71:$BM71,AttWeights!$C$14:$AW$14)/SUM(AttWeights!$C$14:$AW$14))*10</f>
        <v/>
      </c>
      <c r="P71" s="14">
        <f>AVERAGE(SUMPRODUCT($S71:$BM71,AttWeights!$C$4:$AW$4)/SUM(AttWeights!$C$4:$AW$4),SUMPRODUCT($S71:$BM71,AttWeights!$C$13:$AW$13)/SUM(AttWeights!$C$13:$AW$13))*10</f>
        <v/>
      </c>
      <c r="Q71" s="14">
        <f>AVERAGE(SUMPRODUCT($S71:$BM71,AttWeights!$C$3:$AW$3)/SUM(AttWeights!$C$3:$AW$3),SUMPRODUCT($S71:$BM71,AttWeights!$C$12:$AW$12)/SUM(AttWeights!$C$12:$AW$12))*10</f>
        <v/>
      </c>
      <c r="R71" s="14">
        <f>AVERAGE(SUMPRODUCT($S71:$BM71,AttWeights!$C$2:$AW$2)/SUM(AttWeights!$C$2:$AW$2),SUMPRODUCT($S71:$BM71,AttWeights!$C$11:$AW$11)/SUM(AttWeights!$C$11:$AW$11))*10</f>
        <v/>
      </c>
      <c r="S71" s="3">
        <f>IF(ISBLANK('Paste Full'!AC71),"",'Paste Full'!AC71)</f>
        <v/>
      </c>
      <c r="T71" s="3">
        <f>IF(ISBLANK('Paste Full'!AD71),"",'Paste Full'!AD71)</f>
        <v/>
      </c>
      <c r="U71" s="3">
        <f>IF(ISBLANK('Paste Full'!AE71),"",'Paste Full'!AE71)</f>
        <v/>
      </c>
      <c r="V71" s="3">
        <f>IF(ISBLANK('Paste Full'!AF71),"",'Paste Full'!AF71)</f>
        <v/>
      </c>
      <c r="W71" s="3">
        <f>IF(ISBLANK('Paste Full'!AH71),"",'Paste Full'!AH71)</f>
        <v/>
      </c>
      <c r="X71" s="3">
        <f>IF(ISBLANK('Paste Full'!AI71),"",'Paste Full'!AI71)</f>
        <v/>
      </c>
      <c r="Y71" s="3">
        <f>IF(ISBLANK('Paste Full'!AK71),"",'Paste Full'!AK71)</f>
        <v/>
      </c>
      <c r="Z71" s="3">
        <f>IF(ISBLANK('Paste Full'!AL71),"",'Paste Full'!AL71)</f>
        <v/>
      </c>
      <c r="AA71" s="4">
        <f>IF(ISBLANK('Paste Full'!AM71),"",'Paste Full'!AM71)</f>
        <v/>
      </c>
      <c r="AB71" s="4">
        <f>IF(ISBLANK('Paste Full'!AN71),"",'Paste Full'!AN71)</f>
        <v/>
      </c>
      <c r="AC71" s="4">
        <f>IF(ISBLANK('Paste Full'!AO71),"",'Paste Full'!AO71)</f>
        <v/>
      </c>
      <c r="AD71" s="4">
        <f>IF(ISBLANK('Paste Full'!AP71),"",'Paste Full'!AP71)</f>
        <v/>
      </c>
      <c r="AE71" s="4">
        <f>IF(ISBLANK('Paste Full'!AQ71),"",'Paste Full'!AQ71)</f>
        <v/>
      </c>
      <c r="AF71" s="4">
        <f>IF(ISBLANK('Paste Full'!AR71),"",'Paste Full'!AR71)</f>
        <v/>
      </c>
      <c r="AG71" s="4">
        <f>IF(ISBLANK('Paste Full'!AS71),"",'Paste Full'!AS71)</f>
        <v/>
      </c>
      <c r="AH71" s="4">
        <f>IF(ISBLANK('Paste Full'!AV71),"",'Paste Full'!AV71)</f>
        <v/>
      </c>
      <c r="AI71" s="4">
        <f>IF(ISBLANK('Paste Full'!AT71),"",'Paste Full'!AT71)</f>
        <v/>
      </c>
      <c r="AJ71" s="4">
        <f>IF(ISBLANK('Paste Full'!AU71),"",'Paste Full'!AU71)</f>
        <v/>
      </c>
      <c r="AK71" s="4">
        <f>IF(ISBLANK('Paste Full'!AW71),"",'Paste Full'!AW71)</f>
        <v/>
      </c>
      <c r="AL71" s="5">
        <f>IF(ISBLANK('Paste Full'!AX71),"",'Paste Full'!AX71)</f>
        <v/>
      </c>
      <c r="AM71" s="5">
        <f>IF(ISBLANK('Paste Full'!AY71),"",'Paste Full'!AY71)</f>
        <v/>
      </c>
      <c r="AN71" s="5">
        <f>IF(ISBLANK('Paste Full'!AZ71),"",'Paste Full'!AZ71)</f>
        <v/>
      </c>
      <c r="AO71" s="5">
        <f>IF(ISBLANK('Paste Full'!BA71),"",'Paste Full'!BA71)</f>
        <v/>
      </c>
      <c r="AP71" s="5">
        <f>IF(ISBLANK('Paste Full'!BB71),"",'Paste Full'!BB71)</f>
        <v/>
      </c>
      <c r="AQ71" s="5">
        <f>IF(ISBLANK('Paste Full'!BC71),"",'Paste Full'!BC71)</f>
        <v/>
      </c>
      <c r="AR71" s="5">
        <f>IF(ISBLANK('Paste Full'!BD71),"",'Paste Full'!BD71)</f>
        <v/>
      </c>
      <c r="AS71" s="5">
        <f>IF(ISBLANK('Paste Full'!BE71),"",'Paste Full'!BE71)</f>
        <v/>
      </c>
      <c r="AT71" s="5">
        <f>IF(ISBLANK('Paste Full'!BF71),"",'Paste Full'!BF71)</f>
        <v/>
      </c>
      <c r="AU71" s="5">
        <f>IF(ISBLANK('Paste Full'!BG71),"",'Paste Full'!BG71)</f>
        <v/>
      </c>
      <c r="AV71" s="5">
        <f>IF(ISBLANK('Paste Full'!BH71),"",'Paste Full'!BH71)</f>
        <v/>
      </c>
      <c r="AW71" s="5">
        <f>IF(ISBLANK('Paste Full'!BI71),"",'Paste Full'!BI71)</f>
        <v/>
      </c>
      <c r="AX71" s="5">
        <f>IF(ISBLANK('Paste Full'!BJ71),"",'Paste Full'!BJ71)</f>
        <v/>
      </c>
      <c r="AY71" s="5">
        <f>IF(ISBLANK('Paste Full'!BK71),"",'Paste Full'!BK71)</f>
        <v/>
      </c>
      <c r="AZ71" s="6">
        <f>IF(ISBLANK('Paste Full'!BM71),"",'Paste Full'!BM71)</f>
        <v/>
      </c>
      <c r="BA71" s="6">
        <f>IF(ISBLANK('Paste Full'!BN71),"",'Paste Full'!BN71)</f>
        <v/>
      </c>
      <c r="BB71" s="6">
        <f>IF(ISBLANK('Paste Full'!BO71),"",'Paste Full'!BO71)</f>
        <v/>
      </c>
      <c r="BC71" s="6">
        <f>IF(ISBLANK('Paste Full'!BP71),"",'Paste Full'!BP71)</f>
        <v/>
      </c>
      <c r="BD71" s="6">
        <f>IF(ISBLANK('Paste Full'!BR71),"",'Paste Full'!BR71)</f>
        <v/>
      </c>
      <c r="BE71" s="6">
        <f>IF(ISBLANK('Paste Full'!BS71),"",'Paste Full'!BS71)</f>
        <v/>
      </c>
      <c r="BF71" s="6">
        <f>IF(ISBLANK('Paste Full'!BU71),"",'Paste Full'!BU71)</f>
        <v/>
      </c>
      <c r="BG71" s="6">
        <f>IF(ISBLANK('Paste Full'!BV71),"",'Paste Full'!BV71)</f>
        <v/>
      </c>
      <c r="BH71" s="6">
        <f>IF(ISBLANK('Paste Full'!BX71),"",'Paste Full'!BX71)</f>
        <v/>
      </c>
      <c r="BI71" s="6">
        <f>IF(ISBLANK('Paste Full'!BY71),"",'Paste Full'!BY71)</f>
        <v/>
      </c>
      <c r="BJ71" s="13">
        <f>IF(ISBLANK('Paste Full'!BL71),"",'Paste Full'!BL71)</f>
        <v/>
      </c>
      <c r="BK71" s="13">
        <f>IF(ISBLANK('Paste Full'!BQ71),"",'Paste Full'!BQ71)</f>
        <v/>
      </c>
      <c r="BL71" s="13">
        <f>IF(ISBLANK('Paste Full'!BT71),"",'Paste Full'!BT71)</f>
        <v/>
      </c>
      <c r="BM71" s="13">
        <f>IF(ISBLANK('Paste Full'!BW71),"",'Paste Full'!BW71)</f>
        <v/>
      </c>
    </row>
    <row r="72">
      <c r="A72">
        <f>IF(ISBLANK('Paste Full'!C72),"",'Paste Full'!C72)</f>
        <v/>
      </c>
      <c r="B72">
        <f>INDEX($J$1:$R$1, MATCH(MAX($J72:$R72), $J72:$R72, 0))</f>
        <v/>
      </c>
      <c r="C72" s="45">
        <f>IF(ISBLANK('Paste Full'!H72),"",'Paste Full'!H72)</f>
        <v/>
      </c>
      <c r="D72" s="45">
        <f>IF(ISBLANK('Paste Full'!F72),"",'Paste Full'!F72)</f>
        <v/>
      </c>
      <c r="E72" s="45">
        <f>IF(ISBLANK('Paste Full'!G72),"",'Paste Full'!G72)</f>
        <v/>
      </c>
      <c r="F72" s="21">
        <f>IF(ISBLANK('Paste Full'!E72),"",'Paste Full'!E72)</f>
        <v/>
      </c>
      <c r="G72">
        <f>IF(ISBLANK('Paste Full'!CI72),"",'Paste Full'!CI72)</f>
        <v/>
      </c>
      <c r="H72" s="21">
        <f>IF(ISBLANK('Paste Full'!J72),"",'Paste Full'!J72)</f>
        <v/>
      </c>
      <c r="I72" s="21">
        <f>IF(ISBLANK('Paste Full'!D72),"",'Paste Full'!D72)</f>
        <v/>
      </c>
      <c r="J72" s="14">
        <f>AVERAGE(SUMPRODUCT($S72:$BM72,AttWeights!$C$10:$AW$10)/SUM(AttWeights!$C$10:$AW$10),SUMPRODUCT($S72:$BM72,AttWeights!$C$17:$AW$17)/SUM(AttWeights!$C$17:$AW$17))*10</f>
        <v/>
      </c>
      <c r="K72" s="14">
        <f>AVERAGE(SUMPRODUCT($S72:$BM72,AttWeights!$C$7:$AW$7)/SUM(AttWeights!$C$7:$AW$7),SUMPRODUCT($S72:$BM72,AttWeights!$C$15:$AW$15)/SUM(AttWeights!$C$15:$AW$15))*10</f>
        <v/>
      </c>
      <c r="L72" s="14">
        <f>AVERAGE(SUMPRODUCT($S72:$BM72,AttWeights!$C$8:$AW$8)/SUM(AttWeights!$C$8:$AW$8),SUMPRODUCT($S72:$BM72,AttWeights!$C$16:$AW$16)/SUM(AttWeights!$C$16:$AW$16))*10</f>
        <v/>
      </c>
      <c r="M72" s="14">
        <f>AVERAGE(SUMPRODUCT($S72:$BM72,AttWeights!$C$9:$AW$9)/SUM(AttWeights!$C$9:$AW$9),SUMPRODUCT($S72:$BM72,AttWeights!$C$15:$AW$15)/SUM(AttWeights!$C$15:$AW$15))*10</f>
        <v/>
      </c>
      <c r="N72" s="14">
        <f>AVERAGE(SUMPRODUCT($S72:$BM72,AttWeights!$C$6:$AW$6)/SUM(AttWeights!$C$6:$AW$6),SUMPRODUCT($S72:$BM72,AttWeights!$C$14:$AW$14)/SUM(AttWeights!$C$14:$AW$14))*10</f>
        <v/>
      </c>
      <c r="O72" s="14">
        <f>AVERAGE(SUMPRODUCT($S72:$BM72,AttWeights!$C$5:$AW$5)/SUM(AttWeights!$C$5:$AW$5),SUMPRODUCT($S72:$BM72,AttWeights!$C$14:$AW$14)/SUM(AttWeights!$C$14:$AW$14))*10</f>
        <v/>
      </c>
      <c r="P72" s="14">
        <f>AVERAGE(SUMPRODUCT($S72:$BM72,AttWeights!$C$4:$AW$4)/SUM(AttWeights!$C$4:$AW$4),SUMPRODUCT($S72:$BM72,AttWeights!$C$13:$AW$13)/SUM(AttWeights!$C$13:$AW$13))*10</f>
        <v/>
      </c>
      <c r="Q72" s="14">
        <f>AVERAGE(SUMPRODUCT($S72:$BM72,AttWeights!$C$3:$AW$3)/SUM(AttWeights!$C$3:$AW$3),SUMPRODUCT($S72:$BM72,AttWeights!$C$12:$AW$12)/SUM(AttWeights!$C$12:$AW$12))*10</f>
        <v/>
      </c>
      <c r="R72" s="14">
        <f>AVERAGE(SUMPRODUCT($S72:$BM72,AttWeights!$C$2:$AW$2)/SUM(AttWeights!$C$2:$AW$2),SUMPRODUCT($S72:$BM72,AttWeights!$C$11:$AW$11)/SUM(AttWeights!$C$11:$AW$11))*10</f>
        <v/>
      </c>
      <c r="S72" s="3">
        <f>IF(ISBLANK('Paste Full'!AC72),"",'Paste Full'!AC72)</f>
        <v/>
      </c>
      <c r="T72" s="3">
        <f>IF(ISBLANK('Paste Full'!AD72),"",'Paste Full'!AD72)</f>
        <v/>
      </c>
      <c r="U72" s="3">
        <f>IF(ISBLANK('Paste Full'!AE72),"",'Paste Full'!AE72)</f>
        <v/>
      </c>
      <c r="V72" s="3">
        <f>IF(ISBLANK('Paste Full'!AF72),"",'Paste Full'!AF72)</f>
        <v/>
      </c>
      <c r="W72" s="3">
        <f>IF(ISBLANK('Paste Full'!AH72),"",'Paste Full'!AH72)</f>
        <v/>
      </c>
      <c r="X72" s="3">
        <f>IF(ISBLANK('Paste Full'!AI72),"",'Paste Full'!AI72)</f>
        <v/>
      </c>
      <c r="Y72" s="3">
        <f>IF(ISBLANK('Paste Full'!AK72),"",'Paste Full'!AK72)</f>
        <v/>
      </c>
      <c r="Z72" s="3">
        <f>IF(ISBLANK('Paste Full'!AL72),"",'Paste Full'!AL72)</f>
        <v/>
      </c>
      <c r="AA72" s="4">
        <f>IF(ISBLANK('Paste Full'!AM72),"",'Paste Full'!AM72)</f>
        <v/>
      </c>
      <c r="AB72" s="4">
        <f>IF(ISBLANK('Paste Full'!AN72),"",'Paste Full'!AN72)</f>
        <v/>
      </c>
      <c r="AC72" s="4">
        <f>IF(ISBLANK('Paste Full'!AO72),"",'Paste Full'!AO72)</f>
        <v/>
      </c>
      <c r="AD72" s="4">
        <f>IF(ISBLANK('Paste Full'!AP72),"",'Paste Full'!AP72)</f>
        <v/>
      </c>
      <c r="AE72" s="4">
        <f>IF(ISBLANK('Paste Full'!AQ72),"",'Paste Full'!AQ72)</f>
        <v/>
      </c>
      <c r="AF72" s="4">
        <f>IF(ISBLANK('Paste Full'!AR72),"",'Paste Full'!AR72)</f>
        <v/>
      </c>
      <c r="AG72" s="4">
        <f>IF(ISBLANK('Paste Full'!AS72),"",'Paste Full'!AS72)</f>
        <v/>
      </c>
      <c r="AH72" s="4">
        <f>IF(ISBLANK('Paste Full'!AV72),"",'Paste Full'!AV72)</f>
        <v/>
      </c>
      <c r="AI72" s="4">
        <f>IF(ISBLANK('Paste Full'!AT72),"",'Paste Full'!AT72)</f>
        <v/>
      </c>
      <c r="AJ72" s="4">
        <f>IF(ISBLANK('Paste Full'!AU72),"",'Paste Full'!AU72)</f>
        <v/>
      </c>
      <c r="AK72" s="4">
        <f>IF(ISBLANK('Paste Full'!AW72),"",'Paste Full'!AW72)</f>
        <v/>
      </c>
      <c r="AL72" s="5">
        <f>IF(ISBLANK('Paste Full'!AX72),"",'Paste Full'!AX72)</f>
        <v/>
      </c>
      <c r="AM72" s="5">
        <f>IF(ISBLANK('Paste Full'!AY72),"",'Paste Full'!AY72)</f>
        <v/>
      </c>
      <c r="AN72" s="5">
        <f>IF(ISBLANK('Paste Full'!AZ72),"",'Paste Full'!AZ72)</f>
        <v/>
      </c>
      <c r="AO72" s="5">
        <f>IF(ISBLANK('Paste Full'!BA72),"",'Paste Full'!BA72)</f>
        <v/>
      </c>
      <c r="AP72" s="5">
        <f>IF(ISBLANK('Paste Full'!BB72),"",'Paste Full'!BB72)</f>
        <v/>
      </c>
      <c r="AQ72" s="5">
        <f>IF(ISBLANK('Paste Full'!BC72),"",'Paste Full'!BC72)</f>
        <v/>
      </c>
      <c r="AR72" s="5">
        <f>IF(ISBLANK('Paste Full'!BD72),"",'Paste Full'!BD72)</f>
        <v/>
      </c>
      <c r="AS72" s="5">
        <f>IF(ISBLANK('Paste Full'!BE72),"",'Paste Full'!BE72)</f>
        <v/>
      </c>
      <c r="AT72" s="5">
        <f>IF(ISBLANK('Paste Full'!BF72),"",'Paste Full'!BF72)</f>
        <v/>
      </c>
      <c r="AU72" s="5">
        <f>IF(ISBLANK('Paste Full'!BG72),"",'Paste Full'!BG72)</f>
        <v/>
      </c>
      <c r="AV72" s="5">
        <f>IF(ISBLANK('Paste Full'!BH72),"",'Paste Full'!BH72)</f>
        <v/>
      </c>
      <c r="AW72" s="5">
        <f>IF(ISBLANK('Paste Full'!BI72),"",'Paste Full'!BI72)</f>
        <v/>
      </c>
      <c r="AX72" s="5">
        <f>IF(ISBLANK('Paste Full'!BJ72),"",'Paste Full'!BJ72)</f>
        <v/>
      </c>
      <c r="AY72" s="5">
        <f>IF(ISBLANK('Paste Full'!BK72),"",'Paste Full'!BK72)</f>
        <v/>
      </c>
      <c r="AZ72" s="6">
        <f>IF(ISBLANK('Paste Full'!BM72),"",'Paste Full'!BM72)</f>
        <v/>
      </c>
      <c r="BA72" s="6">
        <f>IF(ISBLANK('Paste Full'!BN72),"",'Paste Full'!BN72)</f>
        <v/>
      </c>
      <c r="BB72" s="6">
        <f>IF(ISBLANK('Paste Full'!BO72),"",'Paste Full'!BO72)</f>
        <v/>
      </c>
      <c r="BC72" s="6">
        <f>IF(ISBLANK('Paste Full'!BP72),"",'Paste Full'!BP72)</f>
        <v/>
      </c>
      <c r="BD72" s="6">
        <f>IF(ISBLANK('Paste Full'!BR72),"",'Paste Full'!BR72)</f>
        <v/>
      </c>
      <c r="BE72" s="6">
        <f>IF(ISBLANK('Paste Full'!BS72),"",'Paste Full'!BS72)</f>
        <v/>
      </c>
      <c r="BF72" s="6">
        <f>IF(ISBLANK('Paste Full'!BU72),"",'Paste Full'!BU72)</f>
        <v/>
      </c>
      <c r="BG72" s="6">
        <f>IF(ISBLANK('Paste Full'!BV72),"",'Paste Full'!BV72)</f>
        <v/>
      </c>
      <c r="BH72" s="6">
        <f>IF(ISBLANK('Paste Full'!BX72),"",'Paste Full'!BX72)</f>
        <v/>
      </c>
      <c r="BI72" s="6">
        <f>IF(ISBLANK('Paste Full'!BY72),"",'Paste Full'!BY72)</f>
        <v/>
      </c>
      <c r="BJ72" s="13">
        <f>IF(ISBLANK('Paste Full'!BL72),"",'Paste Full'!BL72)</f>
        <v/>
      </c>
      <c r="BK72" s="13">
        <f>IF(ISBLANK('Paste Full'!BQ72),"",'Paste Full'!BQ72)</f>
        <v/>
      </c>
      <c r="BL72" s="13">
        <f>IF(ISBLANK('Paste Full'!BT72),"",'Paste Full'!BT72)</f>
        <v/>
      </c>
      <c r="BM72" s="13">
        <f>IF(ISBLANK('Paste Full'!BW72),"",'Paste Full'!BW72)</f>
        <v/>
      </c>
    </row>
    <row r="73">
      <c r="A73">
        <f>IF(ISBLANK('Paste Full'!C73),"",'Paste Full'!C73)</f>
        <v/>
      </c>
      <c r="B73">
        <f>INDEX($J$1:$R$1, MATCH(MAX($J73:$R73), $J73:$R73, 0))</f>
        <v/>
      </c>
      <c r="C73" s="45">
        <f>IF(ISBLANK('Paste Full'!H73),"",'Paste Full'!H73)</f>
        <v/>
      </c>
      <c r="D73" s="45">
        <f>IF(ISBLANK('Paste Full'!F73),"",'Paste Full'!F73)</f>
        <v/>
      </c>
      <c r="E73" s="45">
        <f>IF(ISBLANK('Paste Full'!G73),"",'Paste Full'!G73)</f>
        <v/>
      </c>
      <c r="F73" s="21">
        <f>IF(ISBLANK('Paste Full'!E73),"",'Paste Full'!E73)</f>
        <v/>
      </c>
      <c r="G73">
        <f>IF(ISBLANK('Paste Full'!CI73),"",'Paste Full'!CI73)</f>
        <v/>
      </c>
      <c r="H73" s="21">
        <f>IF(ISBLANK('Paste Full'!J73),"",'Paste Full'!J73)</f>
        <v/>
      </c>
      <c r="I73" s="21">
        <f>IF(ISBLANK('Paste Full'!D73),"",'Paste Full'!D73)</f>
        <v/>
      </c>
      <c r="J73" s="14">
        <f>AVERAGE(SUMPRODUCT($S73:$BM73,AttWeights!$C$10:$AW$10)/SUM(AttWeights!$C$10:$AW$10),SUMPRODUCT($S73:$BM73,AttWeights!$C$17:$AW$17)/SUM(AttWeights!$C$17:$AW$17))*10</f>
        <v/>
      </c>
      <c r="K73" s="14">
        <f>AVERAGE(SUMPRODUCT($S73:$BM73,AttWeights!$C$7:$AW$7)/SUM(AttWeights!$C$7:$AW$7),SUMPRODUCT($S73:$BM73,AttWeights!$C$15:$AW$15)/SUM(AttWeights!$C$15:$AW$15))*10</f>
        <v/>
      </c>
      <c r="L73" s="14">
        <f>AVERAGE(SUMPRODUCT($S73:$BM73,AttWeights!$C$8:$AW$8)/SUM(AttWeights!$C$8:$AW$8),SUMPRODUCT($S73:$BM73,AttWeights!$C$16:$AW$16)/SUM(AttWeights!$C$16:$AW$16))*10</f>
        <v/>
      </c>
      <c r="M73" s="14">
        <f>AVERAGE(SUMPRODUCT($S73:$BM73,AttWeights!$C$9:$AW$9)/SUM(AttWeights!$C$9:$AW$9),SUMPRODUCT($S73:$BM73,AttWeights!$C$15:$AW$15)/SUM(AttWeights!$C$15:$AW$15))*10</f>
        <v/>
      </c>
      <c r="N73" s="14">
        <f>AVERAGE(SUMPRODUCT($S73:$BM73,AttWeights!$C$6:$AW$6)/SUM(AttWeights!$C$6:$AW$6),SUMPRODUCT($S73:$BM73,AttWeights!$C$14:$AW$14)/SUM(AttWeights!$C$14:$AW$14))*10</f>
        <v/>
      </c>
      <c r="O73" s="14">
        <f>AVERAGE(SUMPRODUCT($S73:$BM73,AttWeights!$C$5:$AW$5)/SUM(AttWeights!$C$5:$AW$5),SUMPRODUCT($S73:$BM73,AttWeights!$C$14:$AW$14)/SUM(AttWeights!$C$14:$AW$14))*10</f>
        <v/>
      </c>
      <c r="P73" s="14">
        <f>AVERAGE(SUMPRODUCT($S73:$BM73,AttWeights!$C$4:$AW$4)/SUM(AttWeights!$C$4:$AW$4),SUMPRODUCT($S73:$BM73,AttWeights!$C$13:$AW$13)/SUM(AttWeights!$C$13:$AW$13))*10</f>
        <v/>
      </c>
      <c r="Q73" s="14">
        <f>AVERAGE(SUMPRODUCT($S73:$BM73,AttWeights!$C$3:$AW$3)/SUM(AttWeights!$C$3:$AW$3),SUMPRODUCT($S73:$BM73,AttWeights!$C$12:$AW$12)/SUM(AttWeights!$C$12:$AW$12))*10</f>
        <v/>
      </c>
      <c r="R73" s="14">
        <f>AVERAGE(SUMPRODUCT($S73:$BM73,AttWeights!$C$2:$AW$2)/SUM(AttWeights!$C$2:$AW$2),SUMPRODUCT($S73:$BM73,AttWeights!$C$11:$AW$11)/SUM(AttWeights!$C$11:$AW$11))*10</f>
        <v/>
      </c>
      <c r="S73" s="3">
        <f>IF(ISBLANK('Paste Full'!AC73),"",'Paste Full'!AC73)</f>
        <v/>
      </c>
      <c r="T73" s="3">
        <f>IF(ISBLANK('Paste Full'!AD73),"",'Paste Full'!AD73)</f>
        <v/>
      </c>
      <c r="U73" s="3">
        <f>IF(ISBLANK('Paste Full'!AE73),"",'Paste Full'!AE73)</f>
        <v/>
      </c>
      <c r="V73" s="3">
        <f>IF(ISBLANK('Paste Full'!AF73),"",'Paste Full'!AF73)</f>
        <v/>
      </c>
      <c r="W73" s="3">
        <f>IF(ISBLANK('Paste Full'!AH73),"",'Paste Full'!AH73)</f>
        <v/>
      </c>
      <c r="X73" s="3">
        <f>IF(ISBLANK('Paste Full'!AI73),"",'Paste Full'!AI73)</f>
        <v/>
      </c>
      <c r="Y73" s="3">
        <f>IF(ISBLANK('Paste Full'!AK73),"",'Paste Full'!AK73)</f>
        <v/>
      </c>
      <c r="Z73" s="3">
        <f>IF(ISBLANK('Paste Full'!AL73),"",'Paste Full'!AL73)</f>
        <v/>
      </c>
      <c r="AA73" s="4">
        <f>IF(ISBLANK('Paste Full'!AM73),"",'Paste Full'!AM73)</f>
        <v/>
      </c>
      <c r="AB73" s="4">
        <f>IF(ISBLANK('Paste Full'!AN73),"",'Paste Full'!AN73)</f>
        <v/>
      </c>
      <c r="AC73" s="4">
        <f>IF(ISBLANK('Paste Full'!AO73),"",'Paste Full'!AO73)</f>
        <v/>
      </c>
      <c r="AD73" s="4">
        <f>IF(ISBLANK('Paste Full'!AP73),"",'Paste Full'!AP73)</f>
        <v/>
      </c>
      <c r="AE73" s="4">
        <f>IF(ISBLANK('Paste Full'!AQ73),"",'Paste Full'!AQ73)</f>
        <v/>
      </c>
      <c r="AF73" s="4">
        <f>IF(ISBLANK('Paste Full'!AR73),"",'Paste Full'!AR73)</f>
        <v/>
      </c>
      <c r="AG73" s="4">
        <f>IF(ISBLANK('Paste Full'!AS73),"",'Paste Full'!AS73)</f>
        <v/>
      </c>
      <c r="AH73" s="4">
        <f>IF(ISBLANK('Paste Full'!AV73),"",'Paste Full'!AV73)</f>
        <v/>
      </c>
      <c r="AI73" s="4">
        <f>IF(ISBLANK('Paste Full'!AT73),"",'Paste Full'!AT73)</f>
        <v/>
      </c>
      <c r="AJ73" s="4">
        <f>IF(ISBLANK('Paste Full'!AU73),"",'Paste Full'!AU73)</f>
        <v/>
      </c>
      <c r="AK73" s="4">
        <f>IF(ISBLANK('Paste Full'!AW73),"",'Paste Full'!AW73)</f>
        <v/>
      </c>
      <c r="AL73" s="5">
        <f>IF(ISBLANK('Paste Full'!AX73),"",'Paste Full'!AX73)</f>
        <v/>
      </c>
      <c r="AM73" s="5">
        <f>IF(ISBLANK('Paste Full'!AY73),"",'Paste Full'!AY73)</f>
        <v/>
      </c>
      <c r="AN73" s="5">
        <f>IF(ISBLANK('Paste Full'!AZ73),"",'Paste Full'!AZ73)</f>
        <v/>
      </c>
      <c r="AO73" s="5">
        <f>IF(ISBLANK('Paste Full'!BA73),"",'Paste Full'!BA73)</f>
        <v/>
      </c>
      <c r="AP73" s="5">
        <f>IF(ISBLANK('Paste Full'!BB73),"",'Paste Full'!BB73)</f>
        <v/>
      </c>
      <c r="AQ73" s="5">
        <f>IF(ISBLANK('Paste Full'!BC73),"",'Paste Full'!BC73)</f>
        <v/>
      </c>
      <c r="AR73" s="5">
        <f>IF(ISBLANK('Paste Full'!BD73),"",'Paste Full'!BD73)</f>
        <v/>
      </c>
      <c r="AS73" s="5">
        <f>IF(ISBLANK('Paste Full'!BE73),"",'Paste Full'!BE73)</f>
        <v/>
      </c>
      <c r="AT73" s="5">
        <f>IF(ISBLANK('Paste Full'!BF73),"",'Paste Full'!BF73)</f>
        <v/>
      </c>
      <c r="AU73" s="5">
        <f>IF(ISBLANK('Paste Full'!BG73),"",'Paste Full'!BG73)</f>
        <v/>
      </c>
      <c r="AV73" s="5">
        <f>IF(ISBLANK('Paste Full'!BH73),"",'Paste Full'!BH73)</f>
        <v/>
      </c>
      <c r="AW73" s="5">
        <f>IF(ISBLANK('Paste Full'!BI73),"",'Paste Full'!BI73)</f>
        <v/>
      </c>
      <c r="AX73" s="5">
        <f>IF(ISBLANK('Paste Full'!BJ73),"",'Paste Full'!BJ73)</f>
        <v/>
      </c>
      <c r="AY73" s="5">
        <f>IF(ISBLANK('Paste Full'!BK73),"",'Paste Full'!BK73)</f>
        <v/>
      </c>
      <c r="AZ73" s="6">
        <f>IF(ISBLANK('Paste Full'!BM73),"",'Paste Full'!BM73)</f>
        <v/>
      </c>
      <c r="BA73" s="6">
        <f>IF(ISBLANK('Paste Full'!BN73),"",'Paste Full'!BN73)</f>
        <v/>
      </c>
      <c r="BB73" s="6">
        <f>IF(ISBLANK('Paste Full'!BO73),"",'Paste Full'!BO73)</f>
        <v/>
      </c>
      <c r="BC73" s="6">
        <f>IF(ISBLANK('Paste Full'!BP73),"",'Paste Full'!BP73)</f>
        <v/>
      </c>
      <c r="BD73" s="6">
        <f>IF(ISBLANK('Paste Full'!BR73),"",'Paste Full'!BR73)</f>
        <v/>
      </c>
      <c r="BE73" s="6">
        <f>IF(ISBLANK('Paste Full'!BS73),"",'Paste Full'!BS73)</f>
        <v/>
      </c>
      <c r="BF73" s="6">
        <f>IF(ISBLANK('Paste Full'!BU73),"",'Paste Full'!BU73)</f>
        <v/>
      </c>
      <c r="BG73" s="6">
        <f>IF(ISBLANK('Paste Full'!BV73),"",'Paste Full'!BV73)</f>
        <v/>
      </c>
      <c r="BH73" s="6">
        <f>IF(ISBLANK('Paste Full'!BX73),"",'Paste Full'!BX73)</f>
        <v/>
      </c>
      <c r="BI73" s="6">
        <f>IF(ISBLANK('Paste Full'!BY73),"",'Paste Full'!BY73)</f>
        <v/>
      </c>
      <c r="BJ73" s="13">
        <f>IF(ISBLANK('Paste Full'!BL73),"",'Paste Full'!BL73)</f>
        <v/>
      </c>
      <c r="BK73" s="13">
        <f>IF(ISBLANK('Paste Full'!BQ73),"",'Paste Full'!BQ73)</f>
        <v/>
      </c>
      <c r="BL73" s="13">
        <f>IF(ISBLANK('Paste Full'!BT73),"",'Paste Full'!BT73)</f>
        <v/>
      </c>
      <c r="BM73" s="13">
        <f>IF(ISBLANK('Paste Full'!BW73),"",'Paste Full'!BW73)</f>
        <v/>
      </c>
    </row>
    <row r="74">
      <c r="A74">
        <f>IF(ISBLANK('Paste Full'!C74),"",'Paste Full'!C74)</f>
        <v/>
      </c>
      <c r="B74">
        <f>INDEX($J$1:$R$1, MATCH(MAX($J74:$R74), $J74:$R74, 0))</f>
        <v/>
      </c>
      <c r="C74" s="45">
        <f>IF(ISBLANK('Paste Full'!H74),"",'Paste Full'!H74)</f>
        <v/>
      </c>
      <c r="D74" s="45">
        <f>IF(ISBLANK('Paste Full'!F74),"",'Paste Full'!F74)</f>
        <v/>
      </c>
      <c r="E74" s="45">
        <f>IF(ISBLANK('Paste Full'!G74),"",'Paste Full'!G74)</f>
        <v/>
      </c>
      <c r="F74" s="21">
        <f>IF(ISBLANK('Paste Full'!E74),"",'Paste Full'!E74)</f>
        <v/>
      </c>
      <c r="G74">
        <f>IF(ISBLANK('Paste Full'!CI74),"",'Paste Full'!CI74)</f>
        <v/>
      </c>
      <c r="H74" s="21">
        <f>IF(ISBLANK('Paste Full'!J74),"",'Paste Full'!J74)</f>
        <v/>
      </c>
      <c r="I74" s="21">
        <f>IF(ISBLANK('Paste Full'!D74),"",'Paste Full'!D74)</f>
        <v/>
      </c>
      <c r="J74" s="14">
        <f>AVERAGE(SUMPRODUCT($S74:$BM74,AttWeights!$C$10:$AW$10)/SUM(AttWeights!$C$10:$AW$10),SUMPRODUCT($S74:$BM74,AttWeights!$C$17:$AW$17)/SUM(AttWeights!$C$17:$AW$17))*10</f>
        <v/>
      </c>
      <c r="K74" s="14">
        <f>AVERAGE(SUMPRODUCT($S74:$BM74,AttWeights!$C$7:$AW$7)/SUM(AttWeights!$C$7:$AW$7),SUMPRODUCT($S74:$BM74,AttWeights!$C$15:$AW$15)/SUM(AttWeights!$C$15:$AW$15))*10</f>
        <v/>
      </c>
      <c r="L74" s="14">
        <f>AVERAGE(SUMPRODUCT($S74:$BM74,AttWeights!$C$8:$AW$8)/SUM(AttWeights!$C$8:$AW$8),SUMPRODUCT($S74:$BM74,AttWeights!$C$16:$AW$16)/SUM(AttWeights!$C$16:$AW$16))*10</f>
        <v/>
      </c>
      <c r="M74" s="14">
        <f>AVERAGE(SUMPRODUCT($S74:$BM74,AttWeights!$C$9:$AW$9)/SUM(AttWeights!$C$9:$AW$9),SUMPRODUCT($S74:$BM74,AttWeights!$C$15:$AW$15)/SUM(AttWeights!$C$15:$AW$15))*10</f>
        <v/>
      </c>
      <c r="N74" s="14">
        <f>AVERAGE(SUMPRODUCT($S74:$BM74,AttWeights!$C$6:$AW$6)/SUM(AttWeights!$C$6:$AW$6),SUMPRODUCT($S74:$BM74,AttWeights!$C$14:$AW$14)/SUM(AttWeights!$C$14:$AW$14))*10</f>
        <v/>
      </c>
      <c r="O74" s="14">
        <f>AVERAGE(SUMPRODUCT($S74:$BM74,AttWeights!$C$5:$AW$5)/SUM(AttWeights!$C$5:$AW$5),SUMPRODUCT($S74:$BM74,AttWeights!$C$14:$AW$14)/SUM(AttWeights!$C$14:$AW$14))*10</f>
        <v/>
      </c>
      <c r="P74" s="14">
        <f>AVERAGE(SUMPRODUCT($S74:$BM74,AttWeights!$C$4:$AW$4)/SUM(AttWeights!$C$4:$AW$4),SUMPRODUCT($S74:$BM74,AttWeights!$C$13:$AW$13)/SUM(AttWeights!$C$13:$AW$13))*10</f>
        <v/>
      </c>
      <c r="Q74" s="14">
        <f>AVERAGE(SUMPRODUCT($S74:$BM74,AttWeights!$C$3:$AW$3)/SUM(AttWeights!$C$3:$AW$3),SUMPRODUCT($S74:$BM74,AttWeights!$C$12:$AW$12)/SUM(AttWeights!$C$12:$AW$12))*10</f>
        <v/>
      </c>
      <c r="R74" s="14">
        <f>AVERAGE(SUMPRODUCT($S74:$BM74,AttWeights!$C$2:$AW$2)/SUM(AttWeights!$C$2:$AW$2),SUMPRODUCT($S74:$BM74,AttWeights!$C$11:$AW$11)/SUM(AttWeights!$C$11:$AW$11))*10</f>
        <v/>
      </c>
      <c r="S74" s="3">
        <f>IF(ISBLANK('Paste Full'!AC74),"",'Paste Full'!AC74)</f>
        <v/>
      </c>
      <c r="T74" s="3">
        <f>IF(ISBLANK('Paste Full'!AD74),"",'Paste Full'!AD74)</f>
        <v/>
      </c>
      <c r="U74" s="3">
        <f>IF(ISBLANK('Paste Full'!AE74),"",'Paste Full'!AE74)</f>
        <v/>
      </c>
      <c r="V74" s="3">
        <f>IF(ISBLANK('Paste Full'!AF74),"",'Paste Full'!AF74)</f>
        <v/>
      </c>
      <c r="W74" s="3">
        <f>IF(ISBLANK('Paste Full'!AH74),"",'Paste Full'!AH74)</f>
        <v/>
      </c>
      <c r="X74" s="3">
        <f>IF(ISBLANK('Paste Full'!AI74),"",'Paste Full'!AI74)</f>
        <v/>
      </c>
      <c r="Y74" s="3">
        <f>IF(ISBLANK('Paste Full'!AK74),"",'Paste Full'!AK74)</f>
        <v/>
      </c>
      <c r="Z74" s="3">
        <f>IF(ISBLANK('Paste Full'!AL74),"",'Paste Full'!AL74)</f>
        <v/>
      </c>
      <c r="AA74" s="4">
        <f>IF(ISBLANK('Paste Full'!AM74),"",'Paste Full'!AM74)</f>
        <v/>
      </c>
      <c r="AB74" s="4">
        <f>IF(ISBLANK('Paste Full'!AN74),"",'Paste Full'!AN74)</f>
        <v/>
      </c>
      <c r="AC74" s="4">
        <f>IF(ISBLANK('Paste Full'!AO74),"",'Paste Full'!AO74)</f>
        <v/>
      </c>
      <c r="AD74" s="4">
        <f>IF(ISBLANK('Paste Full'!AP74),"",'Paste Full'!AP74)</f>
        <v/>
      </c>
      <c r="AE74" s="4">
        <f>IF(ISBLANK('Paste Full'!AQ74),"",'Paste Full'!AQ74)</f>
        <v/>
      </c>
      <c r="AF74" s="4">
        <f>IF(ISBLANK('Paste Full'!AR74),"",'Paste Full'!AR74)</f>
        <v/>
      </c>
      <c r="AG74" s="4">
        <f>IF(ISBLANK('Paste Full'!AS74),"",'Paste Full'!AS74)</f>
        <v/>
      </c>
      <c r="AH74" s="4">
        <f>IF(ISBLANK('Paste Full'!AV74),"",'Paste Full'!AV74)</f>
        <v/>
      </c>
      <c r="AI74" s="4">
        <f>IF(ISBLANK('Paste Full'!AT74),"",'Paste Full'!AT74)</f>
        <v/>
      </c>
      <c r="AJ74" s="4">
        <f>IF(ISBLANK('Paste Full'!AU74),"",'Paste Full'!AU74)</f>
        <v/>
      </c>
      <c r="AK74" s="4">
        <f>IF(ISBLANK('Paste Full'!AW74),"",'Paste Full'!AW74)</f>
        <v/>
      </c>
      <c r="AL74" s="5">
        <f>IF(ISBLANK('Paste Full'!AX74),"",'Paste Full'!AX74)</f>
        <v/>
      </c>
      <c r="AM74" s="5">
        <f>IF(ISBLANK('Paste Full'!AY74),"",'Paste Full'!AY74)</f>
        <v/>
      </c>
      <c r="AN74" s="5">
        <f>IF(ISBLANK('Paste Full'!AZ74),"",'Paste Full'!AZ74)</f>
        <v/>
      </c>
      <c r="AO74" s="5">
        <f>IF(ISBLANK('Paste Full'!BA74),"",'Paste Full'!BA74)</f>
        <v/>
      </c>
      <c r="AP74" s="5">
        <f>IF(ISBLANK('Paste Full'!BB74),"",'Paste Full'!BB74)</f>
        <v/>
      </c>
      <c r="AQ74" s="5">
        <f>IF(ISBLANK('Paste Full'!BC74),"",'Paste Full'!BC74)</f>
        <v/>
      </c>
      <c r="AR74" s="5">
        <f>IF(ISBLANK('Paste Full'!BD74),"",'Paste Full'!BD74)</f>
        <v/>
      </c>
      <c r="AS74" s="5">
        <f>IF(ISBLANK('Paste Full'!BE74),"",'Paste Full'!BE74)</f>
        <v/>
      </c>
      <c r="AT74" s="5">
        <f>IF(ISBLANK('Paste Full'!BF74),"",'Paste Full'!BF74)</f>
        <v/>
      </c>
      <c r="AU74" s="5">
        <f>IF(ISBLANK('Paste Full'!BG74),"",'Paste Full'!BG74)</f>
        <v/>
      </c>
      <c r="AV74" s="5">
        <f>IF(ISBLANK('Paste Full'!BH74),"",'Paste Full'!BH74)</f>
        <v/>
      </c>
      <c r="AW74" s="5">
        <f>IF(ISBLANK('Paste Full'!BI74),"",'Paste Full'!BI74)</f>
        <v/>
      </c>
      <c r="AX74" s="5">
        <f>IF(ISBLANK('Paste Full'!BJ74),"",'Paste Full'!BJ74)</f>
        <v/>
      </c>
      <c r="AY74" s="5">
        <f>IF(ISBLANK('Paste Full'!BK74),"",'Paste Full'!BK74)</f>
        <v/>
      </c>
      <c r="AZ74" s="6">
        <f>IF(ISBLANK('Paste Full'!BM74),"",'Paste Full'!BM74)</f>
        <v/>
      </c>
      <c r="BA74" s="6">
        <f>IF(ISBLANK('Paste Full'!BN74),"",'Paste Full'!BN74)</f>
        <v/>
      </c>
      <c r="BB74" s="6">
        <f>IF(ISBLANK('Paste Full'!BO74),"",'Paste Full'!BO74)</f>
        <v/>
      </c>
      <c r="BC74" s="6">
        <f>IF(ISBLANK('Paste Full'!BP74),"",'Paste Full'!BP74)</f>
        <v/>
      </c>
      <c r="BD74" s="6">
        <f>IF(ISBLANK('Paste Full'!BR74),"",'Paste Full'!BR74)</f>
        <v/>
      </c>
      <c r="BE74" s="6">
        <f>IF(ISBLANK('Paste Full'!BS74),"",'Paste Full'!BS74)</f>
        <v/>
      </c>
      <c r="BF74" s="6">
        <f>IF(ISBLANK('Paste Full'!BU74),"",'Paste Full'!BU74)</f>
        <v/>
      </c>
      <c r="BG74" s="6">
        <f>IF(ISBLANK('Paste Full'!BV74),"",'Paste Full'!BV74)</f>
        <v/>
      </c>
      <c r="BH74" s="6">
        <f>IF(ISBLANK('Paste Full'!BX74),"",'Paste Full'!BX74)</f>
        <v/>
      </c>
      <c r="BI74" s="6">
        <f>IF(ISBLANK('Paste Full'!BY74),"",'Paste Full'!BY74)</f>
        <v/>
      </c>
      <c r="BJ74" s="13">
        <f>IF(ISBLANK('Paste Full'!BL74),"",'Paste Full'!BL74)</f>
        <v/>
      </c>
      <c r="BK74" s="13">
        <f>IF(ISBLANK('Paste Full'!BQ74),"",'Paste Full'!BQ74)</f>
        <v/>
      </c>
      <c r="BL74" s="13">
        <f>IF(ISBLANK('Paste Full'!BT74),"",'Paste Full'!BT74)</f>
        <v/>
      </c>
      <c r="BM74" s="13">
        <f>IF(ISBLANK('Paste Full'!BW74),"",'Paste Full'!BW74)</f>
        <v/>
      </c>
    </row>
    <row r="75">
      <c r="A75">
        <f>IF(ISBLANK('Paste Full'!C75),"",'Paste Full'!C75)</f>
        <v/>
      </c>
      <c r="B75">
        <f>INDEX($J$1:$R$1, MATCH(MAX($J75:$R75), $J75:$R75, 0))</f>
        <v/>
      </c>
      <c r="C75" s="45">
        <f>IF(ISBLANK('Paste Full'!H75),"",'Paste Full'!H75)</f>
        <v/>
      </c>
      <c r="D75" s="45">
        <f>IF(ISBLANK('Paste Full'!F75),"",'Paste Full'!F75)</f>
        <v/>
      </c>
      <c r="E75" s="45">
        <f>IF(ISBLANK('Paste Full'!G75),"",'Paste Full'!G75)</f>
        <v/>
      </c>
      <c r="F75" s="21">
        <f>IF(ISBLANK('Paste Full'!E75),"",'Paste Full'!E75)</f>
        <v/>
      </c>
      <c r="G75">
        <f>IF(ISBLANK('Paste Full'!CI75),"",'Paste Full'!CI75)</f>
        <v/>
      </c>
      <c r="H75" s="21">
        <f>IF(ISBLANK('Paste Full'!J75),"",'Paste Full'!J75)</f>
        <v/>
      </c>
      <c r="I75" s="21">
        <f>IF(ISBLANK('Paste Full'!D75),"",'Paste Full'!D75)</f>
        <v/>
      </c>
      <c r="J75" s="14">
        <f>AVERAGE(SUMPRODUCT($S75:$BM75,AttWeights!$C$10:$AW$10)/SUM(AttWeights!$C$10:$AW$10),SUMPRODUCT($S75:$BM75,AttWeights!$C$17:$AW$17)/SUM(AttWeights!$C$17:$AW$17))*10</f>
        <v/>
      </c>
      <c r="K75" s="14">
        <f>AVERAGE(SUMPRODUCT($S75:$BM75,AttWeights!$C$7:$AW$7)/SUM(AttWeights!$C$7:$AW$7),SUMPRODUCT($S75:$BM75,AttWeights!$C$15:$AW$15)/SUM(AttWeights!$C$15:$AW$15))*10</f>
        <v/>
      </c>
      <c r="L75" s="14">
        <f>AVERAGE(SUMPRODUCT($S75:$BM75,AttWeights!$C$8:$AW$8)/SUM(AttWeights!$C$8:$AW$8),SUMPRODUCT($S75:$BM75,AttWeights!$C$16:$AW$16)/SUM(AttWeights!$C$16:$AW$16))*10</f>
        <v/>
      </c>
      <c r="M75" s="14">
        <f>AVERAGE(SUMPRODUCT($S75:$BM75,AttWeights!$C$9:$AW$9)/SUM(AttWeights!$C$9:$AW$9),SUMPRODUCT($S75:$BM75,AttWeights!$C$15:$AW$15)/SUM(AttWeights!$C$15:$AW$15))*10</f>
        <v/>
      </c>
      <c r="N75" s="14">
        <f>AVERAGE(SUMPRODUCT($S75:$BM75,AttWeights!$C$6:$AW$6)/SUM(AttWeights!$C$6:$AW$6),SUMPRODUCT($S75:$BM75,AttWeights!$C$14:$AW$14)/SUM(AttWeights!$C$14:$AW$14))*10</f>
        <v/>
      </c>
      <c r="O75" s="14">
        <f>AVERAGE(SUMPRODUCT($S75:$BM75,AttWeights!$C$5:$AW$5)/SUM(AttWeights!$C$5:$AW$5),SUMPRODUCT($S75:$BM75,AttWeights!$C$14:$AW$14)/SUM(AttWeights!$C$14:$AW$14))*10</f>
        <v/>
      </c>
      <c r="P75" s="14">
        <f>AVERAGE(SUMPRODUCT($S75:$BM75,AttWeights!$C$4:$AW$4)/SUM(AttWeights!$C$4:$AW$4),SUMPRODUCT($S75:$BM75,AttWeights!$C$13:$AW$13)/SUM(AttWeights!$C$13:$AW$13))*10</f>
        <v/>
      </c>
      <c r="Q75" s="14">
        <f>AVERAGE(SUMPRODUCT($S75:$BM75,AttWeights!$C$3:$AW$3)/SUM(AttWeights!$C$3:$AW$3),SUMPRODUCT($S75:$BM75,AttWeights!$C$12:$AW$12)/SUM(AttWeights!$C$12:$AW$12))*10</f>
        <v/>
      </c>
      <c r="R75" s="14">
        <f>AVERAGE(SUMPRODUCT($S75:$BM75,AttWeights!$C$2:$AW$2)/SUM(AttWeights!$C$2:$AW$2),SUMPRODUCT($S75:$BM75,AttWeights!$C$11:$AW$11)/SUM(AttWeights!$C$11:$AW$11))*10</f>
        <v/>
      </c>
      <c r="S75" s="3">
        <f>IF(ISBLANK('Paste Full'!AC75),"",'Paste Full'!AC75)</f>
        <v/>
      </c>
      <c r="T75" s="3">
        <f>IF(ISBLANK('Paste Full'!AD75),"",'Paste Full'!AD75)</f>
        <v/>
      </c>
      <c r="U75" s="3">
        <f>IF(ISBLANK('Paste Full'!AE75),"",'Paste Full'!AE75)</f>
        <v/>
      </c>
      <c r="V75" s="3">
        <f>IF(ISBLANK('Paste Full'!AF75),"",'Paste Full'!AF75)</f>
        <v/>
      </c>
      <c r="W75" s="3">
        <f>IF(ISBLANK('Paste Full'!AH75),"",'Paste Full'!AH75)</f>
        <v/>
      </c>
      <c r="X75" s="3">
        <f>IF(ISBLANK('Paste Full'!AI75),"",'Paste Full'!AI75)</f>
        <v/>
      </c>
      <c r="Y75" s="3">
        <f>IF(ISBLANK('Paste Full'!AK75),"",'Paste Full'!AK75)</f>
        <v/>
      </c>
      <c r="Z75" s="3">
        <f>IF(ISBLANK('Paste Full'!AL75),"",'Paste Full'!AL75)</f>
        <v/>
      </c>
      <c r="AA75" s="4">
        <f>IF(ISBLANK('Paste Full'!AM75),"",'Paste Full'!AM75)</f>
        <v/>
      </c>
      <c r="AB75" s="4">
        <f>IF(ISBLANK('Paste Full'!AN75),"",'Paste Full'!AN75)</f>
        <v/>
      </c>
      <c r="AC75" s="4">
        <f>IF(ISBLANK('Paste Full'!AO75),"",'Paste Full'!AO75)</f>
        <v/>
      </c>
      <c r="AD75" s="4">
        <f>IF(ISBLANK('Paste Full'!AP75),"",'Paste Full'!AP75)</f>
        <v/>
      </c>
      <c r="AE75" s="4">
        <f>IF(ISBLANK('Paste Full'!AQ75),"",'Paste Full'!AQ75)</f>
        <v/>
      </c>
      <c r="AF75" s="4">
        <f>IF(ISBLANK('Paste Full'!AR75),"",'Paste Full'!AR75)</f>
        <v/>
      </c>
      <c r="AG75" s="4">
        <f>IF(ISBLANK('Paste Full'!AS75),"",'Paste Full'!AS75)</f>
        <v/>
      </c>
      <c r="AH75" s="4">
        <f>IF(ISBLANK('Paste Full'!AV75),"",'Paste Full'!AV75)</f>
        <v/>
      </c>
      <c r="AI75" s="4">
        <f>IF(ISBLANK('Paste Full'!AT75),"",'Paste Full'!AT75)</f>
        <v/>
      </c>
      <c r="AJ75" s="4">
        <f>IF(ISBLANK('Paste Full'!AU75),"",'Paste Full'!AU75)</f>
        <v/>
      </c>
      <c r="AK75" s="4">
        <f>IF(ISBLANK('Paste Full'!AW75),"",'Paste Full'!AW75)</f>
        <v/>
      </c>
      <c r="AL75" s="5">
        <f>IF(ISBLANK('Paste Full'!AX75),"",'Paste Full'!AX75)</f>
        <v/>
      </c>
      <c r="AM75" s="5">
        <f>IF(ISBLANK('Paste Full'!AY75),"",'Paste Full'!AY75)</f>
        <v/>
      </c>
      <c r="AN75" s="5">
        <f>IF(ISBLANK('Paste Full'!AZ75),"",'Paste Full'!AZ75)</f>
        <v/>
      </c>
      <c r="AO75" s="5">
        <f>IF(ISBLANK('Paste Full'!BA75),"",'Paste Full'!BA75)</f>
        <v/>
      </c>
      <c r="AP75" s="5">
        <f>IF(ISBLANK('Paste Full'!BB75),"",'Paste Full'!BB75)</f>
        <v/>
      </c>
      <c r="AQ75" s="5">
        <f>IF(ISBLANK('Paste Full'!BC75),"",'Paste Full'!BC75)</f>
        <v/>
      </c>
      <c r="AR75" s="5">
        <f>IF(ISBLANK('Paste Full'!BD75),"",'Paste Full'!BD75)</f>
        <v/>
      </c>
      <c r="AS75" s="5">
        <f>IF(ISBLANK('Paste Full'!BE75),"",'Paste Full'!BE75)</f>
        <v/>
      </c>
      <c r="AT75" s="5">
        <f>IF(ISBLANK('Paste Full'!BF75),"",'Paste Full'!BF75)</f>
        <v/>
      </c>
      <c r="AU75" s="5">
        <f>IF(ISBLANK('Paste Full'!BG75),"",'Paste Full'!BG75)</f>
        <v/>
      </c>
      <c r="AV75" s="5">
        <f>IF(ISBLANK('Paste Full'!BH75),"",'Paste Full'!BH75)</f>
        <v/>
      </c>
      <c r="AW75" s="5">
        <f>IF(ISBLANK('Paste Full'!BI75),"",'Paste Full'!BI75)</f>
        <v/>
      </c>
      <c r="AX75" s="5">
        <f>IF(ISBLANK('Paste Full'!BJ75),"",'Paste Full'!BJ75)</f>
        <v/>
      </c>
      <c r="AY75" s="5">
        <f>IF(ISBLANK('Paste Full'!BK75),"",'Paste Full'!BK75)</f>
        <v/>
      </c>
      <c r="AZ75" s="6">
        <f>IF(ISBLANK('Paste Full'!BM75),"",'Paste Full'!BM75)</f>
        <v/>
      </c>
      <c r="BA75" s="6">
        <f>IF(ISBLANK('Paste Full'!BN75),"",'Paste Full'!BN75)</f>
        <v/>
      </c>
      <c r="BB75" s="6">
        <f>IF(ISBLANK('Paste Full'!BO75),"",'Paste Full'!BO75)</f>
        <v/>
      </c>
      <c r="BC75" s="6">
        <f>IF(ISBLANK('Paste Full'!BP75),"",'Paste Full'!BP75)</f>
        <v/>
      </c>
      <c r="BD75" s="6">
        <f>IF(ISBLANK('Paste Full'!BR75),"",'Paste Full'!BR75)</f>
        <v/>
      </c>
      <c r="BE75" s="6">
        <f>IF(ISBLANK('Paste Full'!BS75),"",'Paste Full'!BS75)</f>
        <v/>
      </c>
      <c r="BF75" s="6">
        <f>IF(ISBLANK('Paste Full'!BU75),"",'Paste Full'!BU75)</f>
        <v/>
      </c>
      <c r="BG75" s="6">
        <f>IF(ISBLANK('Paste Full'!BV75),"",'Paste Full'!BV75)</f>
        <v/>
      </c>
      <c r="BH75" s="6">
        <f>IF(ISBLANK('Paste Full'!BX75),"",'Paste Full'!BX75)</f>
        <v/>
      </c>
      <c r="BI75" s="6">
        <f>IF(ISBLANK('Paste Full'!BY75),"",'Paste Full'!BY75)</f>
        <v/>
      </c>
      <c r="BJ75" s="13">
        <f>IF(ISBLANK('Paste Full'!BL75),"",'Paste Full'!BL75)</f>
        <v/>
      </c>
      <c r="BK75" s="13">
        <f>IF(ISBLANK('Paste Full'!BQ75),"",'Paste Full'!BQ75)</f>
        <v/>
      </c>
      <c r="BL75" s="13">
        <f>IF(ISBLANK('Paste Full'!BT75),"",'Paste Full'!BT75)</f>
        <v/>
      </c>
      <c r="BM75" s="13">
        <f>IF(ISBLANK('Paste Full'!BW75),"",'Paste Full'!BW75)</f>
        <v/>
      </c>
    </row>
    <row r="76">
      <c r="A76">
        <f>IF(ISBLANK('Paste Full'!C76),"",'Paste Full'!C76)</f>
        <v/>
      </c>
      <c r="B76">
        <f>INDEX($J$1:$R$1, MATCH(MAX($J76:$R76), $J76:$R76, 0))</f>
        <v/>
      </c>
      <c r="C76" s="45">
        <f>IF(ISBLANK('Paste Full'!H76),"",'Paste Full'!H76)</f>
        <v/>
      </c>
      <c r="D76" s="45">
        <f>IF(ISBLANK('Paste Full'!F76),"",'Paste Full'!F76)</f>
        <v/>
      </c>
      <c r="E76" s="45">
        <f>IF(ISBLANK('Paste Full'!G76),"",'Paste Full'!G76)</f>
        <v/>
      </c>
      <c r="F76" s="21">
        <f>IF(ISBLANK('Paste Full'!E76),"",'Paste Full'!E76)</f>
        <v/>
      </c>
      <c r="G76">
        <f>IF(ISBLANK('Paste Full'!CI76),"",'Paste Full'!CI76)</f>
        <v/>
      </c>
      <c r="H76" s="21">
        <f>IF(ISBLANK('Paste Full'!J76),"",'Paste Full'!J76)</f>
        <v/>
      </c>
      <c r="I76" s="21">
        <f>IF(ISBLANK('Paste Full'!D76),"",'Paste Full'!D76)</f>
        <v/>
      </c>
      <c r="J76" s="14">
        <f>AVERAGE(SUMPRODUCT($S76:$BM76,AttWeights!$C$10:$AW$10)/SUM(AttWeights!$C$10:$AW$10),SUMPRODUCT($S76:$BM76,AttWeights!$C$17:$AW$17)/SUM(AttWeights!$C$17:$AW$17))*10</f>
        <v/>
      </c>
      <c r="K76" s="14">
        <f>AVERAGE(SUMPRODUCT($S76:$BM76,AttWeights!$C$7:$AW$7)/SUM(AttWeights!$C$7:$AW$7),SUMPRODUCT($S76:$BM76,AttWeights!$C$15:$AW$15)/SUM(AttWeights!$C$15:$AW$15))*10</f>
        <v/>
      </c>
      <c r="L76" s="14">
        <f>AVERAGE(SUMPRODUCT($S76:$BM76,AttWeights!$C$8:$AW$8)/SUM(AttWeights!$C$8:$AW$8),SUMPRODUCT($S76:$BM76,AttWeights!$C$16:$AW$16)/SUM(AttWeights!$C$16:$AW$16))*10</f>
        <v/>
      </c>
      <c r="M76" s="14">
        <f>AVERAGE(SUMPRODUCT($S76:$BM76,AttWeights!$C$9:$AW$9)/SUM(AttWeights!$C$9:$AW$9),SUMPRODUCT($S76:$BM76,AttWeights!$C$15:$AW$15)/SUM(AttWeights!$C$15:$AW$15))*10</f>
        <v/>
      </c>
      <c r="N76" s="14">
        <f>AVERAGE(SUMPRODUCT($S76:$BM76,AttWeights!$C$6:$AW$6)/SUM(AttWeights!$C$6:$AW$6),SUMPRODUCT($S76:$BM76,AttWeights!$C$14:$AW$14)/SUM(AttWeights!$C$14:$AW$14))*10</f>
        <v/>
      </c>
      <c r="O76" s="14">
        <f>AVERAGE(SUMPRODUCT($S76:$BM76,AttWeights!$C$5:$AW$5)/SUM(AttWeights!$C$5:$AW$5),SUMPRODUCT($S76:$BM76,AttWeights!$C$14:$AW$14)/SUM(AttWeights!$C$14:$AW$14))*10</f>
        <v/>
      </c>
      <c r="P76" s="14">
        <f>AVERAGE(SUMPRODUCT($S76:$BM76,AttWeights!$C$4:$AW$4)/SUM(AttWeights!$C$4:$AW$4),SUMPRODUCT($S76:$BM76,AttWeights!$C$13:$AW$13)/SUM(AttWeights!$C$13:$AW$13))*10</f>
        <v/>
      </c>
      <c r="Q76" s="14">
        <f>AVERAGE(SUMPRODUCT($S76:$BM76,AttWeights!$C$3:$AW$3)/SUM(AttWeights!$C$3:$AW$3),SUMPRODUCT($S76:$BM76,AttWeights!$C$12:$AW$12)/SUM(AttWeights!$C$12:$AW$12))*10</f>
        <v/>
      </c>
      <c r="R76" s="14">
        <f>AVERAGE(SUMPRODUCT($S76:$BM76,AttWeights!$C$2:$AW$2)/SUM(AttWeights!$C$2:$AW$2),SUMPRODUCT($S76:$BM76,AttWeights!$C$11:$AW$11)/SUM(AttWeights!$C$11:$AW$11))*10</f>
        <v/>
      </c>
      <c r="S76" s="3">
        <f>IF(ISBLANK('Paste Full'!AC76),"",'Paste Full'!AC76)</f>
        <v/>
      </c>
      <c r="T76" s="3">
        <f>IF(ISBLANK('Paste Full'!AD76),"",'Paste Full'!AD76)</f>
        <v/>
      </c>
      <c r="U76" s="3">
        <f>IF(ISBLANK('Paste Full'!AE76),"",'Paste Full'!AE76)</f>
        <v/>
      </c>
      <c r="V76" s="3">
        <f>IF(ISBLANK('Paste Full'!AF76),"",'Paste Full'!AF76)</f>
        <v/>
      </c>
      <c r="W76" s="3">
        <f>IF(ISBLANK('Paste Full'!AH76),"",'Paste Full'!AH76)</f>
        <v/>
      </c>
      <c r="X76" s="3">
        <f>IF(ISBLANK('Paste Full'!AI76),"",'Paste Full'!AI76)</f>
        <v/>
      </c>
      <c r="Y76" s="3">
        <f>IF(ISBLANK('Paste Full'!AK76),"",'Paste Full'!AK76)</f>
        <v/>
      </c>
      <c r="Z76" s="3">
        <f>IF(ISBLANK('Paste Full'!AL76),"",'Paste Full'!AL76)</f>
        <v/>
      </c>
      <c r="AA76" s="4">
        <f>IF(ISBLANK('Paste Full'!AM76),"",'Paste Full'!AM76)</f>
        <v/>
      </c>
      <c r="AB76" s="4">
        <f>IF(ISBLANK('Paste Full'!AN76),"",'Paste Full'!AN76)</f>
        <v/>
      </c>
      <c r="AC76" s="4">
        <f>IF(ISBLANK('Paste Full'!AO76),"",'Paste Full'!AO76)</f>
        <v/>
      </c>
      <c r="AD76" s="4">
        <f>IF(ISBLANK('Paste Full'!AP76),"",'Paste Full'!AP76)</f>
        <v/>
      </c>
      <c r="AE76" s="4">
        <f>IF(ISBLANK('Paste Full'!AQ76),"",'Paste Full'!AQ76)</f>
        <v/>
      </c>
      <c r="AF76" s="4">
        <f>IF(ISBLANK('Paste Full'!AR76),"",'Paste Full'!AR76)</f>
        <v/>
      </c>
      <c r="AG76" s="4">
        <f>IF(ISBLANK('Paste Full'!AS76),"",'Paste Full'!AS76)</f>
        <v/>
      </c>
      <c r="AH76" s="4">
        <f>IF(ISBLANK('Paste Full'!AV76),"",'Paste Full'!AV76)</f>
        <v/>
      </c>
      <c r="AI76" s="4">
        <f>IF(ISBLANK('Paste Full'!AT76),"",'Paste Full'!AT76)</f>
        <v/>
      </c>
      <c r="AJ76" s="4">
        <f>IF(ISBLANK('Paste Full'!AU76),"",'Paste Full'!AU76)</f>
        <v/>
      </c>
      <c r="AK76" s="4">
        <f>IF(ISBLANK('Paste Full'!AW76),"",'Paste Full'!AW76)</f>
        <v/>
      </c>
      <c r="AL76" s="5">
        <f>IF(ISBLANK('Paste Full'!AX76),"",'Paste Full'!AX76)</f>
        <v/>
      </c>
      <c r="AM76" s="5">
        <f>IF(ISBLANK('Paste Full'!AY76),"",'Paste Full'!AY76)</f>
        <v/>
      </c>
      <c r="AN76" s="5">
        <f>IF(ISBLANK('Paste Full'!AZ76),"",'Paste Full'!AZ76)</f>
        <v/>
      </c>
      <c r="AO76" s="5">
        <f>IF(ISBLANK('Paste Full'!BA76),"",'Paste Full'!BA76)</f>
        <v/>
      </c>
      <c r="AP76" s="5">
        <f>IF(ISBLANK('Paste Full'!BB76),"",'Paste Full'!BB76)</f>
        <v/>
      </c>
      <c r="AQ76" s="5">
        <f>IF(ISBLANK('Paste Full'!BC76),"",'Paste Full'!BC76)</f>
        <v/>
      </c>
      <c r="AR76" s="5">
        <f>IF(ISBLANK('Paste Full'!BD76),"",'Paste Full'!BD76)</f>
        <v/>
      </c>
      <c r="AS76" s="5">
        <f>IF(ISBLANK('Paste Full'!BE76),"",'Paste Full'!BE76)</f>
        <v/>
      </c>
      <c r="AT76" s="5">
        <f>IF(ISBLANK('Paste Full'!BF76),"",'Paste Full'!BF76)</f>
        <v/>
      </c>
      <c r="AU76" s="5">
        <f>IF(ISBLANK('Paste Full'!BG76),"",'Paste Full'!BG76)</f>
        <v/>
      </c>
      <c r="AV76" s="5">
        <f>IF(ISBLANK('Paste Full'!BH76),"",'Paste Full'!BH76)</f>
        <v/>
      </c>
      <c r="AW76" s="5">
        <f>IF(ISBLANK('Paste Full'!BI76),"",'Paste Full'!BI76)</f>
        <v/>
      </c>
      <c r="AX76" s="5">
        <f>IF(ISBLANK('Paste Full'!BJ76),"",'Paste Full'!BJ76)</f>
        <v/>
      </c>
      <c r="AY76" s="5">
        <f>IF(ISBLANK('Paste Full'!BK76),"",'Paste Full'!BK76)</f>
        <v/>
      </c>
      <c r="AZ76" s="6">
        <f>IF(ISBLANK('Paste Full'!BM76),"",'Paste Full'!BM76)</f>
        <v/>
      </c>
      <c r="BA76" s="6">
        <f>IF(ISBLANK('Paste Full'!BN76),"",'Paste Full'!BN76)</f>
        <v/>
      </c>
      <c r="BB76" s="6">
        <f>IF(ISBLANK('Paste Full'!BO76),"",'Paste Full'!BO76)</f>
        <v/>
      </c>
      <c r="BC76" s="6">
        <f>IF(ISBLANK('Paste Full'!BP76),"",'Paste Full'!BP76)</f>
        <v/>
      </c>
      <c r="BD76" s="6">
        <f>IF(ISBLANK('Paste Full'!BR76),"",'Paste Full'!BR76)</f>
        <v/>
      </c>
      <c r="BE76" s="6">
        <f>IF(ISBLANK('Paste Full'!BS76),"",'Paste Full'!BS76)</f>
        <v/>
      </c>
      <c r="BF76" s="6">
        <f>IF(ISBLANK('Paste Full'!BU76),"",'Paste Full'!BU76)</f>
        <v/>
      </c>
      <c r="BG76" s="6">
        <f>IF(ISBLANK('Paste Full'!BV76),"",'Paste Full'!BV76)</f>
        <v/>
      </c>
      <c r="BH76" s="6">
        <f>IF(ISBLANK('Paste Full'!BX76),"",'Paste Full'!BX76)</f>
        <v/>
      </c>
      <c r="BI76" s="6">
        <f>IF(ISBLANK('Paste Full'!BY76),"",'Paste Full'!BY76)</f>
        <v/>
      </c>
      <c r="BJ76" s="13">
        <f>IF(ISBLANK('Paste Full'!BL76),"",'Paste Full'!BL76)</f>
        <v/>
      </c>
      <c r="BK76" s="13">
        <f>IF(ISBLANK('Paste Full'!BQ76),"",'Paste Full'!BQ76)</f>
        <v/>
      </c>
      <c r="BL76" s="13">
        <f>IF(ISBLANK('Paste Full'!BT76),"",'Paste Full'!BT76)</f>
        <v/>
      </c>
      <c r="BM76" s="13">
        <f>IF(ISBLANK('Paste Full'!BW76),"",'Paste Full'!BW76)</f>
        <v/>
      </c>
    </row>
    <row r="77">
      <c r="A77">
        <f>IF(ISBLANK('Paste Full'!C77),"",'Paste Full'!C77)</f>
        <v/>
      </c>
      <c r="B77">
        <f>INDEX($J$1:$R$1, MATCH(MAX($J77:$R77), $J77:$R77, 0))</f>
        <v/>
      </c>
      <c r="C77" s="45">
        <f>IF(ISBLANK('Paste Full'!H77),"",'Paste Full'!H77)</f>
        <v/>
      </c>
      <c r="D77" s="45">
        <f>IF(ISBLANK('Paste Full'!F77),"",'Paste Full'!F77)</f>
        <v/>
      </c>
      <c r="E77" s="45">
        <f>IF(ISBLANK('Paste Full'!G77),"",'Paste Full'!G77)</f>
        <v/>
      </c>
      <c r="F77" s="21">
        <f>IF(ISBLANK('Paste Full'!E77),"",'Paste Full'!E77)</f>
        <v/>
      </c>
      <c r="G77">
        <f>IF(ISBLANK('Paste Full'!CI77),"",'Paste Full'!CI77)</f>
        <v/>
      </c>
      <c r="H77" s="21">
        <f>IF(ISBLANK('Paste Full'!J77),"",'Paste Full'!J77)</f>
        <v/>
      </c>
      <c r="I77" s="21">
        <f>IF(ISBLANK('Paste Full'!D77),"",'Paste Full'!D77)</f>
        <v/>
      </c>
      <c r="J77" s="14">
        <f>AVERAGE(SUMPRODUCT($S77:$BM77,AttWeights!$C$10:$AW$10)/SUM(AttWeights!$C$10:$AW$10),SUMPRODUCT($S77:$BM77,AttWeights!$C$17:$AW$17)/SUM(AttWeights!$C$17:$AW$17))*10</f>
        <v/>
      </c>
      <c r="K77" s="14">
        <f>AVERAGE(SUMPRODUCT($S77:$BM77,AttWeights!$C$7:$AW$7)/SUM(AttWeights!$C$7:$AW$7),SUMPRODUCT($S77:$BM77,AttWeights!$C$15:$AW$15)/SUM(AttWeights!$C$15:$AW$15))*10</f>
        <v/>
      </c>
      <c r="L77" s="14">
        <f>AVERAGE(SUMPRODUCT($S77:$BM77,AttWeights!$C$8:$AW$8)/SUM(AttWeights!$C$8:$AW$8),SUMPRODUCT($S77:$BM77,AttWeights!$C$16:$AW$16)/SUM(AttWeights!$C$16:$AW$16))*10</f>
        <v/>
      </c>
      <c r="M77" s="14">
        <f>AVERAGE(SUMPRODUCT($S77:$BM77,AttWeights!$C$9:$AW$9)/SUM(AttWeights!$C$9:$AW$9),SUMPRODUCT($S77:$BM77,AttWeights!$C$15:$AW$15)/SUM(AttWeights!$C$15:$AW$15))*10</f>
        <v/>
      </c>
      <c r="N77" s="14">
        <f>AVERAGE(SUMPRODUCT($S77:$BM77,AttWeights!$C$6:$AW$6)/SUM(AttWeights!$C$6:$AW$6),SUMPRODUCT($S77:$BM77,AttWeights!$C$14:$AW$14)/SUM(AttWeights!$C$14:$AW$14))*10</f>
        <v/>
      </c>
      <c r="O77" s="14">
        <f>AVERAGE(SUMPRODUCT($S77:$BM77,AttWeights!$C$5:$AW$5)/SUM(AttWeights!$C$5:$AW$5),SUMPRODUCT($S77:$BM77,AttWeights!$C$14:$AW$14)/SUM(AttWeights!$C$14:$AW$14))*10</f>
        <v/>
      </c>
      <c r="P77" s="14">
        <f>AVERAGE(SUMPRODUCT($S77:$BM77,AttWeights!$C$4:$AW$4)/SUM(AttWeights!$C$4:$AW$4),SUMPRODUCT($S77:$BM77,AttWeights!$C$13:$AW$13)/SUM(AttWeights!$C$13:$AW$13))*10</f>
        <v/>
      </c>
      <c r="Q77" s="14">
        <f>AVERAGE(SUMPRODUCT($S77:$BM77,AttWeights!$C$3:$AW$3)/SUM(AttWeights!$C$3:$AW$3),SUMPRODUCT($S77:$BM77,AttWeights!$C$12:$AW$12)/SUM(AttWeights!$C$12:$AW$12))*10</f>
        <v/>
      </c>
      <c r="R77" s="14">
        <f>AVERAGE(SUMPRODUCT($S77:$BM77,AttWeights!$C$2:$AW$2)/SUM(AttWeights!$C$2:$AW$2),SUMPRODUCT($S77:$BM77,AttWeights!$C$11:$AW$11)/SUM(AttWeights!$C$11:$AW$11))*10</f>
        <v/>
      </c>
      <c r="S77" s="3">
        <f>IF(ISBLANK('Paste Full'!AC77),"",'Paste Full'!AC77)</f>
        <v/>
      </c>
      <c r="T77" s="3">
        <f>IF(ISBLANK('Paste Full'!AD77),"",'Paste Full'!AD77)</f>
        <v/>
      </c>
      <c r="U77" s="3">
        <f>IF(ISBLANK('Paste Full'!AE77),"",'Paste Full'!AE77)</f>
        <v/>
      </c>
      <c r="V77" s="3">
        <f>IF(ISBLANK('Paste Full'!AF77),"",'Paste Full'!AF77)</f>
        <v/>
      </c>
      <c r="W77" s="3">
        <f>IF(ISBLANK('Paste Full'!AH77),"",'Paste Full'!AH77)</f>
        <v/>
      </c>
      <c r="X77" s="3">
        <f>IF(ISBLANK('Paste Full'!AI77),"",'Paste Full'!AI77)</f>
        <v/>
      </c>
      <c r="Y77" s="3">
        <f>IF(ISBLANK('Paste Full'!AK77),"",'Paste Full'!AK77)</f>
        <v/>
      </c>
      <c r="Z77" s="3">
        <f>IF(ISBLANK('Paste Full'!AL77),"",'Paste Full'!AL77)</f>
        <v/>
      </c>
      <c r="AA77" s="4">
        <f>IF(ISBLANK('Paste Full'!AM77),"",'Paste Full'!AM77)</f>
        <v/>
      </c>
      <c r="AB77" s="4">
        <f>IF(ISBLANK('Paste Full'!AN77),"",'Paste Full'!AN77)</f>
        <v/>
      </c>
      <c r="AC77" s="4">
        <f>IF(ISBLANK('Paste Full'!AO77),"",'Paste Full'!AO77)</f>
        <v/>
      </c>
      <c r="AD77" s="4">
        <f>IF(ISBLANK('Paste Full'!AP77),"",'Paste Full'!AP77)</f>
        <v/>
      </c>
      <c r="AE77" s="4">
        <f>IF(ISBLANK('Paste Full'!AQ77),"",'Paste Full'!AQ77)</f>
        <v/>
      </c>
      <c r="AF77" s="4">
        <f>IF(ISBLANK('Paste Full'!AR77),"",'Paste Full'!AR77)</f>
        <v/>
      </c>
      <c r="AG77" s="4">
        <f>IF(ISBLANK('Paste Full'!AS77),"",'Paste Full'!AS77)</f>
        <v/>
      </c>
      <c r="AH77" s="4">
        <f>IF(ISBLANK('Paste Full'!AV77),"",'Paste Full'!AV77)</f>
        <v/>
      </c>
      <c r="AI77" s="4">
        <f>IF(ISBLANK('Paste Full'!AT77),"",'Paste Full'!AT77)</f>
        <v/>
      </c>
      <c r="AJ77" s="4">
        <f>IF(ISBLANK('Paste Full'!AU77),"",'Paste Full'!AU77)</f>
        <v/>
      </c>
      <c r="AK77" s="4">
        <f>IF(ISBLANK('Paste Full'!AW77),"",'Paste Full'!AW77)</f>
        <v/>
      </c>
      <c r="AL77" s="5">
        <f>IF(ISBLANK('Paste Full'!AX77),"",'Paste Full'!AX77)</f>
        <v/>
      </c>
      <c r="AM77" s="5">
        <f>IF(ISBLANK('Paste Full'!AY77),"",'Paste Full'!AY77)</f>
        <v/>
      </c>
      <c r="AN77" s="5">
        <f>IF(ISBLANK('Paste Full'!AZ77),"",'Paste Full'!AZ77)</f>
        <v/>
      </c>
      <c r="AO77" s="5">
        <f>IF(ISBLANK('Paste Full'!BA77),"",'Paste Full'!BA77)</f>
        <v/>
      </c>
      <c r="AP77" s="5">
        <f>IF(ISBLANK('Paste Full'!BB77),"",'Paste Full'!BB77)</f>
        <v/>
      </c>
      <c r="AQ77" s="5">
        <f>IF(ISBLANK('Paste Full'!BC77),"",'Paste Full'!BC77)</f>
        <v/>
      </c>
      <c r="AR77" s="5">
        <f>IF(ISBLANK('Paste Full'!BD77),"",'Paste Full'!BD77)</f>
        <v/>
      </c>
      <c r="AS77" s="5">
        <f>IF(ISBLANK('Paste Full'!BE77),"",'Paste Full'!BE77)</f>
        <v/>
      </c>
      <c r="AT77" s="5">
        <f>IF(ISBLANK('Paste Full'!BF77),"",'Paste Full'!BF77)</f>
        <v/>
      </c>
      <c r="AU77" s="5">
        <f>IF(ISBLANK('Paste Full'!BG77),"",'Paste Full'!BG77)</f>
        <v/>
      </c>
      <c r="AV77" s="5">
        <f>IF(ISBLANK('Paste Full'!BH77),"",'Paste Full'!BH77)</f>
        <v/>
      </c>
      <c r="AW77" s="5">
        <f>IF(ISBLANK('Paste Full'!BI77),"",'Paste Full'!BI77)</f>
        <v/>
      </c>
      <c r="AX77" s="5">
        <f>IF(ISBLANK('Paste Full'!BJ77),"",'Paste Full'!BJ77)</f>
        <v/>
      </c>
      <c r="AY77" s="5">
        <f>IF(ISBLANK('Paste Full'!BK77),"",'Paste Full'!BK77)</f>
        <v/>
      </c>
      <c r="AZ77" s="6">
        <f>IF(ISBLANK('Paste Full'!BM77),"",'Paste Full'!BM77)</f>
        <v/>
      </c>
      <c r="BA77" s="6">
        <f>IF(ISBLANK('Paste Full'!BN77),"",'Paste Full'!BN77)</f>
        <v/>
      </c>
      <c r="BB77" s="6">
        <f>IF(ISBLANK('Paste Full'!BO77),"",'Paste Full'!BO77)</f>
        <v/>
      </c>
      <c r="BC77" s="6">
        <f>IF(ISBLANK('Paste Full'!BP77),"",'Paste Full'!BP77)</f>
        <v/>
      </c>
      <c r="BD77" s="6">
        <f>IF(ISBLANK('Paste Full'!BR77),"",'Paste Full'!BR77)</f>
        <v/>
      </c>
      <c r="BE77" s="6">
        <f>IF(ISBLANK('Paste Full'!BS77),"",'Paste Full'!BS77)</f>
        <v/>
      </c>
      <c r="BF77" s="6">
        <f>IF(ISBLANK('Paste Full'!BU77),"",'Paste Full'!BU77)</f>
        <v/>
      </c>
      <c r="BG77" s="6">
        <f>IF(ISBLANK('Paste Full'!BV77),"",'Paste Full'!BV77)</f>
        <v/>
      </c>
      <c r="BH77" s="6">
        <f>IF(ISBLANK('Paste Full'!BX77),"",'Paste Full'!BX77)</f>
        <v/>
      </c>
      <c r="BI77" s="6">
        <f>IF(ISBLANK('Paste Full'!BY77),"",'Paste Full'!BY77)</f>
        <v/>
      </c>
      <c r="BJ77" s="13">
        <f>IF(ISBLANK('Paste Full'!BL77),"",'Paste Full'!BL77)</f>
        <v/>
      </c>
      <c r="BK77" s="13">
        <f>IF(ISBLANK('Paste Full'!BQ77),"",'Paste Full'!BQ77)</f>
        <v/>
      </c>
      <c r="BL77" s="13">
        <f>IF(ISBLANK('Paste Full'!BT77),"",'Paste Full'!BT77)</f>
        <v/>
      </c>
      <c r="BM77" s="13">
        <f>IF(ISBLANK('Paste Full'!BW77),"",'Paste Full'!BW77)</f>
        <v/>
      </c>
    </row>
    <row r="78">
      <c r="A78">
        <f>IF(ISBLANK('Paste Full'!C78),"",'Paste Full'!C78)</f>
        <v/>
      </c>
      <c r="B78">
        <f>INDEX($J$1:$R$1, MATCH(MAX($J78:$R78), $J78:$R78, 0))</f>
        <v/>
      </c>
      <c r="C78" s="45">
        <f>IF(ISBLANK('Paste Full'!H78),"",'Paste Full'!H78)</f>
        <v/>
      </c>
      <c r="D78" s="45">
        <f>IF(ISBLANK('Paste Full'!F78),"",'Paste Full'!F78)</f>
        <v/>
      </c>
      <c r="E78" s="45">
        <f>IF(ISBLANK('Paste Full'!G78),"",'Paste Full'!G78)</f>
        <v/>
      </c>
      <c r="F78" s="21">
        <f>IF(ISBLANK('Paste Full'!E78),"",'Paste Full'!E78)</f>
        <v/>
      </c>
      <c r="G78">
        <f>IF(ISBLANK('Paste Full'!CI78),"",'Paste Full'!CI78)</f>
        <v/>
      </c>
      <c r="H78" s="21">
        <f>IF(ISBLANK('Paste Full'!J78),"",'Paste Full'!J78)</f>
        <v/>
      </c>
      <c r="I78" s="21">
        <f>IF(ISBLANK('Paste Full'!D78),"",'Paste Full'!D78)</f>
        <v/>
      </c>
      <c r="J78" s="14">
        <f>AVERAGE(SUMPRODUCT($S78:$BM78,AttWeights!$C$10:$AW$10)/SUM(AttWeights!$C$10:$AW$10),SUMPRODUCT($S78:$BM78,AttWeights!$C$17:$AW$17)/SUM(AttWeights!$C$17:$AW$17))*10</f>
        <v/>
      </c>
      <c r="K78" s="14">
        <f>AVERAGE(SUMPRODUCT($S78:$BM78,AttWeights!$C$7:$AW$7)/SUM(AttWeights!$C$7:$AW$7),SUMPRODUCT($S78:$BM78,AttWeights!$C$15:$AW$15)/SUM(AttWeights!$C$15:$AW$15))*10</f>
        <v/>
      </c>
      <c r="L78" s="14">
        <f>AVERAGE(SUMPRODUCT($S78:$BM78,AttWeights!$C$8:$AW$8)/SUM(AttWeights!$C$8:$AW$8),SUMPRODUCT($S78:$BM78,AttWeights!$C$16:$AW$16)/SUM(AttWeights!$C$16:$AW$16))*10</f>
        <v/>
      </c>
      <c r="M78" s="14">
        <f>AVERAGE(SUMPRODUCT($S78:$BM78,AttWeights!$C$9:$AW$9)/SUM(AttWeights!$C$9:$AW$9),SUMPRODUCT($S78:$BM78,AttWeights!$C$15:$AW$15)/SUM(AttWeights!$C$15:$AW$15))*10</f>
        <v/>
      </c>
      <c r="N78" s="14">
        <f>AVERAGE(SUMPRODUCT($S78:$BM78,AttWeights!$C$6:$AW$6)/SUM(AttWeights!$C$6:$AW$6),SUMPRODUCT($S78:$BM78,AttWeights!$C$14:$AW$14)/SUM(AttWeights!$C$14:$AW$14))*10</f>
        <v/>
      </c>
      <c r="O78" s="14">
        <f>AVERAGE(SUMPRODUCT($S78:$BM78,AttWeights!$C$5:$AW$5)/SUM(AttWeights!$C$5:$AW$5),SUMPRODUCT($S78:$BM78,AttWeights!$C$14:$AW$14)/SUM(AttWeights!$C$14:$AW$14))*10</f>
        <v/>
      </c>
      <c r="P78" s="14">
        <f>AVERAGE(SUMPRODUCT($S78:$BM78,AttWeights!$C$4:$AW$4)/SUM(AttWeights!$C$4:$AW$4),SUMPRODUCT($S78:$BM78,AttWeights!$C$13:$AW$13)/SUM(AttWeights!$C$13:$AW$13))*10</f>
        <v/>
      </c>
      <c r="Q78" s="14">
        <f>AVERAGE(SUMPRODUCT($S78:$BM78,AttWeights!$C$3:$AW$3)/SUM(AttWeights!$C$3:$AW$3),SUMPRODUCT($S78:$BM78,AttWeights!$C$12:$AW$12)/SUM(AttWeights!$C$12:$AW$12))*10</f>
        <v/>
      </c>
      <c r="R78" s="14">
        <f>AVERAGE(SUMPRODUCT($S78:$BM78,AttWeights!$C$2:$AW$2)/SUM(AttWeights!$C$2:$AW$2),SUMPRODUCT($S78:$BM78,AttWeights!$C$11:$AW$11)/SUM(AttWeights!$C$11:$AW$11))*10</f>
        <v/>
      </c>
      <c r="S78" s="3">
        <f>IF(ISBLANK('Paste Full'!AC78),"",'Paste Full'!AC78)</f>
        <v/>
      </c>
      <c r="T78" s="3">
        <f>IF(ISBLANK('Paste Full'!AD78),"",'Paste Full'!AD78)</f>
        <v/>
      </c>
      <c r="U78" s="3">
        <f>IF(ISBLANK('Paste Full'!AE78),"",'Paste Full'!AE78)</f>
        <v/>
      </c>
      <c r="V78" s="3">
        <f>IF(ISBLANK('Paste Full'!AF78),"",'Paste Full'!AF78)</f>
        <v/>
      </c>
      <c r="W78" s="3">
        <f>IF(ISBLANK('Paste Full'!AH78),"",'Paste Full'!AH78)</f>
        <v/>
      </c>
      <c r="X78" s="3">
        <f>IF(ISBLANK('Paste Full'!AI78),"",'Paste Full'!AI78)</f>
        <v/>
      </c>
      <c r="Y78" s="3">
        <f>IF(ISBLANK('Paste Full'!AK78),"",'Paste Full'!AK78)</f>
        <v/>
      </c>
      <c r="Z78" s="3">
        <f>IF(ISBLANK('Paste Full'!AL78),"",'Paste Full'!AL78)</f>
        <v/>
      </c>
      <c r="AA78" s="4">
        <f>IF(ISBLANK('Paste Full'!AM78),"",'Paste Full'!AM78)</f>
        <v/>
      </c>
      <c r="AB78" s="4">
        <f>IF(ISBLANK('Paste Full'!AN78),"",'Paste Full'!AN78)</f>
        <v/>
      </c>
      <c r="AC78" s="4">
        <f>IF(ISBLANK('Paste Full'!AO78),"",'Paste Full'!AO78)</f>
        <v/>
      </c>
      <c r="AD78" s="4">
        <f>IF(ISBLANK('Paste Full'!AP78),"",'Paste Full'!AP78)</f>
        <v/>
      </c>
      <c r="AE78" s="4">
        <f>IF(ISBLANK('Paste Full'!AQ78),"",'Paste Full'!AQ78)</f>
        <v/>
      </c>
      <c r="AF78" s="4">
        <f>IF(ISBLANK('Paste Full'!AR78),"",'Paste Full'!AR78)</f>
        <v/>
      </c>
      <c r="AG78" s="4">
        <f>IF(ISBLANK('Paste Full'!AS78),"",'Paste Full'!AS78)</f>
        <v/>
      </c>
      <c r="AH78" s="4">
        <f>IF(ISBLANK('Paste Full'!AV78),"",'Paste Full'!AV78)</f>
        <v/>
      </c>
      <c r="AI78" s="4">
        <f>IF(ISBLANK('Paste Full'!AT78),"",'Paste Full'!AT78)</f>
        <v/>
      </c>
      <c r="AJ78" s="4">
        <f>IF(ISBLANK('Paste Full'!AU78),"",'Paste Full'!AU78)</f>
        <v/>
      </c>
      <c r="AK78" s="4">
        <f>IF(ISBLANK('Paste Full'!AW78),"",'Paste Full'!AW78)</f>
        <v/>
      </c>
      <c r="AL78" s="5">
        <f>IF(ISBLANK('Paste Full'!AX78),"",'Paste Full'!AX78)</f>
        <v/>
      </c>
      <c r="AM78" s="5">
        <f>IF(ISBLANK('Paste Full'!AY78),"",'Paste Full'!AY78)</f>
        <v/>
      </c>
      <c r="AN78" s="5">
        <f>IF(ISBLANK('Paste Full'!AZ78),"",'Paste Full'!AZ78)</f>
        <v/>
      </c>
      <c r="AO78" s="5">
        <f>IF(ISBLANK('Paste Full'!BA78),"",'Paste Full'!BA78)</f>
        <v/>
      </c>
      <c r="AP78" s="5">
        <f>IF(ISBLANK('Paste Full'!BB78),"",'Paste Full'!BB78)</f>
        <v/>
      </c>
      <c r="AQ78" s="5">
        <f>IF(ISBLANK('Paste Full'!BC78),"",'Paste Full'!BC78)</f>
        <v/>
      </c>
      <c r="AR78" s="5">
        <f>IF(ISBLANK('Paste Full'!BD78),"",'Paste Full'!BD78)</f>
        <v/>
      </c>
      <c r="AS78" s="5">
        <f>IF(ISBLANK('Paste Full'!BE78),"",'Paste Full'!BE78)</f>
        <v/>
      </c>
      <c r="AT78" s="5">
        <f>IF(ISBLANK('Paste Full'!BF78),"",'Paste Full'!BF78)</f>
        <v/>
      </c>
      <c r="AU78" s="5">
        <f>IF(ISBLANK('Paste Full'!BG78),"",'Paste Full'!BG78)</f>
        <v/>
      </c>
      <c r="AV78" s="5">
        <f>IF(ISBLANK('Paste Full'!BH78),"",'Paste Full'!BH78)</f>
        <v/>
      </c>
      <c r="AW78" s="5">
        <f>IF(ISBLANK('Paste Full'!BI78),"",'Paste Full'!BI78)</f>
        <v/>
      </c>
      <c r="AX78" s="5">
        <f>IF(ISBLANK('Paste Full'!BJ78),"",'Paste Full'!BJ78)</f>
        <v/>
      </c>
      <c r="AY78" s="5">
        <f>IF(ISBLANK('Paste Full'!BK78),"",'Paste Full'!BK78)</f>
        <v/>
      </c>
      <c r="AZ78" s="6">
        <f>IF(ISBLANK('Paste Full'!BM78),"",'Paste Full'!BM78)</f>
        <v/>
      </c>
      <c r="BA78" s="6">
        <f>IF(ISBLANK('Paste Full'!BN78),"",'Paste Full'!BN78)</f>
        <v/>
      </c>
      <c r="BB78" s="6">
        <f>IF(ISBLANK('Paste Full'!BO78),"",'Paste Full'!BO78)</f>
        <v/>
      </c>
      <c r="BC78" s="6">
        <f>IF(ISBLANK('Paste Full'!BP78),"",'Paste Full'!BP78)</f>
        <v/>
      </c>
      <c r="BD78" s="6">
        <f>IF(ISBLANK('Paste Full'!BR78),"",'Paste Full'!BR78)</f>
        <v/>
      </c>
      <c r="BE78" s="6">
        <f>IF(ISBLANK('Paste Full'!BS78),"",'Paste Full'!BS78)</f>
        <v/>
      </c>
      <c r="BF78" s="6">
        <f>IF(ISBLANK('Paste Full'!BU78),"",'Paste Full'!BU78)</f>
        <v/>
      </c>
      <c r="BG78" s="6">
        <f>IF(ISBLANK('Paste Full'!BV78),"",'Paste Full'!BV78)</f>
        <v/>
      </c>
      <c r="BH78" s="6">
        <f>IF(ISBLANK('Paste Full'!BX78),"",'Paste Full'!BX78)</f>
        <v/>
      </c>
      <c r="BI78" s="6">
        <f>IF(ISBLANK('Paste Full'!BY78),"",'Paste Full'!BY78)</f>
        <v/>
      </c>
      <c r="BJ78" s="13">
        <f>IF(ISBLANK('Paste Full'!BL78),"",'Paste Full'!BL78)</f>
        <v/>
      </c>
      <c r="BK78" s="13">
        <f>IF(ISBLANK('Paste Full'!BQ78),"",'Paste Full'!BQ78)</f>
        <v/>
      </c>
      <c r="BL78" s="13">
        <f>IF(ISBLANK('Paste Full'!BT78),"",'Paste Full'!BT78)</f>
        <v/>
      </c>
      <c r="BM78" s="13">
        <f>IF(ISBLANK('Paste Full'!BW78),"",'Paste Full'!BW78)</f>
        <v/>
      </c>
    </row>
    <row r="79">
      <c r="A79">
        <f>IF(ISBLANK('Paste Full'!C79),"",'Paste Full'!C79)</f>
        <v/>
      </c>
      <c r="B79">
        <f>INDEX($J$1:$R$1, MATCH(MAX($J79:$R79), $J79:$R79, 0))</f>
        <v/>
      </c>
      <c r="C79" s="45">
        <f>IF(ISBLANK('Paste Full'!H79),"",'Paste Full'!H79)</f>
        <v/>
      </c>
      <c r="D79" s="45">
        <f>IF(ISBLANK('Paste Full'!F79),"",'Paste Full'!F79)</f>
        <v/>
      </c>
      <c r="E79" s="45">
        <f>IF(ISBLANK('Paste Full'!G79),"",'Paste Full'!G79)</f>
        <v/>
      </c>
      <c r="F79" s="21">
        <f>IF(ISBLANK('Paste Full'!E79),"",'Paste Full'!E79)</f>
        <v/>
      </c>
      <c r="G79">
        <f>IF(ISBLANK('Paste Full'!CI79),"",'Paste Full'!CI79)</f>
        <v/>
      </c>
      <c r="H79" s="21">
        <f>IF(ISBLANK('Paste Full'!J79),"",'Paste Full'!J79)</f>
        <v/>
      </c>
      <c r="I79" s="21">
        <f>IF(ISBLANK('Paste Full'!D79),"",'Paste Full'!D79)</f>
        <v/>
      </c>
      <c r="J79" s="14">
        <f>AVERAGE(SUMPRODUCT($S79:$BM79,AttWeights!$C$10:$AW$10)/SUM(AttWeights!$C$10:$AW$10),SUMPRODUCT($S79:$BM79,AttWeights!$C$17:$AW$17)/SUM(AttWeights!$C$17:$AW$17))*10</f>
        <v/>
      </c>
      <c r="K79" s="14">
        <f>AVERAGE(SUMPRODUCT($S79:$BM79,AttWeights!$C$7:$AW$7)/SUM(AttWeights!$C$7:$AW$7),SUMPRODUCT($S79:$BM79,AttWeights!$C$15:$AW$15)/SUM(AttWeights!$C$15:$AW$15))*10</f>
        <v/>
      </c>
      <c r="L79" s="14">
        <f>AVERAGE(SUMPRODUCT($S79:$BM79,AttWeights!$C$8:$AW$8)/SUM(AttWeights!$C$8:$AW$8),SUMPRODUCT($S79:$BM79,AttWeights!$C$16:$AW$16)/SUM(AttWeights!$C$16:$AW$16))*10</f>
        <v/>
      </c>
      <c r="M79" s="14">
        <f>AVERAGE(SUMPRODUCT($S79:$BM79,AttWeights!$C$9:$AW$9)/SUM(AttWeights!$C$9:$AW$9),SUMPRODUCT($S79:$BM79,AttWeights!$C$15:$AW$15)/SUM(AttWeights!$C$15:$AW$15))*10</f>
        <v/>
      </c>
      <c r="N79" s="14">
        <f>AVERAGE(SUMPRODUCT($S79:$BM79,AttWeights!$C$6:$AW$6)/SUM(AttWeights!$C$6:$AW$6),SUMPRODUCT($S79:$BM79,AttWeights!$C$14:$AW$14)/SUM(AttWeights!$C$14:$AW$14))*10</f>
        <v/>
      </c>
      <c r="O79" s="14">
        <f>AVERAGE(SUMPRODUCT($S79:$BM79,AttWeights!$C$5:$AW$5)/SUM(AttWeights!$C$5:$AW$5),SUMPRODUCT($S79:$BM79,AttWeights!$C$14:$AW$14)/SUM(AttWeights!$C$14:$AW$14))*10</f>
        <v/>
      </c>
      <c r="P79" s="14">
        <f>AVERAGE(SUMPRODUCT($S79:$BM79,AttWeights!$C$4:$AW$4)/SUM(AttWeights!$C$4:$AW$4),SUMPRODUCT($S79:$BM79,AttWeights!$C$13:$AW$13)/SUM(AttWeights!$C$13:$AW$13))*10</f>
        <v/>
      </c>
      <c r="Q79" s="14">
        <f>AVERAGE(SUMPRODUCT($S79:$BM79,AttWeights!$C$3:$AW$3)/SUM(AttWeights!$C$3:$AW$3),SUMPRODUCT($S79:$BM79,AttWeights!$C$12:$AW$12)/SUM(AttWeights!$C$12:$AW$12))*10</f>
        <v/>
      </c>
      <c r="R79" s="14">
        <f>AVERAGE(SUMPRODUCT($S79:$BM79,AttWeights!$C$2:$AW$2)/SUM(AttWeights!$C$2:$AW$2),SUMPRODUCT($S79:$BM79,AttWeights!$C$11:$AW$11)/SUM(AttWeights!$C$11:$AW$11))*10</f>
        <v/>
      </c>
      <c r="S79" s="3">
        <f>IF(ISBLANK('Paste Full'!AC79),"",'Paste Full'!AC79)</f>
        <v/>
      </c>
      <c r="T79" s="3">
        <f>IF(ISBLANK('Paste Full'!AD79),"",'Paste Full'!AD79)</f>
        <v/>
      </c>
      <c r="U79" s="3">
        <f>IF(ISBLANK('Paste Full'!AE79),"",'Paste Full'!AE79)</f>
        <v/>
      </c>
      <c r="V79" s="3">
        <f>IF(ISBLANK('Paste Full'!AF79),"",'Paste Full'!AF79)</f>
        <v/>
      </c>
      <c r="W79" s="3">
        <f>IF(ISBLANK('Paste Full'!AH79),"",'Paste Full'!AH79)</f>
        <v/>
      </c>
      <c r="X79" s="3">
        <f>IF(ISBLANK('Paste Full'!AI79),"",'Paste Full'!AI79)</f>
        <v/>
      </c>
      <c r="Y79" s="3">
        <f>IF(ISBLANK('Paste Full'!AK79),"",'Paste Full'!AK79)</f>
        <v/>
      </c>
      <c r="Z79" s="3">
        <f>IF(ISBLANK('Paste Full'!AL79),"",'Paste Full'!AL79)</f>
        <v/>
      </c>
      <c r="AA79" s="4">
        <f>IF(ISBLANK('Paste Full'!AM79),"",'Paste Full'!AM79)</f>
        <v/>
      </c>
      <c r="AB79" s="4">
        <f>IF(ISBLANK('Paste Full'!AN79),"",'Paste Full'!AN79)</f>
        <v/>
      </c>
      <c r="AC79" s="4">
        <f>IF(ISBLANK('Paste Full'!AO79),"",'Paste Full'!AO79)</f>
        <v/>
      </c>
      <c r="AD79" s="4">
        <f>IF(ISBLANK('Paste Full'!AP79),"",'Paste Full'!AP79)</f>
        <v/>
      </c>
      <c r="AE79" s="4">
        <f>IF(ISBLANK('Paste Full'!AQ79),"",'Paste Full'!AQ79)</f>
        <v/>
      </c>
      <c r="AF79" s="4">
        <f>IF(ISBLANK('Paste Full'!AR79),"",'Paste Full'!AR79)</f>
        <v/>
      </c>
      <c r="AG79" s="4">
        <f>IF(ISBLANK('Paste Full'!AS79),"",'Paste Full'!AS79)</f>
        <v/>
      </c>
      <c r="AH79" s="4">
        <f>IF(ISBLANK('Paste Full'!AV79),"",'Paste Full'!AV79)</f>
        <v/>
      </c>
      <c r="AI79" s="4">
        <f>IF(ISBLANK('Paste Full'!AT79),"",'Paste Full'!AT79)</f>
        <v/>
      </c>
      <c r="AJ79" s="4">
        <f>IF(ISBLANK('Paste Full'!AU79),"",'Paste Full'!AU79)</f>
        <v/>
      </c>
      <c r="AK79" s="4">
        <f>IF(ISBLANK('Paste Full'!AW79),"",'Paste Full'!AW79)</f>
        <v/>
      </c>
      <c r="AL79" s="5">
        <f>IF(ISBLANK('Paste Full'!AX79),"",'Paste Full'!AX79)</f>
        <v/>
      </c>
      <c r="AM79" s="5">
        <f>IF(ISBLANK('Paste Full'!AY79),"",'Paste Full'!AY79)</f>
        <v/>
      </c>
      <c r="AN79" s="5">
        <f>IF(ISBLANK('Paste Full'!AZ79),"",'Paste Full'!AZ79)</f>
        <v/>
      </c>
      <c r="AO79" s="5">
        <f>IF(ISBLANK('Paste Full'!BA79),"",'Paste Full'!BA79)</f>
        <v/>
      </c>
      <c r="AP79" s="5">
        <f>IF(ISBLANK('Paste Full'!BB79),"",'Paste Full'!BB79)</f>
        <v/>
      </c>
      <c r="AQ79" s="5">
        <f>IF(ISBLANK('Paste Full'!BC79),"",'Paste Full'!BC79)</f>
        <v/>
      </c>
      <c r="AR79" s="5">
        <f>IF(ISBLANK('Paste Full'!BD79),"",'Paste Full'!BD79)</f>
        <v/>
      </c>
      <c r="AS79" s="5">
        <f>IF(ISBLANK('Paste Full'!BE79),"",'Paste Full'!BE79)</f>
        <v/>
      </c>
      <c r="AT79" s="5">
        <f>IF(ISBLANK('Paste Full'!BF79),"",'Paste Full'!BF79)</f>
        <v/>
      </c>
      <c r="AU79" s="5">
        <f>IF(ISBLANK('Paste Full'!BG79),"",'Paste Full'!BG79)</f>
        <v/>
      </c>
      <c r="AV79" s="5">
        <f>IF(ISBLANK('Paste Full'!BH79),"",'Paste Full'!BH79)</f>
        <v/>
      </c>
      <c r="AW79" s="5">
        <f>IF(ISBLANK('Paste Full'!BI79),"",'Paste Full'!BI79)</f>
        <v/>
      </c>
      <c r="AX79" s="5">
        <f>IF(ISBLANK('Paste Full'!BJ79),"",'Paste Full'!BJ79)</f>
        <v/>
      </c>
      <c r="AY79" s="5">
        <f>IF(ISBLANK('Paste Full'!BK79),"",'Paste Full'!BK79)</f>
        <v/>
      </c>
      <c r="AZ79" s="6">
        <f>IF(ISBLANK('Paste Full'!BM79),"",'Paste Full'!BM79)</f>
        <v/>
      </c>
      <c r="BA79" s="6">
        <f>IF(ISBLANK('Paste Full'!BN79),"",'Paste Full'!BN79)</f>
        <v/>
      </c>
      <c r="BB79" s="6">
        <f>IF(ISBLANK('Paste Full'!BO79),"",'Paste Full'!BO79)</f>
        <v/>
      </c>
      <c r="BC79" s="6">
        <f>IF(ISBLANK('Paste Full'!BP79),"",'Paste Full'!BP79)</f>
        <v/>
      </c>
      <c r="BD79" s="6">
        <f>IF(ISBLANK('Paste Full'!BR79),"",'Paste Full'!BR79)</f>
        <v/>
      </c>
      <c r="BE79" s="6">
        <f>IF(ISBLANK('Paste Full'!BS79),"",'Paste Full'!BS79)</f>
        <v/>
      </c>
      <c r="BF79" s="6">
        <f>IF(ISBLANK('Paste Full'!BU79),"",'Paste Full'!BU79)</f>
        <v/>
      </c>
      <c r="BG79" s="6">
        <f>IF(ISBLANK('Paste Full'!BV79),"",'Paste Full'!BV79)</f>
        <v/>
      </c>
      <c r="BH79" s="6">
        <f>IF(ISBLANK('Paste Full'!BX79),"",'Paste Full'!BX79)</f>
        <v/>
      </c>
      <c r="BI79" s="6">
        <f>IF(ISBLANK('Paste Full'!BY79),"",'Paste Full'!BY79)</f>
        <v/>
      </c>
      <c r="BJ79" s="13">
        <f>IF(ISBLANK('Paste Full'!BL79),"",'Paste Full'!BL79)</f>
        <v/>
      </c>
      <c r="BK79" s="13">
        <f>IF(ISBLANK('Paste Full'!BQ79),"",'Paste Full'!BQ79)</f>
        <v/>
      </c>
      <c r="BL79" s="13">
        <f>IF(ISBLANK('Paste Full'!BT79),"",'Paste Full'!BT79)</f>
        <v/>
      </c>
      <c r="BM79" s="13">
        <f>IF(ISBLANK('Paste Full'!BW79),"",'Paste Full'!BW79)</f>
        <v/>
      </c>
    </row>
    <row r="80">
      <c r="A80">
        <f>IF(ISBLANK('Paste Full'!C80),"",'Paste Full'!C80)</f>
        <v/>
      </c>
      <c r="B80">
        <f>INDEX($J$1:$R$1, MATCH(MAX($J80:$R80), $J80:$R80, 0))</f>
        <v/>
      </c>
      <c r="C80" s="45">
        <f>IF(ISBLANK('Paste Full'!H80),"",'Paste Full'!H80)</f>
        <v/>
      </c>
      <c r="D80" s="45">
        <f>IF(ISBLANK('Paste Full'!F80),"",'Paste Full'!F80)</f>
        <v/>
      </c>
      <c r="E80" s="45">
        <f>IF(ISBLANK('Paste Full'!G80),"",'Paste Full'!G80)</f>
        <v/>
      </c>
      <c r="F80" s="21">
        <f>IF(ISBLANK('Paste Full'!E80),"",'Paste Full'!E80)</f>
        <v/>
      </c>
      <c r="G80">
        <f>IF(ISBLANK('Paste Full'!CI80),"",'Paste Full'!CI80)</f>
        <v/>
      </c>
      <c r="H80" s="21">
        <f>IF(ISBLANK('Paste Full'!J80),"",'Paste Full'!J80)</f>
        <v/>
      </c>
      <c r="I80" s="21">
        <f>IF(ISBLANK('Paste Full'!D80),"",'Paste Full'!D80)</f>
        <v/>
      </c>
      <c r="J80" s="14">
        <f>AVERAGE(SUMPRODUCT($S80:$BM80,AttWeights!$C$10:$AW$10)/SUM(AttWeights!$C$10:$AW$10),SUMPRODUCT($S80:$BM80,AttWeights!$C$17:$AW$17)/SUM(AttWeights!$C$17:$AW$17))*10</f>
        <v/>
      </c>
      <c r="K80" s="14">
        <f>AVERAGE(SUMPRODUCT($S80:$BM80,AttWeights!$C$7:$AW$7)/SUM(AttWeights!$C$7:$AW$7),SUMPRODUCT($S80:$BM80,AttWeights!$C$15:$AW$15)/SUM(AttWeights!$C$15:$AW$15))*10</f>
        <v/>
      </c>
      <c r="L80" s="14">
        <f>AVERAGE(SUMPRODUCT($S80:$BM80,AttWeights!$C$8:$AW$8)/SUM(AttWeights!$C$8:$AW$8),SUMPRODUCT($S80:$BM80,AttWeights!$C$16:$AW$16)/SUM(AttWeights!$C$16:$AW$16))*10</f>
        <v/>
      </c>
      <c r="M80" s="14">
        <f>AVERAGE(SUMPRODUCT($S80:$BM80,AttWeights!$C$9:$AW$9)/SUM(AttWeights!$C$9:$AW$9),SUMPRODUCT($S80:$BM80,AttWeights!$C$15:$AW$15)/SUM(AttWeights!$C$15:$AW$15))*10</f>
        <v/>
      </c>
      <c r="N80" s="14">
        <f>AVERAGE(SUMPRODUCT($S80:$BM80,AttWeights!$C$6:$AW$6)/SUM(AttWeights!$C$6:$AW$6),SUMPRODUCT($S80:$BM80,AttWeights!$C$14:$AW$14)/SUM(AttWeights!$C$14:$AW$14))*10</f>
        <v/>
      </c>
      <c r="O80" s="14">
        <f>AVERAGE(SUMPRODUCT($S80:$BM80,AttWeights!$C$5:$AW$5)/SUM(AttWeights!$C$5:$AW$5),SUMPRODUCT($S80:$BM80,AttWeights!$C$14:$AW$14)/SUM(AttWeights!$C$14:$AW$14))*10</f>
        <v/>
      </c>
      <c r="P80" s="14">
        <f>AVERAGE(SUMPRODUCT($S80:$BM80,AttWeights!$C$4:$AW$4)/SUM(AttWeights!$C$4:$AW$4),SUMPRODUCT($S80:$BM80,AttWeights!$C$13:$AW$13)/SUM(AttWeights!$C$13:$AW$13))*10</f>
        <v/>
      </c>
      <c r="Q80" s="14">
        <f>AVERAGE(SUMPRODUCT($S80:$BM80,AttWeights!$C$3:$AW$3)/SUM(AttWeights!$C$3:$AW$3),SUMPRODUCT($S80:$BM80,AttWeights!$C$12:$AW$12)/SUM(AttWeights!$C$12:$AW$12))*10</f>
        <v/>
      </c>
      <c r="R80" s="14">
        <f>AVERAGE(SUMPRODUCT($S80:$BM80,AttWeights!$C$2:$AW$2)/SUM(AttWeights!$C$2:$AW$2),SUMPRODUCT($S80:$BM80,AttWeights!$C$11:$AW$11)/SUM(AttWeights!$C$11:$AW$11))*10</f>
        <v/>
      </c>
      <c r="S80" s="3">
        <f>IF(ISBLANK('Paste Full'!AC80),"",'Paste Full'!AC80)</f>
        <v/>
      </c>
      <c r="T80" s="3">
        <f>IF(ISBLANK('Paste Full'!AD80),"",'Paste Full'!AD80)</f>
        <v/>
      </c>
      <c r="U80" s="3">
        <f>IF(ISBLANK('Paste Full'!AE80),"",'Paste Full'!AE80)</f>
        <v/>
      </c>
      <c r="V80" s="3">
        <f>IF(ISBLANK('Paste Full'!AF80),"",'Paste Full'!AF80)</f>
        <v/>
      </c>
      <c r="W80" s="3">
        <f>IF(ISBLANK('Paste Full'!AH80),"",'Paste Full'!AH80)</f>
        <v/>
      </c>
      <c r="X80" s="3">
        <f>IF(ISBLANK('Paste Full'!AI80),"",'Paste Full'!AI80)</f>
        <v/>
      </c>
      <c r="Y80" s="3">
        <f>IF(ISBLANK('Paste Full'!AK80),"",'Paste Full'!AK80)</f>
        <v/>
      </c>
      <c r="Z80" s="3">
        <f>IF(ISBLANK('Paste Full'!AL80),"",'Paste Full'!AL80)</f>
        <v/>
      </c>
      <c r="AA80" s="4">
        <f>IF(ISBLANK('Paste Full'!AM80),"",'Paste Full'!AM80)</f>
        <v/>
      </c>
      <c r="AB80" s="4">
        <f>IF(ISBLANK('Paste Full'!AN80),"",'Paste Full'!AN80)</f>
        <v/>
      </c>
      <c r="AC80" s="4">
        <f>IF(ISBLANK('Paste Full'!AO80),"",'Paste Full'!AO80)</f>
        <v/>
      </c>
      <c r="AD80" s="4">
        <f>IF(ISBLANK('Paste Full'!AP80),"",'Paste Full'!AP80)</f>
        <v/>
      </c>
      <c r="AE80" s="4">
        <f>IF(ISBLANK('Paste Full'!AQ80),"",'Paste Full'!AQ80)</f>
        <v/>
      </c>
      <c r="AF80" s="4">
        <f>IF(ISBLANK('Paste Full'!AR80),"",'Paste Full'!AR80)</f>
        <v/>
      </c>
      <c r="AG80" s="4">
        <f>IF(ISBLANK('Paste Full'!AS80),"",'Paste Full'!AS80)</f>
        <v/>
      </c>
      <c r="AH80" s="4">
        <f>IF(ISBLANK('Paste Full'!AV80),"",'Paste Full'!AV80)</f>
        <v/>
      </c>
      <c r="AI80" s="4">
        <f>IF(ISBLANK('Paste Full'!AT80),"",'Paste Full'!AT80)</f>
        <v/>
      </c>
      <c r="AJ80" s="4">
        <f>IF(ISBLANK('Paste Full'!AU80),"",'Paste Full'!AU80)</f>
        <v/>
      </c>
      <c r="AK80" s="4">
        <f>IF(ISBLANK('Paste Full'!AW80),"",'Paste Full'!AW80)</f>
        <v/>
      </c>
      <c r="AL80" s="5">
        <f>IF(ISBLANK('Paste Full'!AX80),"",'Paste Full'!AX80)</f>
        <v/>
      </c>
      <c r="AM80" s="5">
        <f>IF(ISBLANK('Paste Full'!AY80),"",'Paste Full'!AY80)</f>
        <v/>
      </c>
      <c r="AN80" s="5">
        <f>IF(ISBLANK('Paste Full'!AZ80),"",'Paste Full'!AZ80)</f>
        <v/>
      </c>
      <c r="AO80" s="5">
        <f>IF(ISBLANK('Paste Full'!BA80),"",'Paste Full'!BA80)</f>
        <v/>
      </c>
      <c r="AP80" s="5">
        <f>IF(ISBLANK('Paste Full'!BB80),"",'Paste Full'!BB80)</f>
        <v/>
      </c>
      <c r="AQ80" s="5">
        <f>IF(ISBLANK('Paste Full'!BC80),"",'Paste Full'!BC80)</f>
        <v/>
      </c>
      <c r="AR80" s="5">
        <f>IF(ISBLANK('Paste Full'!BD80),"",'Paste Full'!BD80)</f>
        <v/>
      </c>
      <c r="AS80" s="5">
        <f>IF(ISBLANK('Paste Full'!BE80),"",'Paste Full'!BE80)</f>
        <v/>
      </c>
      <c r="AT80" s="5">
        <f>IF(ISBLANK('Paste Full'!BF80),"",'Paste Full'!BF80)</f>
        <v/>
      </c>
      <c r="AU80" s="5">
        <f>IF(ISBLANK('Paste Full'!BG80),"",'Paste Full'!BG80)</f>
        <v/>
      </c>
      <c r="AV80" s="5">
        <f>IF(ISBLANK('Paste Full'!BH80),"",'Paste Full'!BH80)</f>
        <v/>
      </c>
      <c r="AW80" s="5">
        <f>IF(ISBLANK('Paste Full'!BI80),"",'Paste Full'!BI80)</f>
        <v/>
      </c>
      <c r="AX80" s="5">
        <f>IF(ISBLANK('Paste Full'!BJ80),"",'Paste Full'!BJ80)</f>
        <v/>
      </c>
      <c r="AY80" s="5">
        <f>IF(ISBLANK('Paste Full'!BK80),"",'Paste Full'!BK80)</f>
        <v/>
      </c>
      <c r="AZ80" s="6">
        <f>IF(ISBLANK('Paste Full'!BM80),"",'Paste Full'!BM80)</f>
        <v/>
      </c>
      <c r="BA80" s="6">
        <f>IF(ISBLANK('Paste Full'!BN80),"",'Paste Full'!BN80)</f>
        <v/>
      </c>
      <c r="BB80" s="6">
        <f>IF(ISBLANK('Paste Full'!BO80),"",'Paste Full'!BO80)</f>
        <v/>
      </c>
      <c r="BC80" s="6">
        <f>IF(ISBLANK('Paste Full'!BP80),"",'Paste Full'!BP80)</f>
        <v/>
      </c>
      <c r="BD80" s="6">
        <f>IF(ISBLANK('Paste Full'!BR80),"",'Paste Full'!BR80)</f>
        <v/>
      </c>
      <c r="BE80" s="6">
        <f>IF(ISBLANK('Paste Full'!BS80),"",'Paste Full'!BS80)</f>
        <v/>
      </c>
      <c r="BF80" s="6">
        <f>IF(ISBLANK('Paste Full'!BU80),"",'Paste Full'!BU80)</f>
        <v/>
      </c>
      <c r="BG80" s="6">
        <f>IF(ISBLANK('Paste Full'!BV80),"",'Paste Full'!BV80)</f>
        <v/>
      </c>
      <c r="BH80" s="6">
        <f>IF(ISBLANK('Paste Full'!BX80),"",'Paste Full'!BX80)</f>
        <v/>
      </c>
      <c r="BI80" s="6">
        <f>IF(ISBLANK('Paste Full'!BY80),"",'Paste Full'!BY80)</f>
        <v/>
      </c>
      <c r="BJ80" s="13">
        <f>IF(ISBLANK('Paste Full'!BL80),"",'Paste Full'!BL80)</f>
        <v/>
      </c>
      <c r="BK80" s="13">
        <f>IF(ISBLANK('Paste Full'!BQ80),"",'Paste Full'!BQ80)</f>
        <v/>
      </c>
      <c r="BL80" s="13">
        <f>IF(ISBLANK('Paste Full'!BT80),"",'Paste Full'!BT80)</f>
        <v/>
      </c>
      <c r="BM80" s="13">
        <f>IF(ISBLANK('Paste Full'!BW80),"",'Paste Full'!BW80)</f>
        <v/>
      </c>
    </row>
    <row r="81">
      <c r="A81">
        <f>IF(ISBLANK('Paste Full'!C81),"",'Paste Full'!C81)</f>
        <v/>
      </c>
      <c r="B81">
        <f>INDEX($J$1:$R$1, MATCH(MAX($J81:$R81), $J81:$R81, 0))</f>
        <v/>
      </c>
      <c r="C81" s="45">
        <f>IF(ISBLANK('Paste Full'!H81),"",'Paste Full'!H81)</f>
        <v/>
      </c>
      <c r="D81" s="45">
        <f>IF(ISBLANK('Paste Full'!F81),"",'Paste Full'!F81)</f>
        <v/>
      </c>
      <c r="E81" s="45">
        <f>IF(ISBLANK('Paste Full'!G81),"",'Paste Full'!G81)</f>
        <v/>
      </c>
      <c r="F81" s="21">
        <f>IF(ISBLANK('Paste Full'!E81),"",'Paste Full'!E81)</f>
        <v/>
      </c>
      <c r="G81">
        <f>IF(ISBLANK('Paste Full'!CI81),"",'Paste Full'!CI81)</f>
        <v/>
      </c>
      <c r="H81" s="21">
        <f>IF(ISBLANK('Paste Full'!J81),"",'Paste Full'!J81)</f>
        <v/>
      </c>
      <c r="I81" s="21">
        <f>IF(ISBLANK('Paste Full'!D81),"",'Paste Full'!D81)</f>
        <v/>
      </c>
      <c r="J81" s="14">
        <f>AVERAGE(SUMPRODUCT($S81:$BM81,AttWeights!$C$10:$AW$10)/SUM(AttWeights!$C$10:$AW$10),SUMPRODUCT($S81:$BM81,AttWeights!$C$17:$AW$17)/SUM(AttWeights!$C$17:$AW$17))*10</f>
        <v/>
      </c>
      <c r="K81" s="14">
        <f>AVERAGE(SUMPRODUCT($S81:$BM81,AttWeights!$C$7:$AW$7)/SUM(AttWeights!$C$7:$AW$7),SUMPRODUCT($S81:$BM81,AttWeights!$C$15:$AW$15)/SUM(AttWeights!$C$15:$AW$15))*10</f>
        <v/>
      </c>
      <c r="L81" s="14">
        <f>AVERAGE(SUMPRODUCT($S81:$BM81,AttWeights!$C$8:$AW$8)/SUM(AttWeights!$C$8:$AW$8),SUMPRODUCT($S81:$BM81,AttWeights!$C$16:$AW$16)/SUM(AttWeights!$C$16:$AW$16))*10</f>
        <v/>
      </c>
      <c r="M81" s="14">
        <f>AVERAGE(SUMPRODUCT($S81:$BM81,AttWeights!$C$9:$AW$9)/SUM(AttWeights!$C$9:$AW$9),SUMPRODUCT($S81:$BM81,AttWeights!$C$15:$AW$15)/SUM(AttWeights!$C$15:$AW$15))*10</f>
        <v/>
      </c>
      <c r="N81" s="14">
        <f>AVERAGE(SUMPRODUCT($S81:$BM81,AttWeights!$C$6:$AW$6)/SUM(AttWeights!$C$6:$AW$6),SUMPRODUCT($S81:$BM81,AttWeights!$C$14:$AW$14)/SUM(AttWeights!$C$14:$AW$14))*10</f>
        <v/>
      </c>
      <c r="O81" s="14">
        <f>AVERAGE(SUMPRODUCT($S81:$BM81,AttWeights!$C$5:$AW$5)/SUM(AttWeights!$C$5:$AW$5),SUMPRODUCT($S81:$BM81,AttWeights!$C$14:$AW$14)/SUM(AttWeights!$C$14:$AW$14))*10</f>
        <v/>
      </c>
      <c r="P81" s="14">
        <f>AVERAGE(SUMPRODUCT($S81:$BM81,AttWeights!$C$4:$AW$4)/SUM(AttWeights!$C$4:$AW$4),SUMPRODUCT($S81:$BM81,AttWeights!$C$13:$AW$13)/SUM(AttWeights!$C$13:$AW$13))*10</f>
        <v/>
      </c>
      <c r="Q81" s="14">
        <f>AVERAGE(SUMPRODUCT($S81:$BM81,AttWeights!$C$3:$AW$3)/SUM(AttWeights!$C$3:$AW$3),SUMPRODUCT($S81:$BM81,AttWeights!$C$12:$AW$12)/SUM(AttWeights!$C$12:$AW$12))*10</f>
        <v/>
      </c>
      <c r="R81" s="14">
        <f>AVERAGE(SUMPRODUCT($S81:$BM81,AttWeights!$C$2:$AW$2)/SUM(AttWeights!$C$2:$AW$2),SUMPRODUCT($S81:$BM81,AttWeights!$C$11:$AW$11)/SUM(AttWeights!$C$11:$AW$11))*10</f>
        <v/>
      </c>
      <c r="S81" s="3">
        <f>IF(ISBLANK('Paste Full'!AC81),"",'Paste Full'!AC81)</f>
        <v/>
      </c>
      <c r="T81" s="3">
        <f>IF(ISBLANK('Paste Full'!AD81),"",'Paste Full'!AD81)</f>
        <v/>
      </c>
      <c r="U81" s="3">
        <f>IF(ISBLANK('Paste Full'!AE81),"",'Paste Full'!AE81)</f>
        <v/>
      </c>
      <c r="V81" s="3">
        <f>IF(ISBLANK('Paste Full'!AF81),"",'Paste Full'!AF81)</f>
        <v/>
      </c>
      <c r="W81" s="3">
        <f>IF(ISBLANK('Paste Full'!AH81),"",'Paste Full'!AH81)</f>
        <v/>
      </c>
      <c r="X81" s="3">
        <f>IF(ISBLANK('Paste Full'!AI81),"",'Paste Full'!AI81)</f>
        <v/>
      </c>
      <c r="Y81" s="3">
        <f>IF(ISBLANK('Paste Full'!AK81),"",'Paste Full'!AK81)</f>
        <v/>
      </c>
      <c r="Z81" s="3">
        <f>IF(ISBLANK('Paste Full'!AL81),"",'Paste Full'!AL81)</f>
        <v/>
      </c>
      <c r="AA81" s="4">
        <f>IF(ISBLANK('Paste Full'!AM81),"",'Paste Full'!AM81)</f>
        <v/>
      </c>
      <c r="AB81" s="4">
        <f>IF(ISBLANK('Paste Full'!AN81),"",'Paste Full'!AN81)</f>
        <v/>
      </c>
      <c r="AC81" s="4">
        <f>IF(ISBLANK('Paste Full'!AO81),"",'Paste Full'!AO81)</f>
        <v/>
      </c>
      <c r="AD81" s="4">
        <f>IF(ISBLANK('Paste Full'!AP81),"",'Paste Full'!AP81)</f>
        <v/>
      </c>
      <c r="AE81" s="4">
        <f>IF(ISBLANK('Paste Full'!AQ81),"",'Paste Full'!AQ81)</f>
        <v/>
      </c>
      <c r="AF81" s="4">
        <f>IF(ISBLANK('Paste Full'!AR81),"",'Paste Full'!AR81)</f>
        <v/>
      </c>
      <c r="AG81" s="4">
        <f>IF(ISBLANK('Paste Full'!AS81),"",'Paste Full'!AS81)</f>
        <v/>
      </c>
      <c r="AH81" s="4">
        <f>IF(ISBLANK('Paste Full'!AV81),"",'Paste Full'!AV81)</f>
        <v/>
      </c>
      <c r="AI81" s="4">
        <f>IF(ISBLANK('Paste Full'!AT81),"",'Paste Full'!AT81)</f>
        <v/>
      </c>
      <c r="AJ81" s="4">
        <f>IF(ISBLANK('Paste Full'!AU81),"",'Paste Full'!AU81)</f>
        <v/>
      </c>
      <c r="AK81" s="4">
        <f>IF(ISBLANK('Paste Full'!AW81),"",'Paste Full'!AW81)</f>
        <v/>
      </c>
      <c r="AL81" s="5">
        <f>IF(ISBLANK('Paste Full'!AX81),"",'Paste Full'!AX81)</f>
        <v/>
      </c>
      <c r="AM81" s="5">
        <f>IF(ISBLANK('Paste Full'!AY81),"",'Paste Full'!AY81)</f>
        <v/>
      </c>
      <c r="AN81" s="5">
        <f>IF(ISBLANK('Paste Full'!AZ81),"",'Paste Full'!AZ81)</f>
        <v/>
      </c>
      <c r="AO81" s="5">
        <f>IF(ISBLANK('Paste Full'!BA81),"",'Paste Full'!BA81)</f>
        <v/>
      </c>
      <c r="AP81" s="5">
        <f>IF(ISBLANK('Paste Full'!BB81),"",'Paste Full'!BB81)</f>
        <v/>
      </c>
      <c r="AQ81" s="5">
        <f>IF(ISBLANK('Paste Full'!BC81),"",'Paste Full'!BC81)</f>
        <v/>
      </c>
      <c r="AR81" s="5">
        <f>IF(ISBLANK('Paste Full'!BD81),"",'Paste Full'!BD81)</f>
        <v/>
      </c>
      <c r="AS81" s="5">
        <f>IF(ISBLANK('Paste Full'!BE81),"",'Paste Full'!BE81)</f>
        <v/>
      </c>
      <c r="AT81" s="5">
        <f>IF(ISBLANK('Paste Full'!BF81),"",'Paste Full'!BF81)</f>
        <v/>
      </c>
      <c r="AU81" s="5">
        <f>IF(ISBLANK('Paste Full'!BG81),"",'Paste Full'!BG81)</f>
        <v/>
      </c>
      <c r="AV81" s="5">
        <f>IF(ISBLANK('Paste Full'!BH81),"",'Paste Full'!BH81)</f>
        <v/>
      </c>
      <c r="AW81" s="5">
        <f>IF(ISBLANK('Paste Full'!BI81),"",'Paste Full'!BI81)</f>
        <v/>
      </c>
      <c r="AX81" s="5">
        <f>IF(ISBLANK('Paste Full'!BJ81),"",'Paste Full'!BJ81)</f>
        <v/>
      </c>
      <c r="AY81" s="5">
        <f>IF(ISBLANK('Paste Full'!BK81),"",'Paste Full'!BK81)</f>
        <v/>
      </c>
      <c r="AZ81" s="6">
        <f>IF(ISBLANK('Paste Full'!BM81),"",'Paste Full'!BM81)</f>
        <v/>
      </c>
      <c r="BA81" s="6">
        <f>IF(ISBLANK('Paste Full'!BN81),"",'Paste Full'!BN81)</f>
        <v/>
      </c>
      <c r="BB81" s="6">
        <f>IF(ISBLANK('Paste Full'!BO81),"",'Paste Full'!BO81)</f>
        <v/>
      </c>
      <c r="BC81" s="6">
        <f>IF(ISBLANK('Paste Full'!BP81),"",'Paste Full'!BP81)</f>
        <v/>
      </c>
      <c r="BD81" s="6">
        <f>IF(ISBLANK('Paste Full'!BR81),"",'Paste Full'!BR81)</f>
        <v/>
      </c>
      <c r="BE81" s="6">
        <f>IF(ISBLANK('Paste Full'!BS81),"",'Paste Full'!BS81)</f>
        <v/>
      </c>
      <c r="BF81" s="6">
        <f>IF(ISBLANK('Paste Full'!BU81),"",'Paste Full'!BU81)</f>
        <v/>
      </c>
      <c r="BG81" s="6">
        <f>IF(ISBLANK('Paste Full'!BV81),"",'Paste Full'!BV81)</f>
        <v/>
      </c>
      <c r="BH81" s="6">
        <f>IF(ISBLANK('Paste Full'!BX81),"",'Paste Full'!BX81)</f>
        <v/>
      </c>
      <c r="BI81" s="6">
        <f>IF(ISBLANK('Paste Full'!BY81),"",'Paste Full'!BY81)</f>
        <v/>
      </c>
      <c r="BJ81" s="13">
        <f>IF(ISBLANK('Paste Full'!BL81),"",'Paste Full'!BL81)</f>
        <v/>
      </c>
      <c r="BK81" s="13">
        <f>IF(ISBLANK('Paste Full'!BQ81),"",'Paste Full'!BQ81)</f>
        <v/>
      </c>
      <c r="BL81" s="13">
        <f>IF(ISBLANK('Paste Full'!BT81),"",'Paste Full'!BT81)</f>
        <v/>
      </c>
      <c r="BM81" s="13">
        <f>IF(ISBLANK('Paste Full'!BW81),"",'Paste Full'!BW81)</f>
        <v/>
      </c>
    </row>
    <row r="82">
      <c r="A82">
        <f>IF(ISBLANK('Paste Full'!C82),"",'Paste Full'!C82)</f>
        <v/>
      </c>
      <c r="B82">
        <f>INDEX($J$1:$R$1, MATCH(MAX($J82:$R82), $J82:$R82, 0))</f>
        <v/>
      </c>
      <c r="C82" s="45">
        <f>IF(ISBLANK('Paste Full'!H82),"",'Paste Full'!H82)</f>
        <v/>
      </c>
      <c r="D82" s="45">
        <f>IF(ISBLANK('Paste Full'!F82),"",'Paste Full'!F82)</f>
        <v/>
      </c>
      <c r="E82" s="45">
        <f>IF(ISBLANK('Paste Full'!G82),"",'Paste Full'!G82)</f>
        <v/>
      </c>
      <c r="F82" s="21">
        <f>IF(ISBLANK('Paste Full'!E82),"",'Paste Full'!E82)</f>
        <v/>
      </c>
      <c r="G82">
        <f>IF(ISBLANK('Paste Full'!CI82),"",'Paste Full'!CI82)</f>
        <v/>
      </c>
      <c r="H82" s="21">
        <f>IF(ISBLANK('Paste Full'!J82),"",'Paste Full'!J82)</f>
        <v/>
      </c>
      <c r="I82" s="21">
        <f>IF(ISBLANK('Paste Full'!D82),"",'Paste Full'!D82)</f>
        <v/>
      </c>
      <c r="J82" s="14">
        <f>AVERAGE(SUMPRODUCT($S82:$BM82,AttWeights!$C$10:$AW$10)/SUM(AttWeights!$C$10:$AW$10),SUMPRODUCT($S82:$BM82,AttWeights!$C$17:$AW$17)/SUM(AttWeights!$C$17:$AW$17))*10</f>
        <v/>
      </c>
      <c r="K82" s="14">
        <f>AVERAGE(SUMPRODUCT($S82:$BM82,AttWeights!$C$7:$AW$7)/SUM(AttWeights!$C$7:$AW$7),SUMPRODUCT($S82:$BM82,AttWeights!$C$15:$AW$15)/SUM(AttWeights!$C$15:$AW$15))*10</f>
        <v/>
      </c>
      <c r="L82" s="14">
        <f>AVERAGE(SUMPRODUCT($S82:$BM82,AttWeights!$C$8:$AW$8)/SUM(AttWeights!$C$8:$AW$8),SUMPRODUCT($S82:$BM82,AttWeights!$C$16:$AW$16)/SUM(AttWeights!$C$16:$AW$16))*10</f>
        <v/>
      </c>
      <c r="M82" s="14">
        <f>AVERAGE(SUMPRODUCT($S82:$BM82,AttWeights!$C$9:$AW$9)/SUM(AttWeights!$C$9:$AW$9),SUMPRODUCT($S82:$BM82,AttWeights!$C$15:$AW$15)/SUM(AttWeights!$C$15:$AW$15))*10</f>
        <v/>
      </c>
      <c r="N82" s="14">
        <f>AVERAGE(SUMPRODUCT($S82:$BM82,AttWeights!$C$6:$AW$6)/SUM(AttWeights!$C$6:$AW$6),SUMPRODUCT($S82:$BM82,AttWeights!$C$14:$AW$14)/SUM(AttWeights!$C$14:$AW$14))*10</f>
        <v/>
      </c>
      <c r="O82" s="14">
        <f>AVERAGE(SUMPRODUCT($S82:$BM82,AttWeights!$C$5:$AW$5)/SUM(AttWeights!$C$5:$AW$5),SUMPRODUCT($S82:$BM82,AttWeights!$C$14:$AW$14)/SUM(AttWeights!$C$14:$AW$14))*10</f>
        <v/>
      </c>
      <c r="P82" s="14">
        <f>AVERAGE(SUMPRODUCT($S82:$BM82,AttWeights!$C$4:$AW$4)/SUM(AttWeights!$C$4:$AW$4),SUMPRODUCT($S82:$BM82,AttWeights!$C$13:$AW$13)/SUM(AttWeights!$C$13:$AW$13))*10</f>
        <v/>
      </c>
      <c r="Q82" s="14">
        <f>AVERAGE(SUMPRODUCT($S82:$BM82,AttWeights!$C$3:$AW$3)/SUM(AttWeights!$C$3:$AW$3),SUMPRODUCT($S82:$BM82,AttWeights!$C$12:$AW$12)/SUM(AttWeights!$C$12:$AW$12))*10</f>
        <v/>
      </c>
      <c r="R82" s="14">
        <f>AVERAGE(SUMPRODUCT($S82:$BM82,AttWeights!$C$2:$AW$2)/SUM(AttWeights!$C$2:$AW$2),SUMPRODUCT($S82:$BM82,AttWeights!$C$11:$AW$11)/SUM(AttWeights!$C$11:$AW$11))*10</f>
        <v/>
      </c>
      <c r="S82" s="3">
        <f>IF(ISBLANK('Paste Full'!AC82),"",'Paste Full'!AC82)</f>
        <v/>
      </c>
      <c r="T82" s="3">
        <f>IF(ISBLANK('Paste Full'!AD82),"",'Paste Full'!AD82)</f>
        <v/>
      </c>
      <c r="U82" s="3">
        <f>IF(ISBLANK('Paste Full'!AE82),"",'Paste Full'!AE82)</f>
        <v/>
      </c>
      <c r="V82" s="3">
        <f>IF(ISBLANK('Paste Full'!AF82),"",'Paste Full'!AF82)</f>
        <v/>
      </c>
      <c r="W82" s="3">
        <f>IF(ISBLANK('Paste Full'!AH82),"",'Paste Full'!AH82)</f>
        <v/>
      </c>
      <c r="X82" s="3">
        <f>IF(ISBLANK('Paste Full'!AI82),"",'Paste Full'!AI82)</f>
        <v/>
      </c>
      <c r="Y82" s="3">
        <f>IF(ISBLANK('Paste Full'!AK82),"",'Paste Full'!AK82)</f>
        <v/>
      </c>
      <c r="Z82" s="3">
        <f>IF(ISBLANK('Paste Full'!AL82),"",'Paste Full'!AL82)</f>
        <v/>
      </c>
      <c r="AA82" s="4">
        <f>IF(ISBLANK('Paste Full'!AM82),"",'Paste Full'!AM82)</f>
        <v/>
      </c>
      <c r="AB82" s="4">
        <f>IF(ISBLANK('Paste Full'!AN82),"",'Paste Full'!AN82)</f>
        <v/>
      </c>
      <c r="AC82" s="4">
        <f>IF(ISBLANK('Paste Full'!AO82),"",'Paste Full'!AO82)</f>
        <v/>
      </c>
      <c r="AD82" s="4">
        <f>IF(ISBLANK('Paste Full'!AP82),"",'Paste Full'!AP82)</f>
        <v/>
      </c>
      <c r="AE82" s="4">
        <f>IF(ISBLANK('Paste Full'!AQ82),"",'Paste Full'!AQ82)</f>
        <v/>
      </c>
      <c r="AF82" s="4">
        <f>IF(ISBLANK('Paste Full'!AR82),"",'Paste Full'!AR82)</f>
        <v/>
      </c>
      <c r="AG82" s="4">
        <f>IF(ISBLANK('Paste Full'!AS82),"",'Paste Full'!AS82)</f>
        <v/>
      </c>
      <c r="AH82" s="4">
        <f>IF(ISBLANK('Paste Full'!AV82),"",'Paste Full'!AV82)</f>
        <v/>
      </c>
      <c r="AI82" s="4">
        <f>IF(ISBLANK('Paste Full'!AT82),"",'Paste Full'!AT82)</f>
        <v/>
      </c>
      <c r="AJ82" s="4">
        <f>IF(ISBLANK('Paste Full'!AU82),"",'Paste Full'!AU82)</f>
        <v/>
      </c>
      <c r="AK82" s="4">
        <f>IF(ISBLANK('Paste Full'!AW82),"",'Paste Full'!AW82)</f>
        <v/>
      </c>
      <c r="AL82" s="5">
        <f>IF(ISBLANK('Paste Full'!AX82),"",'Paste Full'!AX82)</f>
        <v/>
      </c>
      <c r="AM82" s="5">
        <f>IF(ISBLANK('Paste Full'!AY82),"",'Paste Full'!AY82)</f>
        <v/>
      </c>
      <c r="AN82" s="5">
        <f>IF(ISBLANK('Paste Full'!AZ82),"",'Paste Full'!AZ82)</f>
        <v/>
      </c>
      <c r="AO82" s="5">
        <f>IF(ISBLANK('Paste Full'!BA82),"",'Paste Full'!BA82)</f>
        <v/>
      </c>
      <c r="AP82" s="5">
        <f>IF(ISBLANK('Paste Full'!BB82),"",'Paste Full'!BB82)</f>
        <v/>
      </c>
      <c r="AQ82" s="5">
        <f>IF(ISBLANK('Paste Full'!BC82),"",'Paste Full'!BC82)</f>
        <v/>
      </c>
      <c r="AR82" s="5">
        <f>IF(ISBLANK('Paste Full'!BD82),"",'Paste Full'!BD82)</f>
        <v/>
      </c>
      <c r="AS82" s="5">
        <f>IF(ISBLANK('Paste Full'!BE82),"",'Paste Full'!BE82)</f>
        <v/>
      </c>
      <c r="AT82" s="5">
        <f>IF(ISBLANK('Paste Full'!BF82),"",'Paste Full'!BF82)</f>
        <v/>
      </c>
      <c r="AU82" s="5">
        <f>IF(ISBLANK('Paste Full'!BG82),"",'Paste Full'!BG82)</f>
        <v/>
      </c>
      <c r="AV82" s="5">
        <f>IF(ISBLANK('Paste Full'!BH82),"",'Paste Full'!BH82)</f>
        <v/>
      </c>
      <c r="AW82" s="5">
        <f>IF(ISBLANK('Paste Full'!BI82),"",'Paste Full'!BI82)</f>
        <v/>
      </c>
      <c r="AX82" s="5">
        <f>IF(ISBLANK('Paste Full'!BJ82),"",'Paste Full'!BJ82)</f>
        <v/>
      </c>
      <c r="AY82" s="5">
        <f>IF(ISBLANK('Paste Full'!BK82),"",'Paste Full'!BK82)</f>
        <v/>
      </c>
      <c r="AZ82" s="6">
        <f>IF(ISBLANK('Paste Full'!BM82),"",'Paste Full'!BM82)</f>
        <v/>
      </c>
      <c r="BA82" s="6">
        <f>IF(ISBLANK('Paste Full'!BN82),"",'Paste Full'!BN82)</f>
        <v/>
      </c>
      <c r="BB82" s="6">
        <f>IF(ISBLANK('Paste Full'!BO82),"",'Paste Full'!BO82)</f>
        <v/>
      </c>
      <c r="BC82" s="6">
        <f>IF(ISBLANK('Paste Full'!BP82),"",'Paste Full'!BP82)</f>
        <v/>
      </c>
      <c r="BD82" s="6">
        <f>IF(ISBLANK('Paste Full'!BR82),"",'Paste Full'!BR82)</f>
        <v/>
      </c>
      <c r="BE82" s="6">
        <f>IF(ISBLANK('Paste Full'!BS82),"",'Paste Full'!BS82)</f>
        <v/>
      </c>
      <c r="BF82" s="6">
        <f>IF(ISBLANK('Paste Full'!BU82),"",'Paste Full'!BU82)</f>
        <v/>
      </c>
      <c r="BG82" s="6">
        <f>IF(ISBLANK('Paste Full'!BV82),"",'Paste Full'!BV82)</f>
        <v/>
      </c>
      <c r="BH82" s="6">
        <f>IF(ISBLANK('Paste Full'!BX82),"",'Paste Full'!BX82)</f>
        <v/>
      </c>
      <c r="BI82" s="6">
        <f>IF(ISBLANK('Paste Full'!BY82),"",'Paste Full'!BY82)</f>
        <v/>
      </c>
      <c r="BJ82" s="13">
        <f>IF(ISBLANK('Paste Full'!BL82),"",'Paste Full'!BL82)</f>
        <v/>
      </c>
      <c r="BK82" s="13">
        <f>IF(ISBLANK('Paste Full'!BQ82),"",'Paste Full'!BQ82)</f>
        <v/>
      </c>
      <c r="BL82" s="13">
        <f>IF(ISBLANK('Paste Full'!BT82),"",'Paste Full'!BT82)</f>
        <v/>
      </c>
      <c r="BM82" s="13">
        <f>IF(ISBLANK('Paste Full'!BW82),"",'Paste Full'!BW82)</f>
        <v/>
      </c>
    </row>
    <row r="83">
      <c r="A83">
        <f>IF(ISBLANK('Paste Full'!C83),"",'Paste Full'!C83)</f>
        <v/>
      </c>
      <c r="B83">
        <f>INDEX($J$1:$R$1, MATCH(MAX($J83:$R83), $J83:$R83, 0))</f>
        <v/>
      </c>
      <c r="C83" s="45">
        <f>IF(ISBLANK('Paste Full'!H83),"",'Paste Full'!H83)</f>
        <v/>
      </c>
      <c r="D83" s="45">
        <f>IF(ISBLANK('Paste Full'!F83),"",'Paste Full'!F83)</f>
        <v/>
      </c>
      <c r="E83" s="45">
        <f>IF(ISBLANK('Paste Full'!G83),"",'Paste Full'!G83)</f>
        <v/>
      </c>
      <c r="F83" s="21">
        <f>IF(ISBLANK('Paste Full'!E83),"",'Paste Full'!E83)</f>
        <v/>
      </c>
      <c r="G83">
        <f>IF(ISBLANK('Paste Full'!CI83),"",'Paste Full'!CI83)</f>
        <v/>
      </c>
      <c r="H83" s="21">
        <f>IF(ISBLANK('Paste Full'!J83),"",'Paste Full'!J83)</f>
        <v/>
      </c>
      <c r="I83" s="21">
        <f>IF(ISBLANK('Paste Full'!D83),"",'Paste Full'!D83)</f>
        <v/>
      </c>
      <c r="J83" s="14">
        <f>AVERAGE(SUMPRODUCT($S83:$BM83,AttWeights!$C$10:$AW$10)/SUM(AttWeights!$C$10:$AW$10),SUMPRODUCT($S83:$BM83,AttWeights!$C$17:$AW$17)/SUM(AttWeights!$C$17:$AW$17))*10</f>
        <v/>
      </c>
      <c r="K83" s="14">
        <f>AVERAGE(SUMPRODUCT($S83:$BM83,AttWeights!$C$7:$AW$7)/SUM(AttWeights!$C$7:$AW$7),SUMPRODUCT($S83:$BM83,AttWeights!$C$15:$AW$15)/SUM(AttWeights!$C$15:$AW$15))*10</f>
        <v/>
      </c>
      <c r="L83" s="14">
        <f>AVERAGE(SUMPRODUCT($S83:$BM83,AttWeights!$C$8:$AW$8)/SUM(AttWeights!$C$8:$AW$8),SUMPRODUCT($S83:$BM83,AttWeights!$C$16:$AW$16)/SUM(AttWeights!$C$16:$AW$16))*10</f>
        <v/>
      </c>
      <c r="M83" s="14">
        <f>AVERAGE(SUMPRODUCT($S83:$BM83,AttWeights!$C$9:$AW$9)/SUM(AttWeights!$C$9:$AW$9),SUMPRODUCT($S83:$BM83,AttWeights!$C$15:$AW$15)/SUM(AttWeights!$C$15:$AW$15))*10</f>
        <v/>
      </c>
      <c r="N83" s="14">
        <f>AVERAGE(SUMPRODUCT($S83:$BM83,AttWeights!$C$6:$AW$6)/SUM(AttWeights!$C$6:$AW$6),SUMPRODUCT($S83:$BM83,AttWeights!$C$14:$AW$14)/SUM(AttWeights!$C$14:$AW$14))*10</f>
        <v/>
      </c>
      <c r="O83" s="14">
        <f>AVERAGE(SUMPRODUCT($S83:$BM83,AttWeights!$C$5:$AW$5)/SUM(AttWeights!$C$5:$AW$5),SUMPRODUCT($S83:$BM83,AttWeights!$C$14:$AW$14)/SUM(AttWeights!$C$14:$AW$14))*10</f>
        <v/>
      </c>
      <c r="P83" s="14">
        <f>AVERAGE(SUMPRODUCT($S83:$BM83,AttWeights!$C$4:$AW$4)/SUM(AttWeights!$C$4:$AW$4),SUMPRODUCT($S83:$BM83,AttWeights!$C$13:$AW$13)/SUM(AttWeights!$C$13:$AW$13))*10</f>
        <v/>
      </c>
      <c r="Q83" s="14">
        <f>AVERAGE(SUMPRODUCT($S83:$BM83,AttWeights!$C$3:$AW$3)/SUM(AttWeights!$C$3:$AW$3),SUMPRODUCT($S83:$BM83,AttWeights!$C$12:$AW$12)/SUM(AttWeights!$C$12:$AW$12))*10</f>
        <v/>
      </c>
      <c r="R83" s="14">
        <f>AVERAGE(SUMPRODUCT($S83:$BM83,AttWeights!$C$2:$AW$2)/SUM(AttWeights!$C$2:$AW$2),SUMPRODUCT($S83:$BM83,AttWeights!$C$11:$AW$11)/SUM(AttWeights!$C$11:$AW$11))*10</f>
        <v/>
      </c>
      <c r="S83" s="3">
        <f>IF(ISBLANK('Paste Full'!AC83),"",'Paste Full'!AC83)</f>
        <v/>
      </c>
      <c r="T83" s="3">
        <f>IF(ISBLANK('Paste Full'!AD83),"",'Paste Full'!AD83)</f>
        <v/>
      </c>
      <c r="U83" s="3">
        <f>IF(ISBLANK('Paste Full'!AE83),"",'Paste Full'!AE83)</f>
        <v/>
      </c>
      <c r="V83" s="3">
        <f>IF(ISBLANK('Paste Full'!AF83),"",'Paste Full'!AF83)</f>
        <v/>
      </c>
      <c r="W83" s="3">
        <f>IF(ISBLANK('Paste Full'!AH83),"",'Paste Full'!AH83)</f>
        <v/>
      </c>
      <c r="X83" s="3">
        <f>IF(ISBLANK('Paste Full'!AI83),"",'Paste Full'!AI83)</f>
        <v/>
      </c>
      <c r="Y83" s="3">
        <f>IF(ISBLANK('Paste Full'!AK83),"",'Paste Full'!AK83)</f>
        <v/>
      </c>
      <c r="Z83" s="3">
        <f>IF(ISBLANK('Paste Full'!AL83),"",'Paste Full'!AL83)</f>
        <v/>
      </c>
      <c r="AA83" s="4">
        <f>IF(ISBLANK('Paste Full'!AM83),"",'Paste Full'!AM83)</f>
        <v/>
      </c>
      <c r="AB83" s="4">
        <f>IF(ISBLANK('Paste Full'!AN83),"",'Paste Full'!AN83)</f>
        <v/>
      </c>
      <c r="AC83" s="4">
        <f>IF(ISBLANK('Paste Full'!AO83),"",'Paste Full'!AO83)</f>
        <v/>
      </c>
      <c r="AD83" s="4">
        <f>IF(ISBLANK('Paste Full'!AP83),"",'Paste Full'!AP83)</f>
        <v/>
      </c>
      <c r="AE83" s="4">
        <f>IF(ISBLANK('Paste Full'!AQ83),"",'Paste Full'!AQ83)</f>
        <v/>
      </c>
      <c r="AF83" s="4">
        <f>IF(ISBLANK('Paste Full'!AR83),"",'Paste Full'!AR83)</f>
        <v/>
      </c>
      <c r="AG83" s="4">
        <f>IF(ISBLANK('Paste Full'!AS83),"",'Paste Full'!AS83)</f>
        <v/>
      </c>
      <c r="AH83" s="4">
        <f>IF(ISBLANK('Paste Full'!AV83),"",'Paste Full'!AV83)</f>
        <v/>
      </c>
      <c r="AI83" s="4">
        <f>IF(ISBLANK('Paste Full'!AT83),"",'Paste Full'!AT83)</f>
        <v/>
      </c>
      <c r="AJ83" s="4">
        <f>IF(ISBLANK('Paste Full'!AU83),"",'Paste Full'!AU83)</f>
        <v/>
      </c>
      <c r="AK83" s="4">
        <f>IF(ISBLANK('Paste Full'!AW83),"",'Paste Full'!AW83)</f>
        <v/>
      </c>
      <c r="AL83" s="5">
        <f>IF(ISBLANK('Paste Full'!AX83),"",'Paste Full'!AX83)</f>
        <v/>
      </c>
      <c r="AM83" s="5">
        <f>IF(ISBLANK('Paste Full'!AY83),"",'Paste Full'!AY83)</f>
        <v/>
      </c>
      <c r="AN83" s="5">
        <f>IF(ISBLANK('Paste Full'!AZ83),"",'Paste Full'!AZ83)</f>
        <v/>
      </c>
      <c r="AO83" s="5">
        <f>IF(ISBLANK('Paste Full'!BA83),"",'Paste Full'!BA83)</f>
        <v/>
      </c>
      <c r="AP83" s="5">
        <f>IF(ISBLANK('Paste Full'!BB83),"",'Paste Full'!BB83)</f>
        <v/>
      </c>
      <c r="AQ83" s="5">
        <f>IF(ISBLANK('Paste Full'!BC83),"",'Paste Full'!BC83)</f>
        <v/>
      </c>
      <c r="AR83" s="5">
        <f>IF(ISBLANK('Paste Full'!BD83),"",'Paste Full'!BD83)</f>
        <v/>
      </c>
      <c r="AS83" s="5">
        <f>IF(ISBLANK('Paste Full'!BE83),"",'Paste Full'!BE83)</f>
        <v/>
      </c>
      <c r="AT83" s="5">
        <f>IF(ISBLANK('Paste Full'!BF83),"",'Paste Full'!BF83)</f>
        <v/>
      </c>
      <c r="AU83" s="5">
        <f>IF(ISBLANK('Paste Full'!BG83),"",'Paste Full'!BG83)</f>
        <v/>
      </c>
      <c r="AV83" s="5">
        <f>IF(ISBLANK('Paste Full'!BH83),"",'Paste Full'!BH83)</f>
        <v/>
      </c>
      <c r="AW83" s="5">
        <f>IF(ISBLANK('Paste Full'!BI83),"",'Paste Full'!BI83)</f>
        <v/>
      </c>
      <c r="AX83" s="5">
        <f>IF(ISBLANK('Paste Full'!BJ83),"",'Paste Full'!BJ83)</f>
        <v/>
      </c>
      <c r="AY83" s="5">
        <f>IF(ISBLANK('Paste Full'!BK83),"",'Paste Full'!BK83)</f>
        <v/>
      </c>
      <c r="AZ83" s="6">
        <f>IF(ISBLANK('Paste Full'!BM83),"",'Paste Full'!BM83)</f>
        <v/>
      </c>
      <c r="BA83" s="6">
        <f>IF(ISBLANK('Paste Full'!BN83),"",'Paste Full'!BN83)</f>
        <v/>
      </c>
      <c r="BB83" s="6">
        <f>IF(ISBLANK('Paste Full'!BO83),"",'Paste Full'!BO83)</f>
        <v/>
      </c>
      <c r="BC83" s="6">
        <f>IF(ISBLANK('Paste Full'!BP83),"",'Paste Full'!BP83)</f>
        <v/>
      </c>
      <c r="BD83" s="6">
        <f>IF(ISBLANK('Paste Full'!BR83),"",'Paste Full'!BR83)</f>
        <v/>
      </c>
      <c r="BE83" s="6">
        <f>IF(ISBLANK('Paste Full'!BS83),"",'Paste Full'!BS83)</f>
        <v/>
      </c>
      <c r="BF83" s="6">
        <f>IF(ISBLANK('Paste Full'!BU83),"",'Paste Full'!BU83)</f>
        <v/>
      </c>
      <c r="BG83" s="6">
        <f>IF(ISBLANK('Paste Full'!BV83),"",'Paste Full'!BV83)</f>
        <v/>
      </c>
      <c r="BH83" s="6">
        <f>IF(ISBLANK('Paste Full'!BX83),"",'Paste Full'!BX83)</f>
        <v/>
      </c>
      <c r="BI83" s="6">
        <f>IF(ISBLANK('Paste Full'!BY83),"",'Paste Full'!BY83)</f>
        <v/>
      </c>
      <c r="BJ83" s="13">
        <f>IF(ISBLANK('Paste Full'!BL83),"",'Paste Full'!BL83)</f>
        <v/>
      </c>
      <c r="BK83" s="13">
        <f>IF(ISBLANK('Paste Full'!BQ83),"",'Paste Full'!BQ83)</f>
        <v/>
      </c>
      <c r="BL83" s="13">
        <f>IF(ISBLANK('Paste Full'!BT83),"",'Paste Full'!BT83)</f>
        <v/>
      </c>
      <c r="BM83" s="13">
        <f>IF(ISBLANK('Paste Full'!BW83),"",'Paste Full'!BW83)</f>
        <v/>
      </c>
    </row>
    <row r="84">
      <c r="A84">
        <f>IF(ISBLANK('Paste Full'!C84),"",'Paste Full'!C84)</f>
        <v/>
      </c>
      <c r="B84">
        <f>INDEX($J$1:$R$1, MATCH(MAX($J84:$R84), $J84:$R84, 0))</f>
        <v/>
      </c>
      <c r="C84" s="45">
        <f>IF(ISBLANK('Paste Full'!H84),"",'Paste Full'!H84)</f>
        <v/>
      </c>
      <c r="D84" s="45">
        <f>IF(ISBLANK('Paste Full'!F84),"",'Paste Full'!F84)</f>
        <v/>
      </c>
      <c r="E84" s="45">
        <f>IF(ISBLANK('Paste Full'!G84),"",'Paste Full'!G84)</f>
        <v/>
      </c>
      <c r="F84" s="21">
        <f>IF(ISBLANK('Paste Full'!E84),"",'Paste Full'!E84)</f>
        <v/>
      </c>
      <c r="G84">
        <f>IF(ISBLANK('Paste Full'!CI84),"",'Paste Full'!CI84)</f>
        <v/>
      </c>
      <c r="H84" s="21">
        <f>IF(ISBLANK('Paste Full'!J84),"",'Paste Full'!J84)</f>
        <v/>
      </c>
      <c r="I84" s="21">
        <f>IF(ISBLANK('Paste Full'!D84),"",'Paste Full'!D84)</f>
        <v/>
      </c>
      <c r="J84" s="14">
        <f>AVERAGE(SUMPRODUCT($S84:$BM84,AttWeights!$C$10:$AW$10)/SUM(AttWeights!$C$10:$AW$10),SUMPRODUCT($S84:$BM84,AttWeights!$C$17:$AW$17)/SUM(AttWeights!$C$17:$AW$17))*10</f>
        <v/>
      </c>
      <c r="K84" s="14">
        <f>AVERAGE(SUMPRODUCT($S84:$BM84,AttWeights!$C$7:$AW$7)/SUM(AttWeights!$C$7:$AW$7),SUMPRODUCT($S84:$BM84,AttWeights!$C$15:$AW$15)/SUM(AttWeights!$C$15:$AW$15))*10</f>
        <v/>
      </c>
      <c r="L84" s="14">
        <f>AVERAGE(SUMPRODUCT($S84:$BM84,AttWeights!$C$8:$AW$8)/SUM(AttWeights!$C$8:$AW$8),SUMPRODUCT($S84:$BM84,AttWeights!$C$16:$AW$16)/SUM(AttWeights!$C$16:$AW$16))*10</f>
        <v/>
      </c>
      <c r="M84" s="14">
        <f>AVERAGE(SUMPRODUCT($S84:$BM84,AttWeights!$C$9:$AW$9)/SUM(AttWeights!$C$9:$AW$9),SUMPRODUCT($S84:$BM84,AttWeights!$C$15:$AW$15)/SUM(AttWeights!$C$15:$AW$15))*10</f>
        <v/>
      </c>
      <c r="N84" s="14">
        <f>AVERAGE(SUMPRODUCT($S84:$BM84,AttWeights!$C$6:$AW$6)/SUM(AttWeights!$C$6:$AW$6),SUMPRODUCT($S84:$BM84,AttWeights!$C$14:$AW$14)/SUM(AttWeights!$C$14:$AW$14))*10</f>
        <v/>
      </c>
      <c r="O84" s="14">
        <f>AVERAGE(SUMPRODUCT($S84:$BM84,AttWeights!$C$5:$AW$5)/SUM(AttWeights!$C$5:$AW$5),SUMPRODUCT($S84:$BM84,AttWeights!$C$14:$AW$14)/SUM(AttWeights!$C$14:$AW$14))*10</f>
        <v/>
      </c>
      <c r="P84" s="14">
        <f>AVERAGE(SUMPRODUCT($S84:$BM84,AttWeights!$C$4:$AW$4)/SUM(AttWeights!$C$4:$AW$4),SUMPRODUCT($S84:$BM84,AttWeights!$C$13:$AW$13)/SUM(AttWeights!$C$13:$AW$13))*10</f>
        <v/>
      </c>
      <c r="Q84" s="14">
        <f>AVERAGE(SUMPRODUCT($S84:$BM84,AttWeights!$C$3:$AW$3)/SUM(AttWeights!$C$3:$AW$3),SUMPRODUCT($S84:$BM84,AttWeights!$C$12:$AW$12)/SUM(AttWeights!$C$12:$AW$12))*10</f>
        <v/>
      </c>
      <c r="R84" s="14">
        <f>AVERAGE(SUMPRODUCT($S84:$BM84,AttWeights!$C$2:$AW$2)/SUM(AttWeights!$C$2:$AW$2),SUMPRODUCT($S84:$BM84,AttWeights!$C$11:$AW$11)/SUM(AttWeights!$C$11:$AW$11))*10</f>
        <v/>
      </c>
      <c r="S84" s="3">
        <f>IF(ISBLANK('Paste Full'!AC84),"",'Paste Full'!AC84)</f>
        <v/>
      </c>
      <c r="T84" s="3">
        <f>IF(ISBLANK('Paste Full'!AD84),"",'Paste Full'!AD84)</f>
        <v/>
      </c>
      <c r="U84" s="3">
        <f>IF(ISBLANK('Paste Full'!AE84),"",'Paste Full'!AE84)</f>
        <v/>
      </c>
      <c r="V84" s="3">
        <f>IF(ISBLANK('Paste Full'!AF84),"",'Paste Full'!AF84)</f>
        <v/>
      </c>
      <c r="W84" s="3">
        <f>IF(ISBLANK('Paste Full'!AH84),"",'Paste Full'!AH84)</f>
        <v/>
      </c>
      <c r="X84" s="3">
        <f>IF(ISBLANK('Paste Full'!AI84),"",'Paste Full'!AI84)</f>
        <v/>
      </c>
      <c r="Y84" s="3">
        <f>IF(ISBLANK('Paste Full'!AK84),"",'Paste Full'!AK84)</f>
        <v/>
      </c>
      <c r="Z84" s="3">
        <f>IF(ISBLANK('Paste Full'!AL84),"",'Paste Full'!AL84)</f>
        <v/>
      </c>
      <c r="AA84" s="4">
        <f>IF(ISBLANK('Paste Full'!AM84),"",'Paste Full'!AM84)</f>
        <v/>
      </c>
      <c r="AB84" s="4">
        <f>IF(ISBLANK('Paste Full'!AN84),"",'Paste Full'!AN84)</f>
        <v/>
      </c>
      <c r="AC84" s="4">
        <f>IF(ISBLANK('Paste Full'!AO84),"",'Paste Full'!AO84)</f>
        <v/>
      </c>
      <c r="AD84" s="4">
        <f>IF(ISBLANK('Paste Full'!AP84),"",'Paste Full'!AP84)</f>
        <v/>
      </c>
      <c r="AE84" s="4">
        <f>IF(ISBLANK('Paste Full'!AQ84),"",'Paste Full'!AQ84)</f>
        <v/>
      </c>
      <c r="AF84" s="4">
        <f>IF(ISBLANK('Paste Full'!AR84),"",'Paste Full'!AR84)</f>
        <v/>
      </c>
      <c r="AG84" s="4">
        <f>IF(ISBLANK('Paste Full'!AS84),"",'Paste Full'!AS84)</f>
        <v/>
      </c>
      <c r="AH84" s="4">
        <f>IF(ISBLANK('Paste Full'!AV84),"",'Paste Full'!AV84)</f>
        <v/>
      </c>
      <c r="AI84" s="4">
        <f>IF(ISBLANK('Paste Full'!AT84),"",'Paste Full'!AT84)</f>
        <v/>
      </c>
      <c r="AJ84" s="4">
        <f>IF(ISBLANK('Paste Full'!AU84),"",'Paste Full'!AU84)</f>
        <v/>
      </c>
      <c r="AK84" s="4">
        <f>IF(ISBLANK('Paste Full'!AW84),"",'Paste Full'!AW84)</f>
        <v/>
      </c>
      <c r="AL84" s="5">
        <f>IF(ISBLANK('Paste Full'!AX84),"",'Paste Full'!AX84)</f>
        <v/>
      </c>
      <c r="AM84" s="5">
        <f>IF(ISBLANK('Paste Full'!AY84),"",'Paste Full'!AY84)</f>
        <v/>
      </c>
      <c r="AN84" s="5">
        <f>IF(ISBLANK('Paste Full'!AZ84),"",'Paste Full'!AZ84)</f>
        <v/>
      </c>
      <c r="AO84" s="5">
        <f>IF(ISBLANK('Paste Full'!BA84),"",'Paste Full'!BA84)</f>
        <v/>
      </c>
      <c r="AP84" s="5">
        <f>IF(ISBLANK('Paste Full'!BB84),"",'Paste Full'!BB84)</f>
        <v/>
      </c>
      <c r="AQ84" s="5">
        <f>IF(ISBLANK('Paste Full'!BC84),"",'Paste Full'!BC84)</f>
        <v/>
      </c>
      <c r="AR84" s="5">
        <f>IF(ISBLANK('Paste Full'!BD84),"",'Paste Full'!BD84)</f>
        <v/>
      </c>
      <c r="AS84" s="5">
        <f>IF(ISBLANK('Paste Full'!BE84),"",'Paste Full'!BE84)</f>
        <v/>
      </c>
      <c r="AT84" s="5">
        <f>IF(ISBLANK('Paste Full'!BF84),"",'Paste Full'!BF84)</f>
        <v/>
      </c>
      <c r="AU84" s="5">
        <f>IF(ISBLANK('Paste Full'!BG84),"",'Paste Full'!BG84)</f>
        <v/>
      </c>
      <c r="AV84" s="5">
        <f>IF(ISBLANK('Paste Full'!BH84),"",'Paste Full'!BH84)</f>
        <v/>
      </c>
      <c r="AW84" s="5">
        <f>IF(ISBLANK('Paste Full'!BI84),"",'Paste Full'!BI84)</f>
        <v/>
      </c>
      <c r="AX84" s="5">
        <f>IF(ISBLANK('Paste Full'!BJ84),"",'Paste Full'!BJ84)</f>
        <v/>
      </c>
      <c r="AY84" s="5">
        <f>IF(ISBLANK('Paste Full'!BK84),"",'Paste Full'!BK84)</f>
        <v/>
      </c>
      <c r="AZ84" s="6">
        <f>IF(ISBLANK('Paste Full'!BM84),"",'Paste Full'!BM84)</f>
        <v/>
      </c>
      <c r="BA84" s="6">
        <f>IF(ISBLANK('Paste Full'!BN84),"",'Paste Full'!BN84)</f>
        <v/>
      </c>
      <c r="BB84" s="6">
        <f>IF(ISBLANK('Paste Full'!BO84),"",'Paste Full'!BO84)</f>
        <v/>
      </c>
      <c r="BC84" s="6">
        <f>IF(ISBLANK('Paste Full'!BP84),"",'Paste Full'!BP84)</f>
        <v/>
      </c>
      <c r="BD84" s="6">
        <f>IF(ISBLANK('Paste Full'!BR84),"",'Paste Full'!BR84)</f>
        <v/>
      </c>
      <c r="BE84" s="6">
        <f>IF(ISBLANK('Paste Full'!BS84),"",'Paste Full'!BS84)</f>
        <v/>
      </c>
      <c r="BF84" s="6">
        <f>IF(ISBLANK('Paste Full'!BU84),"",'Paste Full'!BU84)</f>
        <v/>
      </c>
      <c r="BG84" s="6">
        <f>IF(ISBLANK('Paste Full'!BV84),"",'Paste Full'!BV84)</f>
        <v/>
      </c>
      <c r="BH84" s="6">
        <f>IF(ISBLANK('Paste Full'!BX84),"",'Paste Full'!BX84)</f>
        <v/>
      </c>
      <c r="BI84" s="6">
        <f>IF(ISBLANK('Paste Full'!BY84),"",'Paste Full'!BY84)</f>
        <v/>
      </c>
      <c r="BJ84" s="13">
        <f>IF(ISBLANK('Paste Full'!BL84),"",'Paste Full'!BL84)</f>
        <v/>
      </c>
      <c r="BK84" s="13">
        <f>IF(ISBLANK('Paste Full'!BQ84),"",'Paste Full'!BQ84)</f>
        <v/>
      </c>
      <c r="BL84" s="13">
        <f>IF(ISBLANK('Paste Full'!BT84),"",'Paste Full'!BT84)</f>
        <v/>
      </c>
      <c r="BM84" s="13">
        <f>IF(ISBLANK('Paste Full'!BW84),"",'Paste Full'!BW84)</f>
        <v/>
      </c>
    </row>
    <row r="85">
      <c r="A85">
        <f>IF(ISBLANK('Paste Full'!C85),"",'Paste Full'!C85)</f>
        <v/>
      </c>
      <c r="B85">
        <f>INDEX($J$1:$R$1, MATCH(MAX($J85:$R85), $J85:$R85, 0))</f>
        <v/>
      </c>
      <c r="C85" s="45">
        <f>IF(ISBLANK('Paste Full'!H85),"",'Paste Full'!H85)</f>
        <v/>
      </c>
      <c r="D85" s="45">
        <f>IF(ISBLANK('Paste Full'!F85),"",'Paste Full'!F85)</f>
        <v/>
      </c>
      <c r="E85" s="45">
        <f>IF(ISBLANK('Paste Full'!G85),"",'Paste Full'!G85)</f>
        <v/>
      </c>
      <c r="F85" s="21">
        <f>IF(ISBLANK('Paste Full'!E85),"",'Paste Full'!E85)</f>
        <v/>
      </c>
      <c r="G85">
        <f>IF(ISBLANK('Paste Full'!CI85),"",'Paste Full'!CI85)</f>
        <v/>
      </c>
      <c r="H85" s="21">
        <f>IF(ISBLANK('Paste Full'!J85),"",'Paste Full'!J85)</f>
        <v/>
      </c>
      <c r="I85" s="21">
        <f>IF(ISBLANK('Paste Full'!D85),"",'Paste Full'!D85)</f>
        <v/>
      </c>
      <c r="J85" s="14">
        <f>AVERAGE(SUMPRODUCT($S85:$BM85,AttWeights!$C$10:$AW$10)/SUM(AttWeights!$C$10:$AW$10),SUMPRODUCT($S85:$BM85,AttWeights!$C$17:$AW$17)/SUM(AttWeights!$C$17:$AW$17))*10</f>
        <v/>
      </c>
      <c r="K85" s="14">
        <f>AVERAGE(SUMPRODUCT($S85:$BM85,AttWeights!$C$7:$AW$7)/SUM(AttWeights!$C$7:$AW$7),SUMPRODUCT($S85:$BM85,AttWeights!$C$15:$AW$15)/SUM(AttWeights!$C$15:$AW$15))*10</f>
        <v/>
      </c>
      <c r="L85" s="14">
        <f>AVERAGE(SUMPRODUCT($S85:$BM85,AttWeights!$C$8:$AW$8)/SUM(AttWeights!$C$8:$AW$8),SUMPRODUCT($S85:$BM85,AttWeights!$C$16:$AW$16)/SUM(AttWeights!$C$16:$AW$16))*10</f>
        <v/>
      </c>
      <c r="M85" s="14">
        <f>AVERAGE(SUMPRODUCT($S85:$BM85,AttWeights!$C$9:$AW$9)/SUM(AttWeights!$C$9:$AW$9),SUMPRODUCT($S85:$BM85,AttWeights!$C$15:$AW$15)/SUM(AttWeights!$C$15:$AW$15))*10</f>
        <v/>
      </c>
      <c r="N85" s="14">
        <f>AVERAGE(SUMPRODUCT($S85:$BM85,AttWeights!$C$6:$AW$6)/SUM(AttWeights!$C$6:$AW$6),SUMPRODUCT($S85:$BM85,AttWeights!$C$14:$AW$14)/SUM(AttWeights!$C$14:$AW$14))*10</f>
        <v/>
      </c>
      <c r="O85" s="14">
        <f>AVERAGE(SUMPRODUCT($S85:$BM85,AttWeights!$C$5:$AW$5)/SUM(AttWeights!$C$5:$AW$5),SUMPRODUCT($S85:$BM85,AttWeights!$C$14:$AW$14)/SUM(AttWeights!$C$14:$AW$14))*10</f>
        <v/>
      </c>
      <c r="P85" s="14">
        <f>AVERAGE(SUMPRODUCT($S85:$BM85,AttWeights!$C$4:$AW$4)/SUM(AttWeights!$C$4:$AW$4),SUMPRODUCT($S85:$BM85,AttWeights!$C$13:$AW$13)/SUM(AttWeights!$C$13:$AW$13))*10</f>
        <v/>
      </c>
      <c r="Q85" s="14">
        <f>AVERAGE(SUMPRODUCT($S85:$BM85,AttWeights!$C$3:$AW$3)/SUM(AttWeights!$C$3:$AW$3),SUMPRODUCT($S85:$BM85,AttWeights!$C$12:$AW$12)/SUM(AttWeights!$C$12:$AW$12))*10</f>
        <v/>
      </c>
      <c r="R85" s="14">
        <f>AVERAGE(SUMPRODUCT($S85:$BM85,AttWeights!$C$2:$AW$2)/SUM(AttWeights!$C$2:$AW$2),SUMPRODUCT($S85:$BM85,AttWeights!$C$11:$AW$11)/SUM(AttWeights!$C$11:$AW$11))*10</f>
        <v/>
      </c>
      <c r="S85" s="3">
        <f>IF(ISBLANK('Paste Full'!AC85),"",'Paste Full'!AC85)</f>
        <v/>
      </c>
      <c r="T85" s="3">
        <f>IF(ISBLANK('Paste Full'!AD85),"",'Paste Full'!AD85)</f>
        <v/>
      </c>
      <c r="U85" s="3">
        <f>IF(ISBLANK('Paste Full'!AE85),"",'Paste Full'!AE85)</f>
        <v/>
      </c>
      <c r="V85" s="3">
        <f>IF(ISBLANK('Paste Full'!AF85),"",'Paste Full'!AF85)</f>
        <v/>
      </c>
      <c r="W85" s="3">
        <f>IF(ISBLANK('Paste Full'!AH85),"",'Paste Full'!AH85)</f>
        <v/>
      </c>
      <c r="X85" s="3">
        <f>IF(ISBLANK('Paste Full'!AI85),"",'Paste Full'!AI85)</f>
        <v/>
      </c>
      <c r="Y85" s="3">
        <f>IF(ISBLANK('Paste Full'!AK85),"",'Paste Full'!AK85)</f>
        <v/>
      </c>
      <c r="Z85" s="3">
        <f>IF(ISBLANK('Paste Full'!AL85),"",'Paste Full'!AL85)</f>
        <v/>
      </c>
      <c r="AA85" s="4">
        <f>IF(ISBLANK('Paste Full'!AM85),"",'Paste Full'!AM85)</f>
        <v/>
      </c>
      <c r="AB85" s="4">
        <f>IF(ISBLANK('Paste Full'!AN85),"",'Paste Full'!AN85)</f>
        <v/>
      </c>
      <c r="AC85" s="4">
        <f>IF(ISBLANK('Paste Full'!AO85),"",'Paste Full'!AO85)</f>
        <v/>
      </c>
      <c r="AD85" s="4">
        <f>IF(ISBLANK('Paste Full'!AP85),"",'Paste Full'!AP85)</f>
        <v/>
      </c>
      <c r="AE85" s="4">
        <f>IF(ISBLANK('Paste Full'!AQ85),"",'Paste Full'!AQ85)</f>
        <v/>
      </c>
      <c r="AF85" s="4">
        <f>IF(ISBLANK('Paste Full'!AR85),"",'Paste Full'!AR85)</f>
        <v/>
      </c>
      <c r="AG85" s="4">
        <f>IF(ISBLANK('Paste Full'!AS85),"",'Paste Full'!AS85)</f>
        <v/>
      </c>
      <c r="AH85" s="4">
        <f>IF(ISBLANK('Paste Full'!AV85),"",'Paste Full'!AV85)</f>
        <v/>
      </c>
      <c r="AI85" s="4">
        <f>IF(ISBLANK('Paste Full'!AT85),"",'Paste Full'!AT85)</f>
        <v/>
      </c>
      <c r="AJ85" s="4">
        <f>IF(ISBLANK('Paste Full'!AU85),"",'Paste Full'!AU85)</f>
        <v/>
      </c>
      <c r="AK85" s="4">
        <f>IF(ISBLANK('Paste Full'!AW85),"",'Paste Full'!AW85)</f>
        <v/>
      </c>
      <c r="AL85" s="5">
        <f>IF(ISBLANK('Paste Full'!AX85),"",'Paste Full'!AX85)</f>
        <v/>
      </c>
      <c r="AM85" s="5">
        <f>IF(ISBLANK('Paste Full'!AY85),"",'Paste Full'!AY85)</f>
        <v/>
      </c>
      <c r="AN85" s="5">
        <f>IF(ISBLANK('Paste Full'!AZ85),"",'Paste Full'!AZ85)</f>
        <v/>
      </c>
      <c r="AO85" s="5">
        <f>IF(ISBLANK('Paste Full'!BA85),"",'Paste Full'!BA85)</f>
        <v/>
      </c>
      <c r="AP85" s="5">
        <f>IF(ISBLANK('Paste Full'!BB85),"",'Paste Full'!BB85)</f>
        <v/>
      </c>
      <c r="AQ85" s="5">
        <f>IF(ISBLANK('Paste Full'!BC85),"",'Paste Full'!BC85)</f>
        <v/>
      </c>
      <c r="AR85" s="5">
        <f>IF(ISBLANK('Paste Full'!BD85),"",'Paste Full'!BD85)</f>
        <v/>
      </c>
      <c r="AS85" s="5">
        <f>IF(ISBLANK('Paste Full'!BE85),"",'Paste Full'!BE85)</f>
        <v/>
      </c>
      <c r="AT85" s="5">
        <f>IF(ISBLANK('Paste Full'!BF85),"",'Paste Full'!BF85)</f>
        <v/>
      </c>
      <c r="AU85" s="5">
        <f>IF(ISBLANK('Paste Full'!BG85),"",'Paste Full'!BG85)</f>
        <v/>
      </c>
      <c r="AV85" s="5">
        <f>IF(ISBLANK('Paste Full'!BH85),"",'Paste Full'!BH85)</f>
        <v/>
      </c>
      <c r="AW85" s="5">
        <f>IF(ISBLANK('Paste Full'!BI85),"",'Paste Full'!BI85)</f>
        <v/>
      </c>
      <c r="AX85" s="5">
        <f>IF(ISBLANK('Paste Full'!BJ85),"",'Paste Full'!BJ85)</f>
        <v/>
      </c>
      <c r="AY85" s="5">
        <f>IF(ISBLANK('Paste Full'!BK85),"",'Paste Full'!BK85)</f>
        <v/>
      </c>
      <c r="AZ85" s="6">
        <f>IF(ISBLANK('Paste Full'!BM85),"",'Paste Full'!BM85)</f>
        <v/>
      </c>
      <c r="BA85" s="6">
        <f>IF(ISBLANK('Paste Full'!BN85),"",'Paste Full'!BN85)</f>
        <v/>
      </c>
      <c r="BB85" s="6">
        <f>IF(ISBLANK('Paste Full'!BO85),"",'Paste Full'!BO85)</f>
        <v/>
      </c>
      <c r="BC85" s="6">
        <f>IF(ISBLANK('Paste Full'!BP85),"",'Paste Full'!BP85)</f>
        <v/>
      </c>
      <c r="BD85" s="6">
        <f>IF(ISBLANK('Paste Full'!BR85),"",'Paste Full'!BR85)</f>
        <v/>
      </c>
      <c r="BE85" s="6">
        <f>IF(ISBLANK('Paste Full'!BS85),"",'Paste Full'!BS85)</f>
        <v/>
      </c>
      <c r="BF85" s="6">
        <f>IF(ISBLANK('Paste Full'!BU85),"",'Paste Full'!BU85)</f>
        <v/>
      </c>
      <c r="BG85" s="6">
        <f>IF(ISBLANK('Paste Full'!BV85),"",'Paste Full'!BV85)</f>
        <v/>
      </c>
      <c r="BH85" s="6">
        <f>IF(ISBLANK('Paste Full'!BX85),"",'Paste Full'!BX85)</f>
        <v/>
      </c>
      <c r="BI85" s="6">
        <f>IF(ISBLANK('Paste Full'!BY85),"",'Paste Full'!BY85)</f>
        <v/>
      </c>
      <c r="BJ85" s="13">
        <f>IF(ISBLANK('Paste Full'!BL85),"",'Paste Full'!BL85)</f>
        <v/>
      </c>
      <c r="BK85" s="13">
        <f>IF(ISBLANK('Paste Full'!BQ85),"",'Paste Full'!BQ85)</f>
        <v/>
      </c>
      <c r="BL85" s="13">
        <f>IF(ISBLANK('Paste Full'!BT85),"",'Paste Full'!BT85)</f>
        <v/>
      </c>
      <c r="BM85" s="13">
        <f>IF(ISBLANK('Paste Full'!BW85),"",'Paste Full'!BW85)</f>
        <v/>
      </c>
    </row>
    <row r="86">
      <c r="A86">
        <f>IF(ISBLANK('Paste Full'!C86),"",'Paste Full'!C86)</f>
        <v/>
      </c>
      <c r="B86">
        <f>INDEX($J$1:$R$1, MATCH(MAX($J86:$R86), $J86:$R86, 0))</f>
        <v/>
      </c>
      <c r="C86" s="45">
        <f>IF(ISBLANK('Paste Full'!H86),"",'Paste Full'!H86)</f>
        <v/>
      </c>
      <c r="D86" s="45">
        <f>IF(ISBLANK('Paste Full'!F86),"",'Paste Full'!F86)</f>
        <v/>
      </c>
      <c r="E86" s="45">
        <f>IF(ISBLANK('Paste Full'!G86),"",'Paste Full'!G86)</f>
        <v/>
      </c>
      <c r="F86" s="21">
        <f>IF(ISBLANK('Paste Full'!E86),"",'Paste Full'!E86)</f>
        <v/>
      </c>
      <c r="G86">
        <f>IF(ISBLANK('Paste Full'!CI86),"",'Paste Full'!CI86)</f>
        <v/>
      </c>
      <c r="H86" s="21">
        <f>IF(ISBLANK('Paste Full'!J86),"",'Paste Full'!J86)</f>
        <v/>
      </c>
      <c r="I86" s="21">
        <f>IF(ISBLANK('Paste Full'!D86),"",'Paste Full'!D86)</f>
        <v/>
      </c>
      <c r="J86" s="14">
        <f>AVERAGE(SUMPRODUCT($S86:$BM86,AttWeights!$C$10:$AW$10)/SUM(AttWeights!$C$10:$AW$10),SUMPRODUCT($S86:$BM86,AttWeights!$C$17:$AW$17)/SUM(AttWeights!$C$17:$AW$17))*10</f>
        <v/>
      </c>
      <c r="K86" s="14">
        <f>AVERAGE(SUMPRODUCT($S86:$BM86,AttWeights!$C$7:$AW$7)/SUM(AttWeights!$C$7:$AW$7),SUMPRODUCT($S86:$BM86,AttWeights!$C$15:$AW$15)/SUM(AttWeights!$C$15:$AW$15))*10</f>
        <v/>
      </c>
      <c r="L86" s="14">
        <f>AVERAGE(SUMPRODUCT($S86:$BM86,AttWeights!$C$8:$AW$8)/SUM(AttWeights!$C$8:$AW$8),SUMPRODUCT($S86:$BM86,AttWeights!$C$16:$AW$16)/SUM(AttWeights!$C$16:$AW$16))*10</f>
        <v/>
      </c>
      <c r="M86" s="14">
        <f>AVERAGE(SUMPRODUCT($S86:$BM86,AttWeights!$C$9:$AW$9)/SUM(AttWeights!$C$9:$AW$9),SUMPRODUCT($S86:$BM86,AttWeights!$C$15:$AW$15)/SUM(AttWeights!$C$15:$AW$15))*10</f>
        <v/>
      </c>
      <c r="N86" s="14">
        <f>AVERAGE(SUMPRODUCT($S86:$BM86,AttWeights!$C$6:$AW$6)/SUM(AttWeights!$C$6:$AW$6),SUMPRODUCT($S86:$BM86,AttWeights!$C$14:$AW$14)/SUM(AttWeights!$C$14:$AW$14))*10</f>
        <v/>
      </c>
      <c r="O86" s="14">
        <f>AVERAGE(SUMPRODUCT($S86:$BM86,AttWeights!$C$5:$AW$5)/SUM(AttWeights!$C$5:$AW$5),SUMPRODUCT($S86:$BM86,AttWeights!$C$14:$AW$14)/SUM(AttWeights!$C$14:$AW$14))*10</f>
        <v/>
      </c>
      <c r="P86" s="14">
        <f>AVERAGE(SUMPRODUCT($S86:$BM86,AttWeights!$C$4:$AW$4)/SUM(AttWeights!$C$4:$AW$4),SUMPRODUCT($S86:$BM86,AttWeights!$C$13:$AW$13)/SUM(AttWeights!$C$13:$AW$13))*10</f>
        <v/>
      </c>
      <c r="Q86" s="14">
        <f>AVERAGE(SUMPRODUCT($S86:$BM86,AttWeights!$C$3:$AW$3)/SUM(AttWeights!$C$3:$AW$3),SUMPRODUCT($S86:$BM86,AttWeights!$C$12:$AW$12)/SUM(AttWeights!$C$12:$AW$12))*10</f>
        <v/>
      </c>
      <c r="R86" s="14">
        <f>AVERAGE(SUMPRODUCT($S86:$BM86,AttWeights!$C$2:$AW$2)/SUM(AttWeights!$C$2:$AW$2),SUMPRODUCT($S86:$BM86,AttWeights!$C$11:$AW$11)/SUM(AttWeights!$C$11:$AW$11))*10</f>
        <v/>
      </c>
      <c r="S86" s="3">
        <f>IF(ISBLANK('Paste Full'!AC86),"",'Paste Full'!AC86)</f>
        <v/>
      </c>
      <c r="T86" s="3">
        <f>IF(ISBLANK('Paste Full'!AD86),"",'Paste Full'!AD86)</f>
        <v/>
      </c>
      <c r="U86" s="3">
        <f>IF(ISBLANK('Paste Full'!AE86),"",'Paste Full'!AE86)</f>
        <v/>
      </c>
      <c r="V86" s="3">
        <f>IF(ISBLANK('Paste Full'!AF86),"",'Paste Full'!AF86)</f>
        <v/>
      </c>
      <c r="W86" s="3">
        <f>IF(ISBLANK('Paste Full'!AH86),"",'Paste Full'!AH86)</f>
        <v/>
      </c>
      <c r="X86" s="3">
        <f>IF(ISBLANK('Paste Full'!AI86),"",'Paste Full'!AI86)</f>
        <v/>
      </c>
      <c r="Y86" s="3">
        <f>IF(ISBLANK('Paste Full'!AK86),"",'Paste Full'!AK86)</f>
        <v/>
      </c>
      <c r="Z86" s="3">
        <f>IF(ISBLANK('Paste Full'!AL86),"",'Paste Full'!AL86)</f>
        <v/>
      </c>
      <c r="AA86" s="4">
        <f>IF(ISBLANK('Paste Full'!AM86),"",'Paste Full'!AM86)</f>
        <v/>
      </c>
      <c r="AB86" s="4">
        <f>IF(ISBLANK('Paste Full'!AN86),"",'Paste Full'!AN86)</f>
        <v/>
      </c>
      <c r="AC86" s="4">
        <f>IF(ISBLANK('Paste Full'!AO86),"",'Paste Full'!AO86)</f>
        <v/>
      </c>
      <c r="AD86" s="4">
        <f>IF(ISBLANK('Paste Full'!AP86),"",'Paste Full'!AP86)</f>
        <v/>
      </c>
      <c r="AE86" s="4">
        <f>IF(ISBLANK('Paste Full'!AQ86),"",'Paste Full'!AQ86)</f>
        <v/>
      </c>
      <c r="AF86" s="4">
        <f>IF(ISBLANK('Paste Full'!AR86),"",'Paste Full'!AR86)</f>
        <v/>
      </c>
      <c r="AG86" s="4">
        <f>IF(ISBLANK('Paste Full'!AS86),"",'Paste Full'!AS86)</f>
        <v/>
      </c>
      <c r="AH86" s="4">
        <f>IF(ISBLANK('Paste Full'!AV86),"",'Paste Full'!AV86)</f>
        <v/>
      </c>
      <c r="AI86" s="4">
        <f>IF(ISBLANK('Paste Full'!AT86),"",'Paste Full'!AT86)</f>
        <v/>
      </c>
      <c r="AJ86" s="4">
        <f>IF(ISBLANK('Paste Full'!AU86),"",'Paste Full'!AU86)</f>
        <v/>
      </c>
      <c r="AK86" s="4">
        <f>IF(ISBLANK('Paste Full'!AW86),"",'Paste Full'!AW86)</f>
        <v/>
      </c>
      <c r="AL86" s="5">
        <f>IF(ISBLANK('Paste Full'!AX86),"",'Paste Full'!AX86)</f>
        <v/>
      </c>
      <c r="AM86" s="5">
        <f>IF(ISBLANK('Paste Full'!AY86),"",'Paste Full'!AY86)</f>
        <v/>
      </c>
      <c r="AN86" s="5">
        <f>IF(ISBLANK('Paste Full'!AZ86),"",'Paste Full'!AZ86)</f>
        <v/>
      </c>
      <c r="AO86" s="5">
        <f>IF(ISBLANK('Paste Full'!BA86),"",'Paste Full'!BA86)</f>
        <v/>
      </c>
      <c r="AP86" s="5">
        <f>IF(ISBLANK('Paste Full'!BB86),"",'Paste Full'!BB86)</f>
        <v/>
      </c>
      <c r="AQ86" s="5">
        <f>IF(ISBLANK('Paste Full'!BC86),"",'Paste Full'!BC86)</f>
        <v/>
      </c>
      <c r="AR86" s="5">
        <f>IF(ISBLANK('Paste Full'!BD86),"",'Paste Full'!BD86)</f>
        <v/>
      </c>
      <c r="AS86" s="5">
        <f>IF(ISBLANK('Paste Full'!BE86),"",'Paste Full'!BE86)</f>
        <v/>
      </c>
      <c r="AT86" s="5">
        <f>IF(ISBLANK('Paste Full'!BF86),"",'Paste Full'!BF86)</f>
        <v/>
      </c>
      <c r="AU86" s="5">
        <f>IF(ISBLANK('Paste Full'!BG86),"",'Paste Full'!BG86)</f>
        <v/>
      </c>
      <c r="AV86" s="5">
        <f>IF(ISBLANK('Paste Full'!BH86),"",'Paste Full'!BH86)</f>
        <v/>
      </c>
      <c r="AW86" s="5">
        <f>IF(ISBLANK('Paste Full'!BI86),"",'Paste Full'!BI86)</f>
        <v/>
      </c>
      <c r="AX86" s="5">
        <f>IF(ISBLANK('Paste Full'!BJ86),"",'Paste Full'!BJ86)</f>
        <v/>
      </c>
      <c r="AY86" s="5">
        <f>IF(ISBLANK('Paste Full'!BK86),"",'Paste Full'!BK86)</f>
        <v/>
      </c>
      <c r="AZ86" s="6">
        <f>IF(ISBLANK('Paste Full'!BM86),"",'Paste Full'!BM86)</f>
        <v/>
      </c>
      <c r="BA86" s="6">
        <f>IF(ISBLANK('Paste Full'!BN86),"",'Paste Full'!BN86)</f>
        <v/>
      </c>
      <c r="BB86" s="6">
        <f>IF(ISBLANK('Paste Full'!BO86),"",'Paste Full'!BO86)</f>
        <v/>
      </c>
      <c r="BC86" s="6">
        <f>IF(ISBLANK('Paste Full'!BP86),"",'Paste Full'!BP86)</f>
        <v/>
      </c>
      <c r="BD86" s="6">
        <f>IF(ISBLANK('Paste Full'!BR86),"",'Paste Full'!BR86)</f>
        <v/>
      </c>
      <c r="BE86" s="6">
        <f>IF(ISBLANK('Paste Full'!BS86),"",'Paste Full'!BS86)</f>
        <v/>
      </c>
      <c r="BF86" s="6">
        <f>IF(ISBLANK('Paste Full'!BU86),"",'Paste Full'!BU86)</f>
        <v/>
      </c>
      <c r="BG86" s="6">
        <f>IF(ISBLANK('Paste Full'!BV86),"",'Paste Full'!BV86)</f>
        <v/>
      </c>
      <c r="BH86" s="6">
        <f>IF(ISBLANK('Paste Full'!BX86),"",'Paste Full'!BX86)</f>
        <v/>
      </c>
      <c r="BI86" s="6">
        <f>IF(ISBLANK('Paste Full'!BY86),"",'Paste Full'!BY86)</f>
        <v/>
      </c>
      <c r="BJ86" s="13">
        <f>IF(ISBLANK('Paste Full'!BL86),"",'Paste Full'!BL86)</f>
        <v/>
      </c>
      <c r="BK86" s="13">
        <f>IF(ISBLANK('Paste Full'!BQ86),"",'Paste Full'!BQ86)</f>
        <v/>
      </c>
      <c r="BL86" s="13">
        <f>IF(ISBLANK('Paste Full'!BT86),"",'Paste Full'!BT86)</f>
        <v/>
      </c>
      <c r="BM86" s="13">
        <f>IF(ISBLANK('Paste Full'!BW86),"",'Paste Full'!BW86)</f>
        <v/>
      </c>
    </row>
    <row r="87">
      <c r="A87">
        <f>IF(ISBLANK('Paste Full'!C87),"",'Paste Full'!C87)</f>
        <v/>
      </c>
      <c r="B87">
        <f>INDEX($J$1:$R$1, MATCH(MAX($J87:$R87), $J87:$R87, 0))</f>
        <v/>
      </c>
      <c r="C87" s="45">
        <f>IF(ISBLANK('Paste Full'!H87),"",'Paste Full'!H87)</f>
        <v/>
      </c>
      <c r="D87" s="45">
        <f>IF(ISBLANK('Paste Full'!F87),"",'Paste Full'!F87)</f>
        <v/>
      </c>
      <c r="E87" s="45">
        <f>IF(ISBLANK('Paste Full'!G87),"",'Paste Full'!G87)</f>
        <v/>
      </c>
      <c r="F87" s="21">
        <f>IF(ISBLANK('Paste Full'!E87),"",'Paste Full'!E87)</f>
        <v/>
      </c>
      <c r="G87">
        <f>IF(ISBLANK('Paste Full'!CI87),"",'Paste Full'!CI87)</f>
        <v/>
      </c>
      <c r="H87" s="21">
        <f>IF(ISBLANK('Paste Full'!J87),"",'Paste Full'!J87)</f>
        <v/>
      </c>
      <c r="I87" s="21">
        <f>IF(ISBLANK('Paste Full'!D87),"",'Paste Full'!D87)</f>
        <v/>
      </c>
      <c r="J87" s="14">
        <f>AVERAGE(SUMPRODUCT($S87:$BM87,AttWeights!$C$10:$AW$10)/SUM(AttWeights!$C$10:$AW$10),SUMPRODUCT($S87:$BM87,AttWeights!$C$17:$AW$17)/SUM(AttWeights!$C$17:$AW$17))*10</f>
        <v/>
      </c>
      <c r="K87" s="14">
        <f>AVERAGE(SUMPRODUCT($S87:$BM87,AttWeights!$C$7:$AW$7)/SUM(AttWeights!$C$7:$AW$7),SUMPRODUCT($S87:$BM87,AttWeights!$C$15:$AW$15)/SUM(AttWeights!$C$15:$AW$15))*10</f>
        <v/>
      </c>
      <c r="L87" s="14">
        <f>AVERAGE(SUMPRODUCT($S87:$BM87,AttWeights!$C$8:$AW$8)/SUM(AttWeights!$C$8:$AW$8),SUMPRODUCT($S87:$BM87,AttWeights!$C$16:$AW$16)/SUM(AttWeights!$C$16:$AW$16))*10</f>
        <v/>
      </c>
      <c r="M87" s="14">
        <f>AVERAGE(SUMPRODUCT($S87:$BM87,AttWeights!$C$9:$AW$9)/SUM(AttWeights!$C$9:$AW$9),SUMPRODUCT($S87:$BM87,AttWeights!$C$15:$AW$15)/SUM(AttWeights!$C$15:$AW$15))*10</f>
        <v/>
      </c>
      <c r="N87" s="14">
        <f>AVERAGE(SUMPRODUCT($S87:$BM87,AttWeights!$C$6:$AW$6)/SUM(AttWeights!$C$6:$AW$6),SUMPRODUCT($S87:$BM87,AttWeights!$C$14:$AW$14)/SUM(AttWeights!$C$14:$AW$14))*10</f>
        <v/>
      </c>
      <c r="O87" s="14">
        <f>AVERAGE(SUMPRODUCT($S87:$BM87,AttWeights!$C$5:$AW$5)/SUM(AttWeights!$C$5:$AW$5),SUMPRODUCT($S87:$BM87,AttWeights!$C$14:$AW$14)/SUM(AttWeights!$C$14:$AW$14))*10</f>
        <v/>
      </c>
      <c r="P87" s="14">
        <f>AVERAGE(SUMPRODUCT($S87:$BM87,AttWeights!$C$4:$AW$4)/SUM(AttWeights!$C$4:$AW$4),SUMPRODUCT($S87:$BM87,AttWeights!$C$13:$AW$13)/SUM(AttWeights!$C$13:$AW$13))*10</f>
        <v/>
      </c>
      <c r="Q87" s="14">
        <f>AVERAGE(SUMPRODUCT($S87:$BM87,AttWeights!$C$3:$AW$3)/SUM(AttWeights!$C$3:$AW$3),SUMPRODUCT($S87:$BM87,AttWeights!$C$12:$AW$12)/SUM(AttWeights!$C$12:$AW$12))*10</f>
        <v/>
      </c>
      <c r="R87" s="14">
        <f>AVERAGE(SUMPRODUCT($S87:$BM87,AttWeights!$C$2:$AW$2)/SUM(AttWeights!$C$2:$AW$2),SUMPRODUCT($S87:$BM87,AttWeights!$C$11:$AW$11)/SUM(AttWeights!$C$11:$AW$11))*10</f>
        <v/>
      </c>
      <c r="S87" s="3">
        <f>IF(ISBLANK('Paste Full'!AC87),"",'Paste Full'!AC87)</f>
        <v/>
      </c>
      <c r="T87" s="3">
        <f>IF(ISBLANK('Paste Full'!AD87),"",'Paste Full'!AD87)</f>
        <v/>
      </c>
      <c r="U87" s="3">
        <f>IF(ISBLANK('Paste Full'!AE87),"",'Paste Full'!AE87)</f>
        <v/>
      </c>
      <c r="V87" s="3">
        <f>IF(ISBLANK('Paste Full'!AF87),"",'Paste Full'!AF87)</f>
        <v/>
      </c>
      <c r="W87" s="3">
        <f>IF(ISBLANK('Paste Full'!AH87),"",'Paste Full'!AH87)</f>
        <v/>
      </c>
      <c r="X87" s="3">
        <f>IF(ISBLANK('Paste Full'!AI87),"",'Paste Full'!AI87)</f>
        <v/>
      </c>
      <c r="Y87" s="3">
        <f>IF(ISBLANK('Paste Full'!AK87),"",'Paste Full'!AK87)</f>
        <v/>
      </c>
      <c r="Z87" s="3">
        <f>IF(ISBLANK('Paste Full'!AL87),"",'Paste Full'!AL87)</f>
        <v/>
      </c>
      <c r="AA87" s="4">
        <f>IF(ISBLANK('Paste Full'!AM87),"",'Paste Full'!AM87)</f>
        <v/>
      </c>
      <c r="AB87" s="4">
        <f>IF(ISBLANK('Paste Full'!AN87),"",'Paste Full'!AN87)</f>
        <v/>
      </c>
      <c r="AC87" s="4">
        <f>IF(ISBLANK('Paste Full'!AO87),"",'Paste Full'!AO87)</f>
        <v/>
      </c>
      <c r="AD87" s="4">
        <f>IF(ISBLANK('Paste Full'!AP87),"",'Paste Full'!AP87)</f>
        <v/>
      </c>
      <c r="AE87" s="4">
        <f>IF(ISBLANK('Paste Full'!AQ87),"",'Paste Full'!AQ87)</f>
        <v/>
      </c>
      <c r="AF87" s="4">
        <f>IF(ISBLANK('Paste Full'!AR87),"",'Paste Full'!AR87)</f>
        <v/>
      </c>
      <c r="AG87" s="4">
        <f>IF(ISBLANK('Paste Full'!AS87),"",'Paste Full'!AS87)</f>
        <v/>
      </c>
      <c r="AH87" s="4">
        <f>IF(ISBLANK('Paste Full'!AV87),"",'Paste Full'!AV87)</f>
        <v/>
      </c>
      <c r="AI87" s="4">
        <f>IF(ISBLANK('Paste Full'!AT87),"",'Paste Full'!AT87)</f>
        <v/>
      </c>
      <c r="AJ87" s="4">
        <f>IF(ISBLANK('Paste Full'!AU87),"",'Paste Full'!AU87)</f>
        <v/>
      </c>
      <c r="AK87" s="4">
        <f>IF(ISBLANK('Paste Full'!AW87),"",'Paste Full'!AW87)</f>
        <v/>
      </c>
      <c r="AL87" s="5">
        <f>IF(ISBLANK('Paste Full'!AX87),"",'Paste Full'!AX87)</f>
        <v/>
      </c>
      <c r="AM87" s="5">
        <f>IF(ISBLANK('Paste Full'!AY87),"",'Paste Full'!AY87)</f>
        <v/>
      </c>
      <c r="AN87" s="5">
        <f>IF(ISBLANK('Paste Full'!AZ87),"",'Paste Full'!AZ87)</f>
        <v/>
      </c>
      <c r="AO87" s="5">
        <f>IF(ISBLANK('Paste Full'!BA87),"",'Paste Full'!BA87)</f>
        <v/>
      </c>
      <c r="AP87" s="5">
        <f>IF(ISBLANK('Paste Full'!BB87),"",'Paste Full'!BB87)</f>
        <v/>
      </c>
      <c r="AQ87" s="5">
        <f>IF(ISBLANK('Paste Full'!BC87),"",'Paste Full'!BC87)</f>
        <v/>
      </c>
      <c r="AR87" s="5">
        <f>IF(ISBLANK('Paste Full'!BD87),"",'Paste Full'!BD87)</f>
        <v/>
      </c>
      <c r="AS87" s="5">
        <f>IF(ISBLANK('Paste Full'!BE87),"",'Paste Full'!BE87)</f>
        <v/>
      </c>
      <c r="AT87" s="5">
        <f>IF(ISBLANK('Paste Full'!BF87),"",'Paste Full'!BF87)</f>
        <v/>
      </c>
      <c r="AU87" s="5">
        <f>IF(ISBLANK('Paste Full'!BG87),"",'Paste Full'!BG87)</f>
        <v/>
      </c>
      <c r="AV87" s="5">
        <f>IF(ISBLANK('Paste Full'!BH87),"",'Paste Full'!BH87)</f>
        <v/>
      </c>
      <c r="AW87" s="5">
        <f>IF(ISBLANK('Paste Full'!BI87),"",'Paste Full'!BI87)</f>
        <v/>
      </c>
      <c r="AX87" s="5">
        <f>IF(ISBLANK('Paste Full'!BJ87),"",'Paste Full'!BJ87)</f>
        <v/>
      </c>
      <c r="AY87" s="5">
        <f>IF(ISBLANK('Paste Full'!BK87),"",'Paste Full'!BK87)</f>
        <v/>
      </c>
      <c r="AZ87" s="6">
        <f>IF(ISBLANK('Paste Full'!BM87),"",'Paste Full'!BM87)</f>
        <v/>
      </c>
      <c r="BA87" s="6">
        <f>IF(ISBLANK('Paste Full'!BN87),"",'Paste Full'!BN87)</f>
        <v/>
      </c>
      <c r="BB87" s="6">
        <f>IF(ISBLANK('Paste Full'!BO87),"",'Paste Full'!BO87)</f>
        <v/>
      </c>
      <c r="BC87" s="6">
        <f>IF(ISBLANK('Paste Full'!BP87),"",'Paste Full'!BP87)</f>
        <v/>
      </c>
      <c r="BD87" s="6">
        <f>IF(ISBLANK('Paste Full'!BR87),"",'Paste Full'!BR87)</f>
        <v/>
      </c>
      <c r="BE87" s="6">
        <f>IF(ISBLANK('Paste Full'!BS87),"",'Paste Full'!BS87)</f>
        <v/>
      </c>
      <c r="BF87" s="6">
        <f>IF(ISBLANK('Paste Full'!BU87),"",'Paste Full'!BU87)</f>
        <v/>
      </c>
      <c r="BG87" s="6">
        <f>IF(ISBLANK('Paste Full'!BV87),"",'Paste Full'!BV87)</f>
        <v/>
      </c>
      <c r="BH87" s="6">
        <f>IF(ISBLANK('Paste Full'!BX87),"",'Paste Full'!BX87)</f>
        <v/>
      </c>
      <c r="BI87" s="6">
        <f>IF(ISBLANK('Paste Full'!BY87),"",'Paste Full'!BY87)</f>
        <v/>
      </c>
      <c r="BJ87" s="13">
        <f>IF(ISBLANK('Paste Full'!BL87),"",'Paste Full'!BL87)</f>
        <v/>
      </c>
      <c r="BK87" s="13">
        <f>IF(ISBLANK('Paste Full'!BQ87),"",'Paste Full'!BQ87)</f>
        <v/>
      </c>
      <c r="BL87" s="13">
        <f>IF(ISBLANK('Paste Full'!BT87),"",'Paste Full'!BT87)</f>
        <v/>
      </c>
      <c r="BM87" s="13">
        <f>IF(ISBLANK('Paste Full'!BW87),"",'Paste Full'!BW87)</f>
        <v/>
      </c>
    </row>
    <row r="88">
      <c r="A88">
        <f>IF(ISBLANK('Paste Full'!C88),"",'Paste Full'!C88)</f>
        <v/>
      </c>
      <c r="B88">
        <f>INDEX($J$1:$R$1, MATCH(MAX($J88:$R88), $J88:$R88, 0))</f>
        <v/>
      </c>
      <c r="C88" s="45">
        <f>IF(ISBLANK('Paste Full'!H88),"",'Paste Full'!H88)</f>
        <v/>
      </c>
      <c r="D88" s="45">
        <f>IF(ISBLANK('Paste Full'!F88),"",'Paste Full'!F88)</f>
        <v/>
      </c>
      <c r="E88" s="45">
        <f>IF(ISBLANK('Paste Full'!G88),"",'Paste Full'!G88)</f>
        <v/>
      </c>
      <c r="F88" s="21">
        <f>IF(ISBLANK('Paste Full'!E88),"",'Paste Full'!E88)</f>
        <v/>
      </c>
      <c r="G88">
        <f>IF(ISBLANK('Paste Full'!CI88),"",'Paste Full'!CI88)</f>
        <v/>
      </c>
      <c r="H88" s="21">
        <f>IF(ISBLANK('Paste Full'!J88),"",'Paste Full'!J88)</f>
        <v/>
      </c>
      <c r="I88" s="21">
        <f>IF(ISBLANK('Paste Full'!D88),"",'Paste Full'!D88)</f>
        <v/>
      </c>
      <c r="J88" s="14">
        <f>AVERAGE(SUMPRODUCT($S88:$BM88,AttWeights!$C$10:$AW$10)/SUM(AttWeights!$C$10:$AW$10),SUMPRODUCT($S88:$BM88,AttWeights!$C$17:$AW$17)/SUM(AttWeights!$C$17:$AW$17))*10</f>
        <v/>
      </c>
      <c r="K88" s="14">
        <f>AVERAGE(SUMPRODUCT($S88:$BM88,AttWeights!$C$7:$AW$7)/SUM(AttWeights!$C$7:$AW$7),SUMPRODUCT($S88:$BM88,AttWeights!$C$15:$AW$15)/SUM(AttWeights!$C$15:$AW$15))*10</f>
        <v/>
      </c>
      <c r="L88" s="14">
        <f>AVERAGE(SUMPRODUCT($S88:$BM88,AttWeights!$C$8:$AW$8)/SUM(AttWeights!$C$8:$AW$8),SUMPRODUCT($S88:$BM88,AttWeights!$C$16:$AW$16)/SUM(AttWeights!$C$16:$AW$16))*10</f>
        <v/>
      </c>
      <c r="M88" s="14">
        <f>AVERAGE(SUMPRODUCT($S88:$BM88,AttWeights!$C$9:$AW$9)/SUM(AttWeights!$C$9:$AW$9),SUMPRODUCT($S88:$BM88,AttWeights!$C$15:$AW$15)/SUM(AttWeights!$C$15:$AW$15))*10</f>
        <v/>
      </c>
      <c r="N88" s="14">
        <f>AVERAGE(SUMPRODUCT($S88:$BM88,AttWeights!$C$6:$AW$6)/SUM(AttWeights!$C$6:$AW$6),SUMPRODUCT($S88:$BM88,AttWeights!$C$14:$AW$14)/SUM(AttWeights!$C$14:$AW$14))*10</f>
        <v/>
      </c>
      <c r="O88" s="14">
        <f>AVERAGE(SUMPRODUCT($S88:$BM88,AttWeights!$C$5:$AW$5)/SUM(AttWeights!$C$5:$AW$5),SUMPRODUCT($S88:$BM88,AttWeights!$C$14:$AW$14)/SUM(AttWeights!$C$14:$AW$14))*10</f>
        <v/>
      </c>
      <c r="P88" s="14">
        <f>AVERAGE(SUMPRODUCT($S88:$BM88,AttWeights!$C$4:$AW$4)/SUM(AttWeights!$C$4:$AW$4),SUMPRODUCT($S88:$BM88,AttWeights!$C$13:$AW$13)/SUM(AttWeights!$C$13:$AW$13))*10</f>
        <v/>
      </c>
      <c r="Q88" s="14">
        <f>AVERAGE(SUMPRODUCT($S88:$BM88,AttWeights!$C$3:$AW$3)/SUM(AttWeights!$C$3:$AW$3),SUMPRODUCT($S88:$BM88,AttWeights!$C$12:$AW$12)/SUM(AttWeights!$C$12:$AW$12))*10</f>
        <v/>
      </c>
      <c r="R88" s="14">
        <f>AVERAGE(SUMPRODUCT($S88:$BM88,AttWeights!$C$2:$AW$2)/SUM(AttWeights!$C$2:$AW$2),SUMPRODUCT($S88:$BM88,AttWeights!$C$11:$AW$11)/SUM(AttWeights!$C$11:$AW$11))*10</f>
        <v/>
      </c>
      <c r="S88" s="3">
        <f>IF(ISBLANK('Paste Full'!AC88),"",'Paste Full'!AC88)</f>
        <v/>
      </c>
      <c r="T88" s="3">
        <f>IF(ISBLANK('Paste Full'!AD88),"",'Paste Full'!AD88)</f>
        <v/>
      </c>
      <c r="U88" s="3">
        <f>IF(ISBLANK('Paste Full'!AE88),"",'Paste Full'!AE88)</f>
        <v/>
      </c>
      <c r="V88" s="3">
        <f>IF(ISBLANK('Paste Full'!AF88),"",'Paste Full'!AF88)</f>
        <v/>
      </c>
      <c r="W88" s="3">
        <f>IF(ISBLANK('Paste Full'!AH88),"",'Paste Full'!AH88)</f>
        <v/>
      </c>
      <c r="X88" s="3">
        <f>IF(ISBLANK('Paste Full'!AI88),"",'Paste Full'!AI88)</f>
        <v/>
      </c>
      <c r="Y88" s="3">
        <f>IF(ISBLANK('Paste Full'!AK88),"",'Paste Full'!AK88)</f>
        <v/>
      </c>
      <c r="Z88" s="3">
        <f>IF(ISBLANK('Paste Full'!AL88),"",'Paste Full'!AL88)</f>
        <v/>
      </c>
      <c r="AA88" s="4">
        <f>IF(ISBLANK('Paste Full'!AM88),"",'Paste Full'!AM88)</f>
        <v/>
      </c>
      <c r="AB88" s="4">
        <f>IF(ISBLANK('Paste Full'!AN88),"",'Paste Full'!AN88)</f>
        <v/>
      </c>
      <c r="AC88" s="4">
        <f>IF(ISBLANK('Paste Full'!AO88),"",'Paste Full'!AO88)</f>
        <v/>
      </c>
      <c r="AD88" s="4">
        <f>IF(ISBLANK('Paste Full'!AP88),"",'Paste Full'!AP88)</f>
        <v/>
      </c>
      <c r="AE88" s="4">
        <f>IF(ISBLANK('Paste Full'!AQ88),"",'Paste Full'!AQ88)</f>
        <v/>
      </c>
      <c r="AF88" s="4">
        <f>IF(ISBLANK('Paste Full'!AR88),"",'Paste Full'!AR88)</f>
        <v/>
      </c>
      <c r="AG88" s="4">
        <f>IF(ISBLANK('Paste Full'!AS88),"",'Paste Full'!AS88)</f>
        <v/>
      </c>
      <c r="AH88" s="4">
        <f>IF(ISBLANK('Paste Full'!AV88),"",'Paste Full'!AV88)</f>
        <v/>
      </c>
      <c r="AI88" s="4">
        <f>IF(ISBLANK('Paste Full'!AT88),"",'Paste Full'!AT88)</f>
        <v/>
      </c>
      <c r="AJ88" s="4">
        <f>IF(ISBLANK('Paste Full'!AU88),"",'Paste Full'!AU88)</f>
        <v/>
      </c>
      <c r="AK88" s="4">
        <f>IF(ISBLANK('Paste Full'!AW88),"",'Paste Full'!AW88)</f>
        <v/>
      </c>
      <c r="AL88" s="5">
        <f>IF(ISBLANK('Paste Full'!AX88),"",'Paste Full'!AX88)</f>
        <v/>
      </c>
      <c r="AM88" s="5">
        <f>IF(ISBLANK('Paste Full'!AY88),"",'Paste Full'!AY88)</f>
        <v/>
      </c>
      <c r="AN88" s="5">
        <f>IF(ISBLANK('Paste Full'!AZ88),"",'Paste Full'!AZ88)</f>
        <v/>
      </c>
      <c r="AO88" s="5">
        <f>IF(ISBLANK('Paste Full'!BA88),"",'Paste Full'!BA88)</f>
        <v/>
      </c>
      <c r="AP88" s="5">
        <f>IF(ISBLANK('Paste Full'!BB88),"",'Paste Full'!BB88)</f>
        <v/>
      </c>
      <c r="AQ88" s="5">
        <f>IF(ISBLANK('Paste Full'!BC88),"",'Paste Full'!BC88)</f>
        <v/>
      </c>
      <c r="AR88" s="5">
        <f>IF(ISBLANK('Paste Full'!BD88),"",'Paste Full'!BD88)</f>
        <v/>
      </c>
      <c r="AS88" s="5">
        <f>IF(ISBLANK('Paste Full'!BE88),"",'Paste Full'!BE88)</f>
        <v/>
      </c>
      <c r="AT88" s="5">
        <f>IF(ISBLANK('Paste Full'!BF88),"",'Paste Full'!BF88)</f>
        <v/>
      </c>
      <c r="AU88" s="5">
        <f>IF(ISBLANK('Paste Full'!BG88),"",'Paste Full'!BG88)</f>
        <v/>
      </c>
      <c r="AV88" s="5">
        <f>IF(ISBLANK('Paste Full'!BH88),"",'Paste Full'!BH88)</f>
        <v/>
      </c>
      <c r="AW88" s="5">
        <f>IF(ISBLANK('Paste Full'!BI88),"",'Paste Full'!BI88)</f>
        <v/>
      </c>
      <c r="AX88" s="5">
        <f>IF(ISBLANK('Paste Full'!BJ88),"",'Paste Full'!BJ88)</f>
        <v/>
      </c>
      <c r="AY88" s="5">
        <f>IF(ISBLANK('Paste Full'!BK88),"",'Paste Full'!BK88)</f>
        <v/>
      </c>
      <c r="AZ88" s="6">
        <f>IF(ISBLANK('Paste Full'!BM88),"",'Paste Full'!BM88)</f>
        <v/>
      </c>
      <c r="BA88" s="6">
        <f>IF(ISBLANK('Paste Full'!BN88),"",'Paste Full'!BN88)</f>
        <v/>
      </c>
      <c r="BB88" s="6">
        <f>IF(ISBLANK('Paste Full'!BO88),"",'Paste Full'!BO88)</f>
        <v/>
      </c>
      <c r="BC88" s="6">
        <f>IF(ISBLANK('Paste Full'!BP88),"",'Paste Full'!BP88)</f>
        <v/>
      </c>
      <c r="BD88" s="6">
        <f>IF(ISBLANK('Paste Full'!BR88),"",'Paste Full'!BR88)</f>
        <v/>
      </c>
      <c r="BE88" s="6">
        <f>IF(ISBLANK('Paste Full'!BS88),"",'Paste Full'!BS88)</f>
        <v/>
      </c>
      <c r="BF88" s="6">
        <f>IF(ISBLANK('Paste Full'!BU88),"",'Paste Full'!BU88)</f>
        <v/>
      </c>
      <c r="BG88" s="6">
        <f>IF(ISBLANK('Paste Full'!BV88),"",'Paste Full'!BV88)</f>
        <v/>
      </c>
      <c r="BH88" s="6">
        <f>IF(ISBLANK('Paste Full'!BX88),"",'Paste Full'!BX88)</f>
        <v/>
      </c>
      <c r="BI88" s="6">
        <f>IF(ISBLANK('Paste Full'!BY88),"",'Paste Full'!BY88)</f>
        <v/>
      </c>
      <c r="BJ88" s="13">
        <f>IF(ISBLANK('Paste Full'!BL88),"",'Paste Full'!BL88)</f>
        <v/>
      </c>
      <c r="BK88" s="13">
        <f>IF(ISBLANK('Paste Full'!BQ88),"",'Paste Full'!BQ88)</f>
        <v/>
      </c>
      <c r="BL88" s="13">
        <f>IF(ISBLANK('Paste Full'!BT88),"",'Paste Full'!BT88)</f>
        <v/>
      </c>
      <c r="BM88" s="13">
        <f>IF(ISBLANK('Paste Full'!BW88),"",'Paste Full'!BW88)</f>
        <v/>
      </c>
    </row>
    <row r="89">
      <c r="A89">
        <f>IF(ISBLANK('Paste Full'!C89),"",'Paste Full'!C89)</f>
        <v/>
      </c>
      <c r="B89">
        <f>INDEX($J$1:$R$1, MATCH(MAX($J89:$R89), $J89:$R89, 0))</f>
        <v/>
      </c>
      <c r="C89" s="45">
        <f>IF(ISBLANK('Paste Full'!H89),"",'Paste Full'!H89)</f>
        <v/>
      </c>
      <c r="D89" s="45">
        <f>IF(ISBLANK('Paste Full'!F89),"",'Paste Full'!F89)</f>
        <v/>
      </c>
      <c r="E89" s="45">
        <f>IF(ISBLANK('Paste Full'!G89),"",'Paste Full'!G89)</f>
        <v/>
      </c>
      <c r="F89" s="21">
        <f>IF(ISBLANK('Paste Full'!E89),"",'Paste Full'!E89)</f>
        <v/>
      </c>
      <c r="G89">
        <f>IF(ISBLANK('Paste Full'!CI89),"",'Paste Full'!CI89)</f>
        <v/>
      </c>
      <c r="H89" s="21">
        <f>IF(ISBLANK('Paste Full'!J89),"",'Paste Full'!J89)</f>
        <v/>
      </c>
      <c r="I89" s="21">
        <f>IF(ISBLANK('Paste Full'!D89),"",'Paste Full'!D89)</f>
        <v/>
      </c>
      <c r="J89" s="14">
        <f>AVERAGE(SUMPRODUCT($S89:$BM89,AttWeights!$C$10:$AW$10)/SUM(AttWeights!$C$10:$AW$10),SUMPRODUCT($S89:$BM89,AttWeights!$C$17:$AW$17)/SUM(AttWeights!$C$17:$AW$17))*10</f>
        <v/>
      </c>
      <c r="K89" s="14">
        <f>AVERAGE(SUMPRODUCT($S89:$BM89,AttWeights!$C$7:$AW$7)/SUM(AttWeights!$C$7:$AW$7),SUMPRODUCT($S89:$BM89,AttWeights!$C$15:$AW$15)/SUM(AttWeights!$C$15:$AW$15))*10</f>
        <v/>
      </c>
      <c r="L89" s="14">
        <f>AVERAGE(SUMPRODUCT($S89:$BM89,AttWeights!$C$8:$AW$8)/SUM(AttWeights!$C$8:$AW$8),SUMPRODUCT($S89:$BM89,AttWeights!$C$16:$AW$16)/SUM(AttWeights!$C$16:$AW$16))*10</f>
        <v/>
      </c>
      <c r="M89" s="14">
        <f>AVERAGE(SUMPRODUCT($S89:$BM89,AttWeights!$C$9:$AW$9)/SUM(AttWeights!$C$9:$AW$9),SUMPRODUCT($S89:$BM89,AttWeights!$C$15:$AW$15)/SUM(AttWeights!$C$15:$AW$15))*10</f>
        <v/>
      </c>
      <c r="N89" s="14">
        <f>AVERAGE(SUMPRODUCT($S89:$BM89,AttWeights!$C$6:$AW$6)/SUM(AttWeights!$C$6:$AW$6),SUMPRODUCT($S89:$BM89,AttWeights!$C$14:$AW$14)/SUM(AttWeights!$C$14:$AW$14))*10</f>
        <v/>
      </c>
      <c r="O89" s="14">
        <f>AVERAGE(SUMPRODUCT($S89:$BM89,AttWeights!$C$5:$AW$5)/SUM(AttWeights!$C$5:$AW$5),SUMPRODUCT($S89:$BM89,AttWeights!$C$14:$AW$14)/SUM(AttWeights!$C$14:$AW$14))*10</f>
        <v/>
      </c>
      <c r="P89" s="14">
        <f>AVERAGE(SUMPRODUCT($S89:$BM89,AttWeights!$C$4:$AW$4)/SUM(AttWeights!$C$4:$AW$4),SUMPRODUCT($S89:$BM89,AttWeights!$C$13:$AW$13)/SUM(AttWeights!$C$13:$AW$13))*10</f>
        <v/>
      </c>
      <c r="Q89" s="14">
        <f>AVERAGE(SUMPRODUCT($S89:$BM89,AttWeights!$C$3:$AW$3)/SUM(AttWeights!$C$3:$AW$3),SUMPRODUCT($S89:$BM89,AttWeights!$C$12:$AW$12)/SUM(AttWeights!$C$12:$AW$12))*10</f>
        <v/>
      </c>
      <c r="R89" s="14">
        <f>AVERAGE(SUMPRODUCT($S89:$BM89,AttWeights!$C$2:$AW$2)/SUM(AttWeights!$C$2:$AW$2),SUMPRODUCT($S89:$BM89,AttWeights!$C$11:$AW$11)/SUM(AttWeights!$C$11:$AW$11))*10</f>
        <v/>
      </c>
      <c r="S89" s="3">
        <f>IF(ISBLANK('Paste Full'!AC89),"",'Paste Full'!AC89)</f>
        <v/>
      </c>
      <c r="T89" s="3">
        <f>IF(ISBLANK('Paste Full'!AD89),"",'Paste Full'!AD89)</f>
        <v/>
      </c>
      <c r="U89" s="3">
        <f>IF(ISBLANK('Paste Full'!AE89),"",'Paste Full'!AE89)</f>
        <v/>
      </c>
      <c r="V89" s="3">
        <f>IF(ISBLANK('Paste Full'!AF89),"",'Paste Full'!AF89)</f>
        <v/>
      </c>
      <c r="W89" s="3">
        <f>IF(ISBLANK('Paste Full'!AH89),"",'Paste Full'!AH89)</f>
        <v/>
      </c>
      <c r="X89" s="3">
        <f>IF(ISBLANK('Paste Full'!AI89),"",'Paste Full'!AI89)</f>
        <v/>
      </c>
      <c r="Y89" s="3">
        <f>IF(ISBLANK('Paste Full'!AK89),"",'Paste Full'!AK89)</f>
        <v/>
      </c>
      <c r="Z89" s="3">
        <f>IF(ISBLANK('Paste Full'!AL89),"",'Paste Full'!AL89)</f>
        <v/>
      </c>
      <c r="AA89" s="4">
        <f>IF(ISBLANK('Paste Full'!AM89),"",'Paste Full'!AM89)</f>
        <v/>
      </c>
      <c r="AB89" s="4">
        <f>IF(ISBLANK('Paste Full'!AN89),"",'Paste Full'!AN89)</f>
        <v/>
      </c>
      <c r="AC89" s="4">
        <f>IF(ISBLANK('Paste Full'!AO89),"",'Paste Full'!AO89)</f>
        <v/>
      </c>
      <c r="AD89" s="4">
        <f>IF(ISBLANK('Paste Full'!AP89),"",'Paste Full'!AP89)</f>
        <v/>
      </c>
      <c r="AE89" s="4">
        <f>IF(ISBLANK('Paste Full'!AQ89),"",'Paste Full'!AQ89)</f>
        <v/>
      </c>
      <c r="AF89" s="4">
        <f>IF(ISBLANK('Paste Full'!AR89),"",'Paste Full'!AR89)</f>
        <v/>
      </c>
      <c r="AG89" s="4">
        <f>IF(ISBLANK('Paste Full'!AS89),"",'Paste Full'!AS89)</f>
        <v/>
      </c>
      <c r="AH89" s="4">
        <f>IF(ISBLANK('Paste Full'!AV89),"",'Paste Full'!AV89)</f>
        <v/>
      </c>
      <c r="AI89" s="4">
        <f>IF(ISBLANK('Paste Full'!AT89),"",'Paste Full'!AT89)</f>
        <v/>
      </c>
      <c r="AJ89" s="4">
        <f>IF(ISBLANK('Paste Full'!AU89),"",'Paste Full'!AU89)</f>
        <v/>
      </c>
      <c r="AK89" s="4">
        <f>IF(ISBLANK('Paste Full'!AW89),"",'Paste Full'!AW89)</f>
        <v/>
      </c>
      <c r="AL89" s="5">
        <f>IF(ISBLANK('Paste Full'!AX89),"",'Paste Full'!AX89)</f>
        <v/>
      </c>
      <c r="AM89" s="5">
        <f>IF(ISBLANK('Paste Full'!AY89),"",'Paste Full'!AY89)</f>
        <v/>
      </c>
      <c r="AN89" s="5">
        <f>IF(ISBLANK('Paste Full'!AZ89),"",'Paste Full'!AZ89)</f>
        <v/>
      </c>
      <c r="AO89" s="5">
        <f>IF(ISBLANK('Paste Full'!BA89),"",'Paste Full'!BA89)</f>
        <v/>
      </c>
      <c r="AP89" s="5">
        <f>IF(ISBLANK('Paste Full'!BB89),"",'Paste Full'!BB89)</f>
        <v/>
      </c>
      <c r="AQ89" s="5">
        <f>IF(ISBLANK('Paste Full'!BC89),"",'Paste Full'!BC89)</f>
        <v/>
      </c>
      <c r="AR89" s="5">
        <f>IF(ISBLANK('Paste Full'!BD89),"",'Paste Full'!BD89)</f>
        <v/>
      </c>
      <c r="AS89" s="5">
        <f>IF(ISBLANK('Paste Full'!BE89),"",'Paste Full'!BE89)</f>
        <v/>
      </c>
      <c r="AT89" s="5">
        <f>IF(ISBLANK('Paste Full'!BF89),"",'Paste Full'!BF89)</f>
        <v/>
      </c>
      <c r="AU89" s="5">
        <f>IF(ISBLANK('Paste Full'!BG89),"",'Paste Full'!BG89)</f>
        <v/>
      </c>
      <c r="AV89" s="5">
        <f>IF(ISBLANK('Paste Full'!BH89),"",'Paste Full'!BH89)</f>
        <v/>
      </c>
      <c r="AW89" s="5">
        <f>IF(ISBLANK('Paste Full'!BI89),"",'Paste Full'!BI89)</f>
        <v/>
      </c>
      <c r="AX89" s="5">
        <f>IF(ISBLANK('Paste Full'!BJ89),"",'Paste Full'!BJ89)</f>
        <v/>
      </c>
      <c r="AY89" s="5">
        <f>IF(ISBLANK('Paste Full'!BK89),"",'Paste Full'!BK89)</f>
        <v/>
      </c>
      <c r="AZ89" s="6">
        <f>IF(ISBLANK('Paste Full'!BM89),"",'Paste Full'!BM89)</f>
        <v/>
      </c>
      <c r="BA89" s="6">
        <f>IF(ISBLANK('Paste Full'!BN89),"",'Paste Full'!BN89)</f>
        <v/>
      </c>
      <c r="BB89" s="6">
        <f>IF(ISBLANK('Paste Full'!BO89),"",'Paste Full'!BO89)</f>
        <v/>
      </c>
      <c r="BC89" s="6">
        <f>IF(ISBLANK('Paste Full'!BP89),"",'Paste Full'!BP89)</f>
        <v/>
      </c>
      <c r="BD89" s="6">
        <f>IF(ISBLANK('Paste Full'!BR89),"",'Paste Full'!BR89)</f>
        <v/>
      </c>
      <c r="BE89" s="6">
        <f>IF(ISBLANK('Paste Full'!BS89),"",'Paste Full'!BS89)</f>
        <v/>
      </c>
      <c r="BF89" s="6">
        <f>IF(ISBLANK('Paste Full'!BU89),"",'Paste Full'!BU89)</f>
        <v/>
      </c>
      <c r="BG89" s="6">
        <f>IF(ISBLANK('Paste Full'!BV89),"",'Paste Full'!BV89)</f>
        <v/>
      </c>
      <c r="BH89" s="6">
        <f>IF(ISBLANK('Paste Full'!BX89),"",'Paste Full'!BX89)</f>
        <v/>
      </c>
      <c r="BI89" s="6">
        <f>IF(ISBLANK('Paste Full'!BY89),"",'Paste Full'!BY89)</f>
        <v/>
      </c>
      <c r="BJ89" s="13">
        <f>IF(ISBLANK('Paste Full'!BL89),"",'Paste Full'!BL89)</f>
        <v/>
      </c>
      <c r="BK89" s="13">
        <f>IF(ISBLANK('Paste Full'!BQ89),"",'Paste Full'!BQ89)</f>
        <v/>
      </c>
      <c r="BL89" s="13">
        <f>IF(ISBLANK('Paste Full'!BT89),"",'Paste Full'!BT89)</f>
        <v/>
      </c>
      <c r="BM89" s="13">
        <f>IF(ISBLANK('Paste Full'!BW89),"",'Paste Full'!BW89)</f>
        <v/>
      </c>
    </row>
    <row r="90">
      <c r="A90">
        <f>IF(ISBLANK('Paste Full'!C90),"",'Paste Full'!C90)</f>
        <v/>
      </c>
      <c r="B90">
        <f>INDEX($J$1:$R$1, MATCH(MAX($J90:$R90), $J90:$R90, 0))</f>
        <v/>
      </c>
      <c r="C90" s="45">
        <f>IF(ISBLANK('Paste Full'!H90),"",'Paste Full'!H90)</f>
        <v/>
      </c>
      <c r="D90" s="45">
        <f>IF(ISBLANK('Paste Full'!F90),"",'Paste Full'!F90)</f>
        <v/>
      </c>
      <c r="E90" s="45">
        <f>IF(ISBLANK('Paste Full'!G90),"",'Paste Full'!G90)</f>
        <v/>
      </c>
      <c r="F90" s="21">
        <f>IF(ISBLANK('Paste Full'!E90),"",'Paste Full'!E90)</f>
        <v/>
      </c>
      <c r="G90">
        <f>IF(ISBLANK('Paste Full'!CI90),"",'Paste Full'!CI90)</f>
        <v/>
      </c>
      <c r="H90" s="21">
        <f>IF(ISBLANK('Paste Full'!J90),"",'Paste Full'!J90)</f>
        <v/>
      </c>
      <c r="I90" s="21">
        <f>IF(ISBLANK('Paste Full'!D90),"",'Paste Full'!D90)</f>
        <v/>
      </c>
      <c r="J90" s="14">
        <f>AVERAGE(SUMPRODUCT($S90:$BM90,AttWeights!$C$10:$AW$10)/SUM(AttWeights!$C$10:$AW$10),SUMPRODUCT($S90:$BM90,AttWeights!$C$17:$AW$17)/SUM(AttWeights!$C$17:$AW$17))*10</f>
        <v/>
      </c>
      <c r="K90" s="14">
        <f>AVERAGE(SUMPRODUCT($S90:$BM90,AttWeights!$C$7:$AW$7)/SUM(AttWeights!$C$7:$AW$7),SUMPRODUCT($S90:$BM90,AttWeights!$C$15:$AW$15)/SUM(AttWeights!$C$15:$AW$15))*10</f>
        <v/>
      </c>
      <c r="L90" s="14">
        <f>AVERAGE(SUMPRODUCT($S90:$BM90,AttWeights!$C$8:$AW$8)/SUM(AttWeights!$C$8:$AW$8),SUMPRODUCT($S90:$BM90,AttWeights!$C$16:$AW$16)/SUM(AttWeights!$C$16:$AW$16))*10</f>
        <v/>
      </c>
      <c r="M90" s="14">
        <f>AVERAGE(SUMPRODUCT($S90:$BM90,AttWeights!$C$9:$AW$9)/SUM(AttWeights!$C$9:$AW$9),SUMPRODUCT($S90:$BM90,AttWeights!$C$15:$AW$15)/SUM(AttWeights!$C$15:$AW$15))*10</f>
        <v/>
      </c>
      <c r="N90" s="14">
        <f>AVERAGE(SUMPRODUCT($S90:$BM90,AttWeights!$C$6:$AW$6)/SUM(AttWeights!$C$6:$AW$6),SUMPRODUCT($S90:$BM90,AttWeights!$C$14:$AW$14)/SUM(AttWeights!$C$14:$AW$14))*10</f>
        <v/>
      </c>
      <c r="O90" s="14">
        <f>AVERAGE(SUMPRODUCT($S90:$BM90,AttWeights!$C$5:$AW$5)/SUM(AttWeights!$C$5:$AW$5),SUMPRODUCT($S90:$BM90,AttWeights!$C$14:$AW$14)/SUM(AttWeights!$C$14:$AW$14))*10</f>
        <v/>
      </c>
      <c r="P90" s="14">
        <f>AVERAGE(SUMPRODUCT($S90:$BM90,AttWeights!$C$4:$AW$4)/SUM(AttWeights!$C$4:$AW$4),SUMPRODUCT($S90:$BM90,AttWeights!$C$13:$AW$13)/SUM(AttWeights!$C$13:$AW$13))*10</f>
        <v/>
      </c>
      <c r="Q90" s="14">
        <f>AVERAGE(SUMPRODUCT($S90:$BM90,AttWeights!$C$3:$AW$3)/SUM(AttWeights!$C$3:$AW$3),SUMPRODUCT($S90:$BM90,AttWeights!$C$12:$AW$12)/SUM(AttWeights!$C$12:$AW$12))*10</f>
        <v/>
      </c>
      <c r="R90" s="14">
        <f>AVERAGE(SUMPRODUCT($S90:$BM90,AttWeights!$C$2:$AW$2)/SUM(AttWeights!$C$2:$AW$2),SUMPRODUCT($S90:$BM90,AttWeights!$C$11:$AW$11)/SUM(AttWeights!$C$11:$AW$11))*10</f>
        <v/>
      </c>
      <c r="S90" s="3">
        <f>IF(ISBLANK('Paste Full'!AC90),"",'Paste Full'!AC90)</f>
        <v/>
      </c>
      <c r="T90" s="3">
        <f>IF(ISBLANK('Paste Full'!AD90),"",'Paste Full'!AD90)</f>
        <v/>
      </c>
      <c r="U90" s="3">
        <f>IF(ISBLANK('Paste Full'!AE90),"",'Paste Full'!AE90)</f>
        <v/>
      </c>
      <c r="V90" s="3">
        <f>IF(ISBLANK('Paste Full'!AF90),"",'Paste Full'!AF90)</f>
        <v/>
      </c>
      <c r="W90" s="3">
        <f>IF(ISBLANK('Paste Full'!AH90),"",'Paste Full'!AH90)</f>
        <v/>
      </c>
      <c r="X90" s="3">
        <f>IF(ISBLANK('Paste Full'!AI90),"",'Paste Full'!AI90)</f>
        <v/>
      </c>
      <c r="Y90" s="3">
        <f>IF(ISBLANK('Paste Full'!AK90),"",'Paste Full'!AK90)</f>
        <v/>
      </c>
      <c r="Z90" s="3">
        <f>IF(ISBLANK('Paste Full'!AL90),"",'Paste Full'!AL90)</f>
        <v/>
      </c>
      <c r="AA90" s="4">
        <f>IF(ISBLANK('Paste Full'!AM90),"",'Paste Full'!AM90)</f>
        <v/>
      </c>
      <c r="AB90" s="4">
        <f>IF(ISBLANK('Paste Full'!AN90),"",'Paste Full'!AN90)</f>
        <v/>
      </c>
      <c r="AC90" s="4">
        <f>IF(ISBLANK('Paste Full'!AO90),"",'Paste Full'!AO90)</f>
        <v/>
      </c>
      <c r="AD90" s="4">
        <f>IF(ISBLANK('Paste Full'!AP90),"",'Paste Full'!AP90)</f>
        <v/>
      </c>
      <c r="AE90" s="4">
        <f>IF(ISBLANK('Paste Full'!AQ90),"",'Paste Full'!AQ90)</f>
        <v/>
      </c>
      <c r="AF90" s="4">
        <f>IF(ISBLANK('Paste Full'!AR90),"",'Paste Full'!AR90)</f>
        <v/>
      </c>
      <c r="AG90" s="4">
        <f>IF(ISBLANK('Paste Full'!AS90),"",'Paste Full'!AS90)</f>
        <v/>
      </c>
      <c r="AH90" s="4">
        <f>IF(ISBLANK('Paste Full'!AV90),"",'Paste Full'!AV90)</f>
        <v/>
      </c>
      <c r="AI90" s="4">
        <f>IF(ISBLANK('Paste Full'!AT90),"",'Paste Full'!AT90)</f>
        <v/>
      </c>
      <c r="AJ90" s="4">
        <f>IF(ISBLANK('Paste Full'!AU90),"",'Paste Full'!AU90)</f>
        <v/>
      </c>
      <c r="AK90" s="4">
        <f>IF(ISBLANK('Paste Full'!AW90),"",'Paste Full'!AW90)</f>
        <v/>
      </c>
      <c r="AL90" s="5">
        <f>IF(ISBLANK('Paste Full'!AX90),"",'Paste Full'!AX90)</f>
        <v/>
      </c>
      <c r="AM90" s="5">
        <f>IF(ISBLANK('Paste Full'!AY90),"",'Paste Full'!AY90)</f>
        <v/>
      </c>
      <c r="AN90" s="5">
        <f>IF(ISBLANK('Paste Full'!AZ90),"",'Paste Full'!AZ90)</f>
        <v/>
      </c>
      <c r="AO90" s="5">
        <f>IF(ISBLANK('Paste Full'!BA90),"",'Paste Full'!BA90)</f>
        <v/>
      </c>
      <c r="AP90" s="5">
        <f>IF(ISBLANK('Paste Full'!BB90),"",'Paste Full'!BB90)</f>
        <v/>
      </c>
      <c r="AQ90" s="5">
        <f>IF(ISBLANK('Paste Full'!BC90),"",'Paste Full'!BC90)</f>
        <v/>
      </c>
      <c r="AR90" s="5">
        <f>IF(ISBLANK('Paste Full'!BD90),"",'Paste Full'!BD90)</f>
        <v/>
      </c>
      <c r="AS90" s="5">
        <f>IF(ISBLANK('Paste Full'!BE90),"",'Paste Full'!BE90)</f>
        <v/>
      </c>
      <c r="AT90" s="5">
        <f>IF(ISBLANK('Paste Full'!BF90),"",'Paste Full'!BF90)</f>
        <v/>
      </c>
      <c r="AU90" s="5">
        <f>IF(ISBLANK('Paste Full'!BG90),"",'Paste Full'!BG90)</f>
        <v/>
      </c>
      <c r="AV90" s="5">
        <f>IF(ISBLANK('Paste Full'!BH90),"",'Paste Full'!BH90)</f>
        <v/>
      </c>
      <c r="AW90" s="5">
        <f>IF(ISBLANK('Paste Full'!BI90),"",'Paste Full'!BI90)</f>
        <v/>
      </c>
      <c r="AX90" s="5">
        <f>IF(ISBLANK('Paste Full'!BJ90),"",'Paste Full'!BJ90)</f>
        <v/>
      </c>
      <c r="AY90" s="5">
        <f>IF(ISBLANK('Paste Full'!BK90),"",'Paste Full'!BK90)</f>
        <v/>
      </c>
      <c r="AZ90" s="6">
        <f>IF(ISBLANK('Paste Full'!BM90),"",'Paste Full'!BM90)</f>
        <v/>
      </c>
      <c r="BA90" s="6">
        <f>IF(ISBLANK('Paste Full'!BN90),"",'Paste Full'!BN90)</f>
        <v/>
      </c>
      <c r="BB90" s="6">
        <f>IF(ISBLANK('Paste Full'!BO90),"",'Paste Full'!BO90)</f>
        <v/>
      </c>
      <c r="BC90" s="6">
        <f>IF(ISBLANK('Paste Full'!BP90),"",'Paste Full'!BP90)</f>
        <v/>
      </c>
      <c r="BD90" s="6">
        <f>IF(ISBLANK('Paste Full'!BR90),"",'Paste Full'!BR90)</f>
        <v/>
      </c>
      <c r="BE90" s="6">
        <f>IF(ISBLANK('Paste Full'!BS90),"",'Paste Full'!BS90)</f>
        <v/>
      </c>
      <c r="BF90" s="6">
        <f>IF(ISBLANK('Paste Full'!BU90),"",'Paste Full'!BU90)</f>
        <v/>
      </c>
      <c r="BG90" s="6">
        <f>IF(ISBLANK('Paste Full'!BV90),"",'Paste Full'!BV90)</f>
        <v/>
      </c>
      <c r="BH90" s="6">
        <f>IF(ISBLANK('Paste Full'!BX90),"",'Paste Full'!BX90)</f>
        <v/>
      </c>
      <c r="BI90" s="6">
        <f>IF(ISBLANK('Paste Full'!BY90),"",'Paste Full'!BY90)</f>
        <v/>
      </c>
      <c r="BJ90" s="13">
        <f>IF(ISBLANK('Paste Full'!BL90),"",'Paste Full'!BL90)</f>
        <v/>
      </c>
      <c r="BK90" s="13">
        <f>IF(ISBLANK('Paste Full'!BQ90),"",'Paste Full'!BQ90)</f>
        <v/>
      </c>
      <c r="BL90" s="13">
        <f>IF(ISBLANK('Paste Full'!BT90),"",'Paste Full'!BT90)</f>
        <v/>
      </c>
      <c r="BM90" s="13">
        <f>IF(ISBLANK('Paste Full'!BW90),"",'Paste Full'!BW90)</f>
        <v/>
      </c>
    </row>
    <row r="91">
      <c r="A91">
        <f>IF(ISBLANK('Paste Full'!C91),"",'Paste Full'!C91)</f>
        <v/>
      </c>
      <c r="B91">
        <f>INDEX($J$1:$R$1, MATCH(MAX($J91:$R91), $J91:$R91, 0))</f>
        <v/>
      </c>
      <c r="C91" s="45">
        <f>IF(ISBLANK('Paste Full'!H91),"",'Paste Full'!H91)</f>
        <v/>
      </c>
      <c r="D91" s="45">
        <f>IF(ISBLANK('Paste Full'!F91),"",'Paste Full'!F91)</f>
        <v/>
      </c>
      <c r="E91" s="45">
        <f>IF(ISBLANK('Paste Full'!G91),"",'Paste Full'!G91)</f>
        <v/>
      </c>
      <c r="F91" s="21">
        <f>IF(ISBLANK('Paste Full'!E91),"",'Paste Full'!E91)</f>
        <v/>
      </c>
      <c r="G91">
        <f>IF(ISBLANK('Paste Full'!CI91),"",'Paste Full'!CI91)</f>
        <v/>
      </c>
      <c r="H91" s="21">
        <f>IF(ISBLANK('Paste Full'!J91),"",'Paste Full'!J91)</f>
        <v/>
      </c>
      <c r="I91" s="21">
        <f>IF(ISBLANK('Paste Full'!D91),"",'Paste Full'!D91)</f>
        <v/>
      </c>
      <c r="J91" s="14">
        <f>AVERAGE(SUMPRODUCT($S91:$BM91,AttWeights!$C$10:$AW$10)/SUM(AttWeights!$C$10:$AW$10),SUMPRODUCT($S91:$BM91,AttWeights!$C$17:$AW$17)/SUM(AttWeights!$C$17:$AW$17))*10</f>
        <v/>
      </c>
      <c r="K91" s="14">
        <f>AVERAGE(SUMPRODUCT($S91:$BM91,AttWeights!$C$7:$AW$7)/SUM(AttWeights!$C$7:$AW$7),SUMPRODUCT($S91:$BM91,AttWeights!$C$15:$AW$15)/SUM(AttWeights!$C$15:$AW$15))*10</f>
        <v/>
      </c>
      <c r="L91" s="14">
        <f>AVERAGE(SUMPRODUCT($S91:$BM91,AttWeights!$C$8:$AW$8)/SUM(AttWeights!$C$8:$AW$8),SUMPRODUCT($S91:$BM91,AttWeights!$C$16:$AW$16)/SUM(AttWeights!$C$16:$AW$16))*10</f>
        <v/>
      </c>
      <c r="M91" s="14">
        <f>AVERAGE(SUMPRODUCT($S91:$BM91,AttWeights!$C$9:$AW$9)/SUM(AttWeights!$C$9:$AW$9),SUMPRODUCT($S91:$BM91,AttWeights!$C$15:$AW$15)/SUM(AttWeights!$C$15:$AW$15))*10</f>
        <v/>
      </c>
      <c r="N91" s="14">
        <f>AVERAGE(SUMPRODUCT($S91:$BM91,AttWeights!$C$6:$AW$6)/SUM(AttWeights!$C$6:$AW$6),SUMPRODUCT($S91:$BM91,AttWeights!$C$14:$AW$14)/SUM(AttWeights!$C$14:$AW$14))*10</f>
        <v/>
      </c>
      <c r="O91" s="14">
        <f>AVERAGE(SUMPRODUCT($S91:$BM91,AttWeights!$C$5:$AW$5)/SUM(AttWeights!$C$5:$AW$5),SUMPRODUCT($S91:$BM91,AttWeights!$C$14:$AW$14)/SUM(AttWeights!$C$14:$AW$14))*10</f>
        <v/>
      </c>
      <c r="P91" s="14">
        <f>AVERAGE(SUMPRODUCT($S91:$BM91,AttWeights!$C$4:$AW$4)/SUM(AttWeights!$C$4:$AW$4),SUMPRODUCT($S91:$BM91,AttWeights!$C$13:$AW$13)/SUM(AttWeights!$C$13:$AW$13))*10</f>
        <v/>
      </c>
      <c r="Q91" s="14">
        <f>AVERAGE(SUMPRODUCT($S91:$BM91,AttWeights!$C$3:$AW$3)/SUM(AttWeights!$C$3:$AW$3),SUMPRODUCT($S91:$BM91,AttWeights!$C$12:$AW$12)/SUM(AttWeights!$C$12:$AW$12))*10</f>
        <v/>
      </c>
      <c r="R91" s="14">
        <f>AVERAGE(SUMPRODUCT($S91:$BM91,AttWeights!$C$2:$AW$2)/SUM(AttWeights!$C$2:$AW$2),SUMPRODUCT($S91:$BM91,AttWeights!$C$11:$AW$11)/SUM(AttWeights!$C$11:$AW$11))*10</f>
        <v/>
      </c>
      <c r="S91" s="3">
        <f>IF(ISBLANK('Paste Full'!AC91),"",'Paste Full'!AC91)</f>
        <v/>
      </c>
      <c r="T91" s="3">
        <f>IF(ISBLANK('Paste Full'!AD91),"",'Paste Full'!AD91)</f>
        <v/>
      </c>
      <c r="U91" s="3">
        <f>IF(ISBLANK('Paste Full'!AE91),"",'Paste Full'!AE91)</f>
        <v/>
      </c>
      <c r="V91" s="3">
        <f>IF(ISBLANK('Paste Full'!AF91),"",'Paste Full'!AF91)</f>
        <v/>
      </c>
      <c r="W91" s="3">
        <f>IF(ISBLANK('Paste Full'!AH91),"",'Paste Full'!AH91)</f>
        <v/>
      </c>
      <c r="X91" s="3">
        <f>IF(ISBLANK('Paste Full'!AI91),"",'Paste Full'!AI91)</f>
        <v/>
      </c>
      <c r="Y91" s="3">
        <f>IF(ISBLANK('Paste Full'!AK91),"",'Paste Full'!AK91)</f>
        <v/>
      </c>
      <c r="Z91" s="3">
        <f>IF(ISBLANK('Paste Full'!AL91),"",'Paste Full'!AL91)</f>
        <v/>
      </c>
      <c r="AA91" s="4">
        <f>IF(ISBLANK('Paste Full'!AM91),"",'Paste Full'!AM91)</f>
        <v/>
      </c>
      <c r="AB91" s="4">
        <f>IF(ISBLANK('Paste Full'!AN91),"",'Paste Full'!AN91)</f>
        <v/>
      </c>
      <c r="AC91" s="4">
        <f>IF(ISBLANK('Paste Full'!AO91),"",'Paste Full'!AO91)</f>
        <v/>
      </c>
      <c r="AD91" s="4">
        <f>IF(ISBLANK('Paste Full'!AP91),"",'Paste Full'!AP91)</f>
        <v/>
      </c>
      <c r="AE91" s="4">
        <f>IF(ISBLANK('Paste Full'!AQ91),"",'Paste Full'!AQ91)</f>
        <v/>
      </c>
      <c r="AF91" s="4">
        <f>IF(ISBLANK('Paste Full'!AR91),"",'Paste Full'!AR91)</f>
        <v/>
      </c>
      <c r="AG91" s="4">
        <f>IF(ISBLANK('Paste Full'!AS91),"",'Paste Full'!AS91)</f>
        <v/>
      </c>
      <c r="AH91" s="4">
        <f>IF(ISBLANK('Paste Full'!AV91),"",'Paste Full'!AV91)</f>
        <v/>
      </c>
      <c r="AI91" s="4">
        <f>IF(ISBLANK('Paste Full'!AT91),"",'Paste Full'!AT91)</f>
        <v/>
      </c>
      <c r="AJ91" s="4">
        <f>IF(ISBLANK('Paste Full'!AU91),"",'Paste Full'!AU91)</f>
        <v/>
      </c>
      <c r="AK91" s="4">
        <f>IF(ISBLANK('Paste Full'!AW91),"",'Paste Full'!AW91)</f>
        <v/>
      </c>
      <c r="AL91" s="5">
        <f>IF(ISBLANK('Paste Full'!AX91),"",'Paste Full'!AX91)</f>
        <v/>
      </c>
      <c r="AM91" s="5">
        <f>IF(ISBLANK('Paste Full'!AY91),"",'Paste Full'!AY91)</f>
        <v/>
      </c>
      <c r="AN91" s="5">
        <f>IF(ISBLANK('Paste Full'!AZ91),"",'Paste Full'!AZ91)</f>
        <v/>
      </c>
      <c r="AO91" s="5">
        <f>IF(ISBLANK('Paste Full'!BA91),"",'Paste Full'!BA91)</f>
        <v/>
      </c>
      <c r="AP91" s="5">
        <f>IF(ISBLANK('Paste Full'!BB91),"",'Paste Full'!BB91)</f>
        <v/>
      </c>
      <c r="AQ91" s="5">
        <f>IF(ISBLANK('Paste Full'!BC91),"",'Paste Full'!BC91)</f>
        <v/>
      </c>
      <c r="AR91" s="5">
        <f>IF(ISBLANK('Paste Full'!BD91),"",'Paste Full'!BD91)</f>
        <v/>
      </c>
      <c r="AS91" s="5">
        <f>IF(ISBLANK('Paste Full'!BE91),"",'Paste Full'!BE91)</f>
        <v/>
      </c>
      <c r="AT91" s="5">
        <f>IF(ISBLANK('Paste Full'!BF91),"",'Paste Full'!BF91)</f>
        <v/>
      </c>
      <c r="AU91" s="5">
        <f>IF(ISBLANK('Paste Full'!BG91),"",'Paste Full'!BG91)</f>
        <v/>
      </c>
      <c r="AV91" s="5">
        <f>IF(ISBLANK('Paste Full'!BH91),"",'Paste Full'!BH91)</f>
        <v/>
      </c>
      <c r="AW91" s="5">
        <f>IF(ISBLANK('Paste Full'!BI91),"",'Paste Full'!BI91)</f>
        <v/>
      </c>
      <c r="AX91" s="5">
        <f>IF(ISBLANK('Paste Full'!BJ91),"",'Paste Full'!BJ91)</f>
        <v/>
      </c>
      <c r="AY91" s="5">
        <f>IF(ISBLANK('Paste Full'!BK91),"",'Paste Full'!BK91)</f>
        <v/>
      </c>
      <c r="AZ91" s="6">
        <f>IF(ISBLANK('Paste Full'!BM91),"",'Paste Full'!BM91)</f>
        <v/>
      </c>
      <c r="BA91" s="6">
        <f>IF(ISBLANK('Paste Full'!BN91),"",'Paste Full'!BN91)</f>
        <v/>
      </c>
      <c r="BB91" s="6">
        <f>IF(ISBLANK('Paste Full'!BO91),"",'Paste Full'!BO91)</f>
        <v/>
      </c>
      <c r="BC91" s="6">
        <f>IF(ISBLANK('Paste Full'!BP91),"",'Paste Full'!BP91)</f>
        <v/>
      </c>
      <c r="BD91" s="6">
        <f>IF(ISBLANK('Paste Full'!BR91),"",'Paste Full'!BR91)</f>
        <v/>
      </c>
      <c r="BE91" s="6">
        <f>IF(ISBLANK('Paste Full'!BS91),"",'Paste Full'!BS91)</f>
        <v/>
      </c>
      <c r="BF91" s="6">
        <f>IF(ISBLANK('Paste Full'!BU91),"",'Paste Full'!BU91)</f>
        <v/>
      </c>
      <c r="BG91" s="6">
        <f>IF(ISBLANK('Paste Full'!BV91),"",'Paste Full'!BV91)</f>
        <v/>
      </c>
      <c r="BH91" s="6">
        <f>IF(ISBLANK('Paste Full'!BX91),"",'Paste Full'!BX91)</f>
        <v/>
      </c>
      <c r="BI91" s="6">
        <f>IF(ISBLANK('Paste Full'!BY91),"",'Paste Full'!BY91)</f>
        <v/>
      </c>
      <c r="BJ91" s="13">
        <f>IF(ISBLANK('Paste Full'!BL91),"",'Paste Full'!BL91)</f>
        <v/>
      </c>
      <c r="BK91" s="13">
        <f>IF(ISBLANK('Paste Full'!BQ91),"",'Paste Full'!BQ91)</f>
        <v/>
      </c>
      <c r="BL91" s="13">
        <f>IF(ISBLANK('Paste Full'!BT91),"",'Paste Full'!BT91)</f>
        <v/>
      </c>
      <c r="BM91" s="13">
        <f>IF(ISBLANK('Paste Full'!BW91),"",'Paste Full'!BW91)</f>
        <v/>
      </c>
    </row>
    <row r="92">
      <c r="A92">
        <f>IF(ISBLANK('Paste Full'!C92),"",'Paste Full'!C92)</f>
        <v/>
      </c>
      <c r="B92">
        <f>INDEX($J$1:$R$1, MATCH(MAX($J92:$R92), $J92:$R92, 0))</f>
        <v/>
      </c>
      <c r="C92" s="45">
        <f>IF(ISBLANK('Paste Full'!H92),"",'Paste Full'!H92)</f>
        <v/>
      </c>
      <c r="D92" s="45">
        <f>IF(ISBLANK('Paste Full'!F92),"",'Paste Full'!F92)</f>
        <v/>
      </c>
      <c r="E92" s="45">
        <f>IF(ISBLANK('Paste Full'!G92),"",'Paste Full'!G92)</f>
        <v/>
      </c>
      <c r="F92" s="21">
        <f>IF(ISBLANK('Paste Full'!E92),"",'Paste Full'!E92)</f>
        <v/>
      </c>
      <c r="G92">
        <f>IF(ISBLANK('Paste Full'!CI92),"",'Paste Full'!CI92)</f>
        <v/>
      </c>
      <c r="H92" s="21">
        <f>IF(ISBLANK('Paste Full'!J92),"",'Paste Full'!J92)</f>
        <v/>
      </c>
      <c r="I92" s="21">
        <f>IF(ISBLANK('Paste Full'!D92),"",'Paste Full'!D92)</f>
        <v/>
      </c>
      <c r="J92" s="14">
        <f>AVERAGE(SUMPRODUCT($S92:$BM92,AttWeights!$C$10:$AW$10)/SUM(AttWeights!$C$10:$AW$10),SUMPRODUCT($S92:$BM92,AttWeights!$C$17:$AW$17)/SUM(AttWeights!$C$17:$AW$17))*10</f>
        <v/>
      </c>
      <c r="K92" s="14">
        <f>AVERAGE(SUMPRODUCT($S92:$BM92,AttWeights!$C$7:$AW$7)/SUM(AttWeights!$C$7:$AW$7),SUMPRODUCT($S92:$BM92,AttWeights!$C$15:$AW$15)/SUM(AttWeights!$C$15:$AW$15))*10</f>
        <v/>
      </c>
      <c r="L92" s="14">
        <f>AVERAGE(SUMPRODUCT($S92:$BM92,AttWeights!$C$8:$AW$8)/SUM(AttWeights!$C$8:$AW$8),SUMPRODUCT($S92:$BM92,AttWeights!$C$16:$AW$16)/SUM(AttWeights!$C$16:$AW$16))*10</f>
        <v/>
      </c>
      <c r="M92" s="14">
        <f>AVERAGE(SUMPRODUCT($S92:$BM92,AttWeights!$C$9:$AW$9)/SUM(AttWeights!$C$9:$AW$9),SUMPRODUCT($S92:$BM92,AttWeights!$C$15:$AW$15)/SUM(AttWeights!$C$15:$AW$15))*10</f>
        <v/>
      </c>
      <c r="N92" s="14">
        <f>AVERAGE(SUMPRODUCT($S92:$BM92,AttWeights!$C$6:$AW$6)/SUM(AttWeights!$C$6:$AW$6),SUMPRODUCT($S92:$BM92,AttWeights!$C$14:$AW$14)/SUM(AttWeights!$C$14:$AW$14))*10</f>
        <v/>
      </c>
      <c r="O92" s="14">
        <f>AVERAGE(SUMPRODUCT($S92:$BM92,AttWeights!$C$5:$AW$5)/SUM(AttWeights!$C$5:$AW$5),SUMPRODUCT($S92:$BM92,AttWeights!$C$14:$AW$14)/SUM(AttWeights!$C$14:$AW$14))*10</f>
        <v/>
      </c>
      <c r="P92" s="14">
        <f>AVERAGE(SUMPRODUCT($S92:$BM92,AttWeights!$C$4:$AW$4)/SUM(AttWeights!$C$4:$AW$4),SUMPRODUCT($S92:$BM92,AttWeights!$C$13:$AW$13)/SUM(AttWeights!$C$13:$AW$13))*10</f>
        <v/>
      </c>
      <c r="Q92" s="14">
        <f>AVERAGE(SUMPRODUCT($S92:$BM92,AttWeights!$C$3:$AW$3)/SUM(AttWeights!$C$3:$AW$3),SUMPRODUCT($S92:$BM92,AttWeights!$C$12:$AW$12)/SUM(AttWeights!$C$12:$AW$12))*10</f>
        <v/>
      </c>
      <c r="R92" s="14">
        <f>AVERAGE(SUMPRODUCT($S92:$BM92,AttWeights!$C$2:$AW$2)/SUM(AttWeights!$C$2:$AW$2),SUMPRODUCT($S92:$BM92,AttWeights!$C$11:$AW$11)/SUM(AttWeights!$C$11:$AW$11))*10</f>
        <v/>
      </c>
      <c r="S92" s="3">
        <f>IF(ISBLANK('Paste Full'!AC92),"",'Paste Full'!AC92)</f>
        <v/>
      </c>
      <c r="T92" s="3">
        <f>IF(ISBLANK('Paste Full'!AD92),"",'Paste Full'!AD92)</f>
        <v/>
      </c>
      <c r="U92" s="3">
        <f>IF(ISBLANK('Paste Full'!AE92),"",'Paste Full'!AE92)</f>
        <v/>
      </c>
      <c r="V92" s="3">
        <f>IF(ISBLANK('Paste Full'!AF92),"",'Paste Full'!AF92)</f>
        <v/>
      </c>
      <c r="W92" s="3">
        <f>IF(ISBLANK('Paste Full'!AH92),"",'Paste Full'!AH92)</f>
        <v/>
      </c>
      <c r="X92" s="3">
        <f>IF(ISBLANK('Paste Full'!AI92),"",'Paste Full'!AI92)</f>
        <v/>
      </c>
      <c r="Y92" s="3">
        <f>IF(ISBLANK('Paste Full'!AK92),"",'Paste Full'!AK92)</f>
        <v/>
      </c>
      <c r="Z92" s="3">
        <f>IF(ISBLANK('Paste Full'!AL92),"",'Paste Full'!AL92)</f>
        <v/>
      </c>
      <c r="AA92" s="4">
        <f>IF(ISBLANK('Paste Full'!AM92),"",'Paste Full'!AM92)</f>
        <v/>
      </c>
      <c r="AB92" s="4">
        <f>IF(ISBLANK('Paste Full'!AN92),"",'Paste Full'!AN92)</f>
        <v/>
      </c>
      <c r="AC92" s="4">
        <f>IF(ISBLANK('Paste Full'!AO92),"",'Paste Full'!AO92)</f>
        <v/>
      </c>
      <c r="AD92" s="4">
        <f>IF(ISBLANK('Paste Full'!AP92),"",'Paste Full'!AP92)</f>
        <v/>
      </c>
      <c r="AE92" s="4">
        <f>IF(ISBLANK('Paste Full'!AQ92),"",'Paste Full'!AQ92)</f>
        <v/>
      </c>
      <c r="AF92" s="4">
        <f>IF(ISBLANK('Paste Full'!AR92),"",'Paste Full'!AR92)</f>
        <v/>
      </c>
      <c r="AG92" s="4">
        <f>IF(ISBLANK('Paste Full'!AS92),"",'Paste Full'!AS92)</f>
        <v/>
      </c>
      <c r="AH92" s="4">
        <f>IF(ISBLANK('Paste Full'!AV92),"",'Paste Full'!AV92)</f>
        <v/>
      </c>
      <c r="AI92" s="4">
        <f>IF(ISBLANK('Paste Full'!AT92),"",'Paste Full'!AT92)</f>
        <v/>
      </c>
      <c r="AJ92" s="4">
        <f>IF(ISBLANK('Paste Full'!AU92),"",'Paste Full'!AU92)</f>
        <v/>
      </c>
      <c r="AK92" s="4">
        <f>IF(ISBLANK('Paste Full'!AW92),"",'Paste Full'!AW92)</f>
        <v/>
      </c>
      <c r="AL92" s="5">
        <f>IF(ISBLANK('Paste Full'!AX92),"",'Paste Full'!AX92)</f>
        <v/>
      </c>
      <c r="AM92" s="5">
        <f>IF(ISBLANK('Paste Full'!AY92),"",'Paste Full'!AY92)</f>
        <v/>
      </c>
      <c r="AN92" s="5">
        <f>IF(ISBLANK('Paste Full'!AZ92),"",'Paste Full'!AZ92)</f>
        <v/>
      </c>
      <c r="AO92" s="5">
        <f>IF(ISBLANK('Paste Full'!BA92),"",'Paste Full'!BA92)</f>
        <v/>
      </c>
      <c r="AP92" s="5">
        <f>IF(ISBLANK('Paste Full'!BB92),"",'Paste Full'!BB92)</f>
        <v/>
      </c>
      <c r="AQ92" s="5">
        <f>IF(ISBLANK('Paste Full'!BC92),"",'Paste Full'!BC92)</f>
        <v/>
      </c>
      <c r="AR92" s="5">
        <f>IF(ISBLANK('Paste Full'!BD92),"",'Paste Full'!BD92)</f>
        <v/>
      </c>
      <c r="AS92" s="5">
        <f>IF(ISBLANK('Paste Full'!BE92),"",'Paste Full'!BE92)</f>
        <v/>
      </c>
      <c r="AT92" s="5">
        <f>IF(ISBLANK('Paste Full'!BF92),"",'Paste Full'!BF92)</f>
        <v/>
      </c>
      <c r="AU92" s="5">
        <f>IF(ISBLANK('Paste Full'!BG92),"",'Paste Full'!BG92)</f>
        <v/>
      </c>
      <c r="AV92" s="5">
        <f>IF(ISBLANK('Paste Full'!BH92),"",'Paste Full'!BH92)</f>
        <v/>
      </c>
      <c r="AW92" s="5">
        <f>IF(ISBLANK('Paste Full'!BI92),"",'Paste Full'!BI92)</f>
        <v/>
      </c>
      <c r="AX92" s="5">
        <f>IF(ISBLANK('Paste Full'!BJ92),"",'Paste Full'!BJ92)</f>
        <v/>
      </c>
      <c r="AY92" s="5">
        <f>IF(ISBLANK('Paste Full'!BK92),"",'Paste Full'!BK92)</f>
        <v/>
      </c>
      <c r="AZ92" s="6">
        <f>IF(ISBLANK('Paste Full'!BM92),"",'Paste Full'!BM92)</f>
        <v/>
      </c>
      <c r="BA92" s="6">
        <f>IF(ISBLANK('Paste Full'!BN92),"",'Paste Full'!BN92)</f>
        <v/>
      </c>
      <c r="BB92" s="6">
        <f>IF(ISBLANK('Paste Full'!BO92),"",'Paste Full'!BO92)</f>
        <v/>
      </c>
      <c r="BC92" s="6">
        <f>IF(ISBLANK('Paste Full'!BP92),"",'Paste Full'!BP92)</f>
        <v/>
      </c>
      <c r="BD92" s="6">
        <f>IF(ISBLANK('Paste Full'!BR92),"",'Paste Full'!BR92)</f>
        <v/>
      </c>
      <c r="BE92" s="6">
        <f>IF(ISBLANK('Paste Full'!BS92),"",'Paste Full'!BS92)</f>
        <v/>
      </c>
      <c r="BF92" s="6">
        <f>IF(ISBLANK('Paste Full'!BU92),"",'Paste Full'!BU92)</f>
        <v/>
      </c>
      <c r="BG92" s="6">
        <f>IF(ISBLANK('Paste Full'!BV92),"",'Paste Full'!BV92)</f>
        <v/>
      </c>
      <c r="BH92" s="6">
        <f>IF(ISBLANK('Paste Full'!BX92),"",'Paste Full'!BX92)</f>
        <v/>
      </c>
      <c r="BI92" s="6">
        <f>IF(ISBLANK('Paste Full'!BY92),"",'Paste Full'!BY92)</f>
        <v/>
      </c>
      <c r="BJ92" s="13">
        <f>IF(ISBLANK('Paste Full'!BL92),"",'Paste Full'!BL92)</f>
        <v/>
      </c>
      <c r="BK92" s="13">
        <f>IF(ISBLANK('Paste Full'!BQ92),"",'Paste Full'!BQ92)</f>
        <v/>
      </c>
      <c r="BL92" s="13">
        <f>IF(ISBLANK('Paste Full'!BT92),"",'Paste Full'!BT92)</f>
        <v/>
      </c>
      <c r="BM92" s="13">
        <f>IF(ISBLANK('Paste Full'!BW92),"",'Paste Full'!BW92)</f>
        <v/>
      </c>
    </row>
    <row r="93">
      <c r="A93">
        <f>IF(ISBLANK('Paste Full'!C93),"",'Paste Full'!C93)</f>
        <v/>
      </c>
      <c r="B93">
        <f>INDEX($J$1:$R$1, MATCH(MAX($J93:$R93), $J93:$R93, 0))</f>
        <v/>
      </c>
      <c r="C93" s="45">
        <f>IF(ISBLANK('Paste Full'!H93),"",'Paste Full'!H93)</f>
        <v/>
      </c>
      <c r="D93" s="45">
        <f>IF(ISBLANK('Paste Full'!F93),"",'Paste Full'!F93)</f>
        <v/>
      </c>
      <c r="E93" s="45">
        <f>IF(ISBLANK('Paste Full'!G93),"",'Paste Full'!G93)</f>
        <v/>
      </c>
      <c r="F93" s="21">
        <f>IF(ISBLANK('Paste Full'!E93),"",'Paste Full'!E93)</f>
        <v/>
      </c>
      <c r="G93">
        <f>IF(ISBLANK('Paste Full'!CI93),"",'Paste Full'!CI93)</f>
        <v/>
      </c>
      <c r="H93" s="21">
        <f>IF(ISBLANK('Paste Full'!J93),"",'Paste Full'!J93)</f>
        <v/>
      </c>
      <c r="I93" s="21">
        <f>IF(ISBLANK('Paste Full'!D93),"",'Paste Full'!D93)</f>
        <v/>
      </c>
      <c r="J93" s="14">
        <f>AVERAGE(SUMPRODUCT($S93:$BM93,AttWeights!$C$10:$AW$10)/SUM(AttWeights!$C$10:$AW$10),SUMPRODUCT($S93:$BM93,AttWeights!$C$17:$AW$17)/SUM(AttWeights!$C$17:$AW$17))*10</f>
        <v/>
      </c>
      <c r="K93" s="14">
        <f>AVERAGE(SUMPRODUCT($S93:$BM93,AttWeights!$C$7:$AW$7)/SUM(AttWeights!$C$7:$AW$7),SUMPRODUCT($S93:$BM93,AttWeights!$C$15:$AW$15)/SUM(AttWeights!$C$15:$AW$15))*10</f>
        <v/>
      </c>
      <c r="L93" s="14">
        <f>AVERAGE(SUMPRODUCT($S93:$BM93,AttWeights!$C$8:$AW$8)/SUM(AttWeights!$C$8:$AW$8),SUMPRODUCT($S93:$BM93,AttWeights!$C$16:$AW$16)/SUM(AttWeights!$C$16:$AW$16))*10</f>
        <v/>
      </c>
      <c r="M93" s="14">
        <f>AVERAGE(SUMPRODUCT($S93:$BM93,AttWeights!$C$9:$AW$9)/SUM(AttWeights!$C$9:$AW$9),SUMPRODUCT($S93:$BM93,AttWeights!$C$15:$AW$15)/SUM(AttWeights!$C$15:$AW$15))*10</f>
        <v/>
      </c>
      <c r="N93" s="14">
        <f>AVERAGE(SUMPRODUCT($S93:$BM93,AttWeights!$C$6:$AW$6)/SUM(AttWeights!$C$6:$AW$6),SUMPRODUCT($S93:$BM93,AttWeights!$C$14:$AW$14)/SUM(AttWeights!$C$14:$AW$14))*10</f>
        <v/>
      </c>
      <c r="O93" s="14">
        <f>AVERAGE(SUMPRODUCT($S93:$BM93,AttWeights!$C$5:$AW$5)/SUM(AttWeights!$C$5:$AW$5),SUMPRODUCT($S93:$BM93,AttWeights!$C$14:$AW$14)/SUM(AttWeights!$C$14:$AW$14))*10</f>
        <v/>
      </c>
      <c r="P93" s="14">
        <f>AVERAGE(SUMPRODUCT($S93:$BM93,AttWeights!$C$4:$AW$4)/SUM(AttWeights!$C$4:$AW$4),SUMPRODUCT($S93:$BM93,AttWeights!$C$13:$AW$13)/SUM(AttWeights!$C$13:$AW$13))*10</f>
        <v/>
      </c>
      <c r="Q93" s="14">
        <f>AVERAGE(SUMPRODUCT($S93:$BM93,AttWeights!$C$3:$AW$3)/SUM(AttWeights!$C$3:$AW$3),SUMPRODUCT($S93:$BM93,AttWeights!$C$12:$AW$12)/SUM(AttWeights!$C$12:$AW$12))*10</f>
        <v/>
      </c>
      <c r="R93" s="14">
        <f>AVERAGE(SUMPRODUCT($S93:$BM93,AttWeights!$C$2:$AW$2)/SUM(AttWeights!$C$2:$AW$2),SUMPRODUCT($S93:$BM93,AttWeights!$C$11:$AW$11)/SUM(AttWeights!$C$11:$AW$11))*10</f>
        <v/>
      </c>
      <c r="S93" s="3">
        <f>IF(ISBLANK('Paste Full'!AC93),"",'Paste Full'!AC93)</f>
        <v/>
      </c>
      <c r="T93" s="3">
        <f>IF(ISBLANK('Paste Full'!AD93),"",'Paste Full'!AD93)</f>
        <v/>
      </c>
      <c r="U93" s="3">
        <f>IF(ISBLANK('Paste Full'!AE93),"",'Paste Full'!AE93)</f>
        <v/>
      </c>
      <c r="V93" s="3">
        <f>IF(ISBLANK('Paste Full'!AF93),"",'Paste Full'!AF93)</f>
        <v/>
      </c>
      <c r="W93" s="3">
        <f>IF(ISBLANK('Paste Full'!AH93),"",'Paste Full'!AH93)</f>
        <v/>
      </c>
      <c r="X93" s="3">
        <f>IF(ISBLANK('Paste Full'!AI93),"",'Paste Full'!AI93)</f>
        <v/>
      </c>
      <c r="Y93" s="3">
        <f>IF(ISBLANK('Paste Full'!AK93),"",'Paste Full'!AK93)</f>
        <v/>
      </c>
      <c r="Z93" s="3">
        <f>IF(ISBLANK('Paste Full'!AL93),"",'Paste Full'!AL93)</f>
        <v/>
      </c>
      <c r="AA93" s="4">
        <f>IF(ISBLANK('Paste Full'!AM93),"",'Paste Full'!AM93)</f>
        <v/>
      </c>
      <c r="AB93" s="4">
        <f>IF(ISBLANK('Paste Full'!AN93),"",'Paste Full'!AN93)</f>
        <v/>
      </c>
      <c r="AC93" s="4">
        <f>IF(ISBLANK('Paste Full'!AO93),"",'Paste Full'!AO93)</f>
        <v/>
      </c>
      <c r="AD93" s="4">
        <f>IF(ISBLANK('Paste Full'!AP93),"",'Paste Full'!AP93)</f>
        <v/>
      </c>
      <c r="AE93" s="4">
        <f>IF(ISBLANK('Paste Full'!AQ93),"",'Paste Full'!AQ93)</f>
        <v/>
      </c>
      <c r="AF93" s="4">
        <f>IF(ISBLANK('Paste Full'!AR93),"",'Paste Full'!AR93)</f>
        <v/>
      </c>
      <c r="AG93" s="4">
        <f>IF(ISBLANK('Paste Full'!AS93),"",'Paste Full'!AS93)</f>
        <v/>
      </c>
      <c r="AH93" s="4">
        <f>IF(ISBLANK('Paste Full'!AV93),"",'Paste Full'!AV93)</f>
        <v/>
      </c>
      <c r="AI93" s="4">
        <f>IF(ISBLANK('Paste Full'!AT93),"",'Paste Full'!AT93)</f>
        <v/>
      </c>
      <c r="AJ93" s="4">
        <f>IF(ISBLANK('Paste Full'!AU93),"",'Paste Full'!AU93)</f>
        <v/>
      </c>
      <c r="AK93" s="4">
        <f>IF(ISBLANK('Paste Full'!AW93),"",'Paste Full'!AW93)</f>
        <v/>
      </c>
      <c r="AL93" s="5">
        <f>IF(ISBLANK('Paste Full'!AX93),"",'Paste Full'!AX93)</f>
        <v/>
      </c>
      <c r="AM93" s="5">
        <f>IF(ISBLANK('Paste Full'!AY93),"",'Paste Full'!AY93)</f>
        <v/>
      </c>
      <c r="AN93" s="5">
        <f>IF(ISBLANK('Paste Full'!AZ93),"",'Paste Full'!AZ93)</f>
        <v/>
      </c>
      <c r="AO93" s="5">
        <f>IF(ISBLANK('Paste Full'!BA93),"",'Paste Full'!BA93)</f>
        <v/>
      </c>
      <c r="AP93" s="5">
        <f>IF(ISBLANK('Paste Full'!BB93),"",'Paste Full'!BB93)</f>
        <v/>
      </c>
      <c r="AQ93" s="5">
        <f>IF(ISBLANK('Paste Full'!BC93),"",'Paste Full'!BC93)</f>
        <v/>
      </c>
      <c r="AR93" s="5">
        <f>IF(ISBLANK('Paste Full'!BD93),"",'Paste Full'!BD93)</f>
        <v/>
      </c>
      <c r="AS93" s="5">
        <f>IF(ISBLANK('Paste Full'!BE93),"",'Paste Full'!BE93)</f>
        <v/>
      </c>
      <c r="AT93" s="5">
        <f>IF(ISBLANK('Paste Full'!BF93),"",'Paste Full'!BF93)</f>
        <v/>
      </c>
      <c r="AU93" s="5">
        <f>IF(ISBLANK('Paste Full'!BG93),"",'Paste Full'!BG93)</f>
        <v/>
      </c>
      <c r="AV93" s="5">
        <f>IF(ISBLANK('Paste Full'!BH93),"",'Paste Full'!BH93)</f>
        <v/>
      </c>
      <c r="AW93" s="5">
        <f>IF(ISBLANK('Paste Full'!BI93),"",'Paste Full'!BI93)</f>
        <v/>
      </c>
      <c r="AX93" s="5">
        <f>IF(ISBLANK('Paste Full'!BJ93),"",'Paste Full'!BJ93)</f>
        <v/>
      </c>
      <c r="AY93" s="5">
        <f>IF(ISBLANK('Paste Full'!BK93),"",'Paste Full'!BK93)</f>
        <v/>
      </c>
      <c r="AZ93" s="6">
        <f>IF(ISBLANK('Paste Full'!BM93),"",'Paste Full'!BM93)</f>
        <v/>
      </c>
      <c r="BA93" s="6">
        <f>IF(ISBLANK('Paste Full'!BN93),"",'Paste Full'!BN93)</f>
        <v/>
      </c>
      <c r="BB93" s="6">
        <f>IF(ISBLANK('Paste Full'!BO93),"",'Paste Full'!BO93)</f>
        <v/>
      </c>
      <c r="BC93" s="6">
        <f>IF(ISBLANK('Paste Full'!BP93),"",'Paste Full'!BP93)</f>
        <v/>
      </c>
      <c r="BD93" s="6">
        <f>IF(ISBLANK('Paste Full'!BR93),"",'Paste Full'!BR93)</f>
        <v/>
      </c>
      <c r="BE93" s="6">
        <f>IF(ISBLANK('Paste Full'!BS93),"",'Paste Full'!BS93)</f>
        <v/>
      </c>
      <c r="BF93" s="6">
        <f>IF(ISBLANK('Paste Full'!BU93),"",'Paste Full'!BU93)</f>
        <v/>
      </c>
      <c r="BG93" s="6">
        <f>IF(ISBLANK('Paste Full'!BV93),"",'Paste Full'!BV93)</f>
        <v/>
      </c>
      <c r="BH93" s="6">
        <f>IF(ISBLANK('Paste Full'!BX93),"",'Paste Full'!BX93)</f>
        <v/>
      </c>
      <c r="BI93" s="6">
        <f>IF(ISBLANK('Paste Full'!BY93),"",'Paste Full'!BY93)</f>
        <v/>
      </c>
      <c r="BJ93" s="13">
        <f>IF(ISBLANK('Paste Full'!BL93),"",'Paste Full'!BL93)</f>
        <v/>
      </c>
      <c r="BK93" s="13">
        <f>IF(ISBLANK('Paste Full'!BQ93),"",'Paste Full'!BQ93)</f>
        <v/>
      </c>
      <c r="BL93" s="13">
        <f>IF(ISBLANK('Paste Full'!BT93),"",'Paste Full'!BT93)</f>
        <v/>
      </c>
      <c r="BM93" s="13">
        <f>IF(ISBLANK('Paste Full'!BW93),"",'Paste Full'!BW93)</f>
        <v/>
      </c>
    </row>
    <row r="94">
      <c r="A94">
        <f>IF(ISBLANK('Paste Full'!C94),"",'Paste Full'!C94)</f>
        <v/>
      </c>
      <c r="B94">
        <f>INDEX($J$1:$R$1, MATCH(MAX($J94:$R94), $J94:$R94, 0))</f>
        <v/>
      </c>
      <c r="C94" s="45">
        <f>IF(ISBLANK('Paste Full'!H94),"",'Paste Full'!H94)</f>
        <v/>
      </c>
      <c r="D94" s="45">
        <f>IF(ISBLANK('Paste Full'!F94),"",'Paste Full'!F94)</f>
        <v/>
      </c>
      <c r="E94" s="45">
        <f>IF(ISBLANK('Paste Full'!G94),"",'Paste Full'!G94)</f>
        <v/>
      </c>
      <c r="F94" s="21">
        <f>IF(ISBLANK('Paste Full'!E94),"",'Paste Full'!E94)</f>
        <v/>
      </c>
      <c r="G94">
        <f>IF(ISBLANK('Paste Full'!CI94),"",'Paste Full'!CI94)</f>
        <v/>
      </c>
      <c r="H94" s="21">
        <f>IF(ISBLANK('Paste Full'!J94),"",'Paste Full'!J94)</f>
        <v/>
      </c>
      <c r="I94" s="21">
        <f>IF(ISBLANK('Paste Full'!D94),"",'Paste Full'!D94)</f>
        <v/>
      </c>
      <c r="J94" s="14">
        <f>AVERAGE(SUMPRODUCT($S94:$BM94,AttWeights!$C$10:$AW$10)/SUM(AttWeights!$C$10:$AW$10),SUMPRODUCT($S94:$BM94,AttWeights!$C$17:$AW$17)/SUM(AttWeights!$C$17:$AW$17))*10</f>
        <v/>
      </c>
      <c r="K94" s="14">
        <f>AVERAGE(SUMPRODUCT($S94:$BM94,AttWeights!$C$7:$AW$7)/SUM(AttWeights!$C$7:$AW$7),SUMPRODUCT($S94:$BM94,AttWeights!$C$15:$AW$15)/SUM(AttWeights!$C$15:$AW$15))*10</f>
        <v/>
      </c>
      <c r="L94" s="14">
        <f>AVERAGE(SUMPRODUCT($S94:$BM94,AttWeights!$C$8:$AW$8)/SUM(AttWeights!$C$8:$AW$8),SUMPRODUCT($S94:$BM94,AttWeights!$C$16:$AW$16)/SUM(AttWeights!$C$16:$AW$16))*10</f>
        <v/>
      </c>
      <c r="M94" s="14">
        <f>AVERAGE(SUMPRODUCT($S94:$BM94,AttWeights!$C$9:$AW$9)/SUM(AttWeights!$C$9:$AW$9),SUMPRODUCT($S94:$BM94,AttWeights!$C$15:$AW$15)/SUM(AttWeights!$C$15:$AW$15))*10</f>
        <v/>
      </c>
      <c r="N94" s="14">
        <f>AVERAGE(SUMPRODUCT($S94:$BM94,AttWeights!$C$6:$AW$6)/SUM(AttWeights!$C$6:$AW$6),SUMPRODUCT($S94:$BM94,AttWeights!$C$14:$AW$14)/SUM(AttWeights!$C$14:$AW$14))*10</f>
        <v/>
      </c>
      <c r="O94" s="14">
        <f>AVERAGE(SUMPRODUCT($S94:$BM94,AttWeights!$C$5:$AW$5)/SUM(AttWeights!$C$5:$AW$5),SUMPRODUCT($S94:$BM94,AttWeights!$C$14:$AW$14)/SUM(AttWeights!$C$14:$AW$14))*10</f>
        <v/>
      </c>
      <c r="P94" s="14">
        <f>AVERAGE(SUMPRODUCT($S94:$BM94,AttWeights!$C$4:$AW$4)/SUM(AttWeights!$C$4:$AW$4),SUMPRODUCT($S94:$BM94,AttWeights!$C$13:$AW$13)/SUM(AttWeights!$C$13:$AW$13))*10</f>
        <v/>
      </c>
      <c r="Q94" s="14">
        <f>AVERAGE(SUMPRODUCT($S94:$BM94,AttWeights!$C$3:$AW$3)/SUM(AttWeights!$C$3:$AW$3),SUMPRODUCT($S94:$BM94,AttWeights!$C$12:$AW$12)/SUM(AttWeights!$C$12:$AW$12))*10</f>
        <v/>
      </c>
      <c r="R94" s="14">
        <f>AVERAGE(SUMPRODUCT($S94:$BM94,AttWeights!$C$2:$AW$2)/SUM(AttWeights!$C$2:$AW$2),SUMPRODUCT($S94:$BM94,AttWeights!$C$11:$AW$11)/SUM(AttWeights!$C$11:$AW$11))*10</f>
        <v/>
      </c>
      <c r="S94" s="3">
        <f>IF(ISBLANK('Paste Full'!AC94),"",'Paste Full'!AC94)</f>
        <v/>
      </c>
      <c r="T94" s="3">
        <f>IF(ISBLANK('Paste Full'!AD94),"",'Paste Full'!AD94)</f>
        <v/>
      </c>
      <c r="U94" s="3">
        <f>IF(ISBLANK('Paste Full'!AE94),"",'Paste Full'!AE94)</f>
        <v/>
      </c>
      <c r="V94" s="3">
        <f>IF(ISBLANK('Paste Full'!AF94),"",'Paste Full'!AF94)</f>
        <v/>
      </c>
      <c r="W94" s="3">
        <f>IF(ISBLANK('Paste Full'!AH94),"",'Paste Full'!AH94)</f>
        <v/>
      </c>
      <c r="X94" s="3">
        <f>IF(ISBLANK('Paste Full'!AI94),"",'Paste Full'!AI94)</f>
        <v/>
      </c>
      <c r="Y94" s="3">
        <f>IF(ISBLANK('Paste Full'!AK94),"",'Paste Full'!AK94)</f>
        <v/>
      </c>
      <c r="Z94" s="3">
        <f>IF(ISBLANK('Paste Full'!AL94),"",'Paste Full'!AL94)</f>
        <v/>
      </c>
      <c r="AA94" s="4">
        <f>IF(ISBLANK('Paste Full'!AM94),"",'Paste Full'!AM94)</f>
        <v/>
      </c>
      <c r="AB94" s="4">
        <f>IF(ISBLANK('Paste Full'!AN94),"",'Paste Full'!AN94)</f>
        <v/>
      </c>
      <c r="AC94" s="4">
        <f>IF(ISBLANK('Paste Full'!AO94),"",'Paste Full'!AO94)</f>
        <v/>
      </c>
      <c r="AD94" s="4">
        <f>IF(ISBLANK('Paste Full'!AP94),"",'Paste Full'!AP94)</f>
        <v/>
      </c>
      <c r="AE94" s="4">
        <f>IF(ISBLANK('Paste Full'!AQ94),"",'Paste Full'!AQ94)</f>
        <v/>
      </c>
      <c r="AF94" s="4">
        <f>IF(ISBLANK('Paste Full'!AR94),"",'Paste Full'!AR94)</f>
        <v/>
      </c>
      <c r="AG94" s="4">
        <f>IF(ISBLANK('Paste Full'!AS94),"",'Paste Full'!AS94)</f>
        <v/>
      </c>
      <c r="AH94" s="4">
        <f>IF(ISBLANK('Paste Full'!AV94),"",'Paste Full'!AV94)</f>
        <v/>
      </c>
      <c r="AI94" s="4">
        <f>IF(ISBLANK('Paste Full'!AT94),"",'Paste Full'!AT94)</f>
        <v/>
      </c>
      <c r="AJ94" s="4">
        <f>IF(ISBLANK('Paste Full'!AU94),"",'Paste Full'!AU94)</f>
        <v/>
      </c>
      <c r="AK94" s="4">
        <f>IF(ISBLANK('Paste Full'!AW94),"",'Paste Full'!AW94)</f>
        <v/>
      </c>
      <c r="AL94" s="5">
        <f>IF(ISBLANK('Paste Full'!AX94),"",'Paste Full'!AX94)</f>
        <v/>
      </c>
      <c r="AM94" s="5">
        <f>IF(ISBLANK('Paste Full'!AY94),"",'Paste Full'!AY94)</f>
        <v/>
      </c>
      <c r="AN94" s="5">
        <f>IF(ISBLANK('Paste Full'!AZ94),"",'Paste Full'!AZ94)</f>
        <v/>
      </c>
      <c r="AO94" s="5">
        <f>IF(ISBLANK('Paste Full'!BA94),"",'Paste Full'!BA94)</f>
        <v/>
      </c>
      <c r="AP94" s="5">
        <f>IF(ISBLANK('Paste Full'!BB94),"",'Paste Full'!BB94)</f>
        <v/>
      </c>
      <c r="AQ94" s="5">
        <f>IF(ISBLANK('Paste Full'!BC94),"",'Paste Full'!BC94)</f>
        <v/>
      </c>
      <c r="AR94" s="5">
        <f>IF(ISBLANK('Paste Full'!BD94),"",'Paste Full'!BD94)</f>
        <v/>
      </c>
      <c r="AS94" s="5">
        <f>IF(ISBLANK('Paste Full'!BE94),"",'Paste Full'!BE94)</f>
        <v/>
      </c>
      <c r="AT94" s="5">
        <f>IF(ISBLANK('Paste Full'!BF94),"",'Paste Full'!BF94)</f>
        <v/>
      </c>
      <c r="AU94" s="5">
        <f>IF(ISBLANK('Paste Full'!BG94),"",'Paste Full'!BG94)</f>
        <v/>
      </c>
      <c r="AV94" s="5">
        <f>IF(ISBLANK('Paste Full'!BH94),"",'Paste Full'!BH94)</f>
        <v/>
      </c>
      <c r="AW94" s="5">
        <f>IF(ISBLANK('Paste Full'!BI94),"",'Paste Full'!BI94)</f>
        <v/>
      </c>
      <c r="AX94" s="5">
        <f>IF(ISBLANK('Paste Full'!BJ94),"",'Paste Full'!BJ94)</f>
        <v/>
      </c>
      <c r="AY94" s="5">
        <f>IF(ISBLANK('Paste Full'!BK94),"",'Paste Full'!BK94)</f>
        <v/>
      </c>
      <c r="AZ94" s="6">
        <f>IF(ISBLANK('Paste Full'!BM94),"",'Paste Full'!BM94)</f>
        <v/>
      </c>
      <c r="BA94" s="6">
        <f>IF(ISBLANK('Paste Full'!BN94),"",'Paste Full'!BN94)</f>
        <v/>
      </c>
      <c r="BB94" s="6">
        <f>IF(ISBLANK('Paste Full'!BO94),"",'Paste Full'!BO94)</f>
        <v/>
      </c>
      <c r="BC94" s="6">
        <f>IF(ISBLANK('Paste Full'!BP94),"",'Paste Full'!BP94)</f>
        <v/>
      </c>
      <c r="BD94" s="6">
        <f>IF(ISBLANK('Paste Full'!BR94),"",'Paste Full'!BR94)</f>
        <v/>
      </c>
      <c r="BE94" s="6">
        <f>IF(ISBLANK('Paste Full'!BS94),"",'Paste Full'!BS94)</f>
        <v/>
      </c>
      <c r="BF94" s="6">
        <f>IF(ISBLANK('Paste Full'!BU94),"",'Paste Full'!BU94)</f>
        <v/>
      </c>
      <c r="BG94" s="6">
        <f>IF(ISBLANK('Paste Full'!BV94),"",'Paste Full'!BV94)</f>
        <v/>
      </c>
      <c r="BH94" s="6">
        <f>IF(ISBLANK('Paste Full'!BX94),"",'Paste Full'!BX94)</f>
        <v/>
      </c>
      <c r="BI94" s="6">
        <f>IF(ISBLANK('Paste Full'!BY94),"",'Paste Full'!BY94)</f>
        <v/>
      </c>
      <c r="BJ94" s="13">
        <f>IF(ISBLANK('Paste Full'!BL94),"",'Paste Full'!BL94)</f>
        <v/>
      </c>
      <c r="BK94" s="13">
        <f>IF(ISBLANK('Paste Full'!BQ94),"",'Paste Full'!BQ94)</f>
        <v/>
      </c>
      <c r="BL94" s="13">
        <f>IF(ISBLANK('Paste Full'!BT94),"",'Paste Full'!BT94)</f>
        <v/>
      </c>
      <c r="BM94" s="13">
        <f>IF(ISBLANK('Paste Full'!BW94),"",'Paste Full'!BW94)</f>
        <v/>
      </c>
    </row>
    <row r="95">
      <c r="A95">
        <f>IF(ISBLANK('Paste Full'!C95),"",'Paste Full'!C95)</f>
        <v/>
      </c>
      <c r="B95">
        <f>INDEX($J$1:$R$1, MATCH(MAX($J95:$R95), $J95:$R95, 0))</f>
        <v/>
      </c>
      <c r="C95" s="45">
        <f>IF(ISBLANK('Paste Full'!H95),"",'Paste Full'!H95)</f>
        <v/>
      </c>
      <c r="D95" s="45">
        <f>IF(ISBLANK('Paste Full'!F95),"",'Paste Full'!F95)</f>
        <v/>
      </c>
      <c r="E95" s="45">
        <f>IF(ISBLANK('Paste Full'!G95),"",'Paste Full'!G95)</f>
        <v/>
      </c>
      <c r="F95" s="21">
        <f>IF(ISBLANK('Paste Full'!E95),"",'Paste Full'!E95)</f>
        <v/>
      </c>
      <c r="G95">
        <f>IF(ISBLANK('Paste Full'!CI95),"",'Paste Full'!CI95)</f>
        <v/>
      </c>
      <c r="H95" s="21">
        <f>IF(ISBLANK('Paste Full'!J95),"",'Paste Full'!J95)</f>
        <v/>
      </c>
      <c r="I95" s="21">
        <f>IF(ISBLANK('Paste Full'!D95),"",'Paste Full'!D95)</f>
        <v/>
      </c>
      <c r="J95" s="14">
        <f>AVERAGE(SUMPRODUCT($S95:$BM95,AttWeights!$C$10:$AW$10)/SUM(AttWeights!$C$10:$AW$10),SUMPRODUCT($S95:$BM95,AttWeights!$C$17:$AW$17)/SUM(AttWeights!$C$17:$AW$17))*10</f>
        <v/>
      </c>
      <c r="K95" s="14">
        <f>AVERAGE(SUMPRODUCT($S95:$BM95,AttWeights!$C$7:$AW$7)/SUM(AttWeights!$C$7:$AW$7),SUMPRODUCT($S95:$BM95,AttWeights!$C$15:$AW$15)/SUM(AttWeights!$C$15:$AW$15))*10</f>
        <v/>
      </c>
      <c r="L95" s="14">
        <f>AVERAGE(SUMPRODUCT($S95:$BM95,AttWeights!$C$8:$AW$8)/SUM(AttWeights!$C$8:$AW$8),SUMPRODUCT($S95:$BM95,AttWeights!$C$16:$AW$16)/SUM(AttWeights!$C$16:$AW$16))*10</f>
        <v/>
      </c>
      <c r="M95" s="14">
        <f>AVERAGE(SUMPRODUCT($S95:$BM95,AttWeights!$C$9:$AW$9)/SUM(AttWeights!$C$9:$AW$9),SUMPRODUCT($S95:$BM95,AttWeights!$C$15:$AW$15)/SUM(AttWeights!$C$15:$AW$15))*10</f>
        <v/>
      </c>
      <c r="N95" s="14">
        <f>AVERAGE(SUMPRODUCT($S95:$BM95,AttWeights!$C$6:$AW$6)/SUM(AttWeights!$C$6:$AW$6),SUMPRODUCT($S95:$BM95,AttWeights!$C$14:$AW$14)/SUM(AttWeights!$C$14:$AW$14))*10</f>
        <v/>
      </c>
      <c r="O95" s="14">
        <f>AVERAGE(SUMPRODUCT($S95:$BM95,AttWeights!$C$5:$AW$5)/SUM(AttWeights!$C$5:$AW$5),SUMPRODUCT($S95:$BM95,AttWeights!$C$14:$AW$14)/SUM(AttWeights!$C$14:$AW$14))*10</f>
        <v/>
      </c>
      <c r="P95" s="14">
        <f>AVERAGE(SUMPRODUCT($S95:$BM95,AttWeights!$C$4:$AW$4)/SUM(AttWeights!$C$4:$AW$4),SUMPRODUCT($S95:$BM95,AttWeights!$C$13:$AW$13)/SUM(AttWeights!$C$13:$AW$13))*10</f>
        <v/>
      </c>
      <c r="Q95" s="14">
        <f>AVERAGE(SUMPRODUCT($S95:$BM95,AttWeights!$C$3:$AW$3)/SUM(AttWeights!$C$3:$AW$3),SUMPRODUCT($S95:$BM95,AttWeights!$C$12:$AW$12)/SUM(AttWeights!$C$12:$AW$12))*10</f>
        <v/>
      </c>
      <c r="R95" s="14">
        <f>AVERAGE(SUMPRODUCT($S95:$BM95,AttWeights!$C$2:$AW$2)/SUM(AttWeights!$C$2:$AW$2),SUMPRODUCT($S95:$BM95,AttWeights!$C$11:$AW$11)/SUM(AttWeights!$C$11:$AW$11))*10</f>
        <v/>
      </c>
      <c r="S95" s="3">
        <f>IF(ISBLANK('Paste Full'!AC95),"",'Paste Full'!AC95)</f>
        <v/>
      </c>
      <c r="T95" s="3">
        <f>IF(ISBLANK('Paste Full'!AD95),"",'Paste Full'!AD95)</f>
        <v/>
      </c>
      <c r="U95" s="3">
        <f>IF(ISBLANK('Paste Full'!AE95),"",'Paste Full'!AE95)</f>
        <v/>
      </c>
      <c r="V95" s="3">
        <f>IF(ISBLANK('Paste Full'!AF95),"",'Paste Full'!AF95)</f>
        <v/>
      </c>
      <c r="W95" s="3">
        <f>IF(ISBLANK('Paste Full'!AH95),"",'Paste Full'!AH95)</f>
        <v/>
      </c>
      <c r="X95" s="3">
        <f>IF(ISBLANK('Paste Full'!AI95),"",'Paste Full'!AI95)</f>
        <v/>
      </c>
      <c r="Y95" s="3">
        <f>IF(ISBLANK('Paste Full'!AK95),"",'Paste Full'!AK95)</f>
        <v/>
      </c>
      <c r="Z95" s="3">
        <f>IF(ISBLANK('Paste Full'!AL95),"",'Paste Full'!AL95)</f>
        <v/>
      </c>
      <c r="AA95" s="4">
        <f>IF(ISBLANK('Paste Full'!AM95),"",'Paste Full'!AM95)</f>
        <v/>
      </c>
      <c r="AB95" s="4">
        <f>IF(ISBLANK('Paste Full'!AN95),"",'Paste Full'!AN95)</f>
        <v/>
      </c>
      <c r="AC95" s="4">
        <f>IF(ISBLANK('Paste Full'!AO95),"",'Paste Full'!AO95)</f>
        <v/>
      </c>
      <c r="AD95" s="4">
        <f>IF(ISBLANK('Paste Full'!AP95),"",'Paste Full'!AP95)</f>
        <v/>
      </c>
      <c r="AE95" s="4">
        <f>IF(ISBLANK('Paste Full'!AQ95),"",'Paste Full'!AQ95)</f>
        <v/>
      </c>
      <c r="AF95" s="4">
        <f>IF(ISBLANK('Paste Full'!AR95),"",'Paste Full'!AR95)</f>
        <v/>
      </c>
      <c r="AG95" s="4">
        <f>IF(ISBLANK('Paste Full'!AS95),"",'Paste Full'!AS95)</f>
        <v/>
      </c>
      <c r="AH95" s="4">
        <f>IF(ISBLANK('Paste Full'!AV95),"",'Paste Full'!AV95)</f>
        <v/>
      </c>
      <c r="AI95" s="4">
        <f>IF(ISBLANK('Paste Full'!AT95),"",'Paste Full'!AT95)</f>
        <v/>
      </c>
      <c r="AJ95" s="4">
        <f>IF(ISBLANK('Paste Full'!AU95),"",'Paste Full'!AU95)</f>
        <v/>
      </c>
      <c r="AK95" s="4">
        <f>IF(ISBLANK('Paste Full'!AW95),"",'Paste Full'!AW95)</f>
        <v/>
      </c>
      <c r="AL95" s="5">
        <f>IF(ISBLANK('Paste Full'!AX95),"",'Paste Full'!AX95)</f>
        <v/>
      </c>
      <c r="AM95" s="5">
        <f>IF(ISBLANK('Paste Full'!AY95),"",'Paste Full'!AY95)</f>
        <v/>
      </c>
      <c r="AN95" s="5">
        <f>IF(ISBLANK('Paste Full'!AZ95),"",'Paste Full'!AZ95)</f>
        <v/>
      </c>
      <c r="AO95" s="5">
        <f>IF(ISBLANK('Paste Full'!BA95),"",'Paste Full'!BA95)</f>
        <v/>
      </c>
      <c r="AP95" s="5">
        <f>IF(ISBLANK('Paste Full'!BB95),"",'Paste Full'!BB95)</f>
        <v/>
      </c>
      <c r="AQ95" s="5">
        <f>IF(ISBLANK('Paste Full'!BC95),"",'Paste Full'!BC95)</f>
        <v/>
      </c>
      <c r="AR95" s="5">
        <f>IF(ISBLANK('Paste Full'!BD95),"",'Paste Full'!BD95)</f>
        <v/>
      </c>
      <c r="AS95" s="5">
        <f>IF(ISBLANK('Paste Full'!BE95),"",'Paste Full'!BE95)</f>
        <v/>
      </c>
      <c r="AT95" s="5">
        <f>IF(ISBLANK('Paste Full'!BF95),"",'Paste Full'!BF95)</f>
        <v/>
      </c>
      <c r="AU95" s="5">
        <f>IF(ISBLANK('Paste Full'!BG95),"",'Paste Full'!BG95)</f>
        <v/>
      </c>
      <c r="AV95" s="5">
        <f>IF(ISBLANK('Paste Full'!BH95),"",'Paste Full'!BH95)</f>
        <v/>
      </c>
      <c r="AW95" s="5">
        <f>IF(ISBLANK('Paste Full'!BI95),"",'Paste Full'!BI95)</f>
        <v/>
      </c>
      <c r="AX95" s="5">
        <f>IF(ISBLANK('Paste Full'!BJ95),"",'Paste Full'!BJ95)</f>
        <v/>
      </c>
      <c r="AY95" s="5">
        <f>IF(ISBLANK('Paste Full'!BK95),"",'Paste Full'!BK95)</f>
        <v/>
      </c>
      <c r="AZ95" s="6">
        <f>IF(ISBLANK('Paste Full'!BM95),"",'Paste Full'!BM95)</f>
        <v/>
      </c>
      <c r="BA95" s="6">
        <f>IF(ISBLANK('Paste Full'!BN95),"",'Paste Full'!BN95)</f>
        <v/>
      </c>
      <c r="BB95" s="6">
        <f>IF(ISBLANK('Paste Full'!BO95),"",'Paste Full'!BO95)</f>
        <v/>
      </c>
      <c r="BC95" s="6">
        <f>IF(ISBLANK('Paste Full'!BP95),"",'Paste Full'!BP95)</f>
        <v/>
      </c>
      <c r="BD95" s="6">
        <f>IF(ISBLANK('Paste Full'!BR95),"",'Paste Full'!BR95)</f>
        <v/>
      </c>
      <c r="BE95" s="6">
        <f>IF(ISBLANK('Paste Full'!BS95),"",'Paste Full'!BS95)</f>
        <v/>
      </c>
      <c r="BF95" s="6">
        <f>IF(ISBLANK('Paste Full'!BU95),"",'Paste Full'!BU95)</f>
        <v/>
      </c>
      <c r="BG95" s="6">
        <f>IF(ISBLANK('Paste Full'!BV95),"",'Paste Full'!BV95)</f>
        <v/>
      </c>
      <c r="BH95" s="6">
        <f>IF(ISBLANK('Paste Full'!BX95),"",'Paste Full'!BX95)</f>
        <v/>
      </c>
      <c r="BI95" s="6">
        <f>IF(ISBLANK('Paste Full'!BY95),"",'Paste Full'!BY95)</f>
        <v/>
      </c>
      <c r="BJ95" s="13">
        <f>IF(ISBLANK('Paste Full'!BL95),"",'Paste Full'!BL95)</f>
        <v/>
      </c>
      <c r="BK95" s="13">
        <f>IF(ISBLANK('Paste Full'!BQ95),"",'Paste Full'!BQ95)</f>
        <v/>
      </c>
      <c r="BL95" s="13">
        <f>IF(ISBLANK('Paste Full'!BT95),"",'Paste Full'!BT95)</f>
        <v/>
      </c>
      <c r="BM95" s="13">
        <f>IF(ISBLANK('Paste Full'!BW95),"",'Paste Full'!BW95)</f>
        <v/>
      </c>
    </row>
    <row r="96">
      <c r="A96">
        <f>IF(ISBLANK('Paste Full'!C96),"",'Paste Full'!C96)</f>
        <v/>
      </c>
      <c r="B96">
        <f>INDEX($J$1:$R$1, MATCH(MAX($J96:$R96), $J96:$R96, 0))</f>
        <v/>
      </c>
      <c r="C96" s="45">
        <f>IF(ISBLANK('Paste Full'!H96),"",'Paste Full'!H96)</f>
        <v/>
      </c>
      <c r="D96" s="45">
        <f>IF(ISBLANK('Paste Full'!F96),"",'Paste Full'!F96)</f>
        <v/>
      </c>
      <c r="E96" s="45">
        <f>IF(ISBLANK('Paste Full'!G96),"",'Paste Full'!G96)</f>
        <v/>
      </c>
      <c r="F96" s="21">
        <f>IF(ISBLANK('Paste Full'!E96),"",'Paste Full'!E96)</f>
        <v/>
      </c>
      <c r="G96">
        <f>IF(ISBLANK('Paste Full'!CI96),"",'Paste Full'!CI96)</f>
        <v/>
      </c>
      <c r="H96" s="21">
        <f>IF(ISBLANK('Paste Full'!J96),"",'Paste Full'!J96)</f>
        <v/>
      </c>
      <c r="I96" s="21">
        <f>IF(ISBLANK('Paste Full'!D96),"",'Paste Full'!D96)</f>
        <v/>
      </c>
      <c r="J96" s="14">
        <f>AVERAGE(SUMPRODUCT($S96:$BM96,AttWeights!$C$10:$AW$10)/SUM(AttWeights!$C$10:$AW$10),SUMPRODUCT($S96:$BM96,AttWeights!$C$17:$AW$17)/SUM(AttWeights!$C$17:$AW$17))*10</f>
        <v/>
      </c>
      <c r="K96" s="14">
        <f>AVERAGE(SUMPRODUCT($S96:$BM96,AttWeights!$C$7:$AW$7)/SUM(AttWeights!$C$7:$AW$7),SUMPRODUCT($S96:$BM96,AttWeights!$C$15:$AW$15)/SUM(AttWeights!$C$15:$AW$15))*10</f>
        <v/>
      </c>
      <c r="L96" s="14">
        <f>AVERAGE(SUMPRODUCT($S96:$BM96,AttWeights!$C$8:$AW$8)/SUM(AttWeights!$C$8:$AW$8),SUMPRODUCT($S96:$BM96,AttWeights!$C$16:$AW$16)/SUM(AttWeights!$C$16:$AW$16))*10</f>
        <v/>
      </c>
      <c r="M96" s="14">
        <f>AVERAGE(SUMPRODUCT($S96:$BM96,AttWeights!$C$9:$AW$9)/SUM(AttWeights!$C$9:$AW$9),SUMPRODUCT($S96:$BM96,AttWeights!$C$15:$AW$15)/SUM(AttWeights!$C$15:$AW$15))*10</f>
        <v/>
      </c>
      <c r="N96" s="14">
        <f>AVERAGE(SUMPRODUCT($S96:$BM96,AttWeights!$C$6:$AW$6)/SUM(AttWeights!$C$6:$AW$6),SUMPRODUCT($S96:$BM96,AttWeights!$C$14:$AW$14)/SUM(AttWeights!$C$14:$AW$14))*10</f>
        <v/>
      </c>
      <c r="O96" s="14">
        <f>AVERAGE(SUMPRODUCT($S96:$BM96,AttWeights!$C$5:$AW$5)/SUM(AttWeights!$C$5:$AW$5),SUMPRODUCT($S96:$BM96,AttWeights!$C$14:$AW$14)/SUM(AttWeights!$C$14:$AW$14))*10</f>
        <v/>
      </c>
      <c r="P96" s="14">
        <f>AVERAGE(SUMPRODUCT($S96:$BM96,AttWeights!$C$4:$AW$4)/SUM(AttWeights!$C$4:$AW$4),SUMPRODUCT($S96:$BM96,AttWeights!$C$13:$AW$13)/SUM(AttWeights!$C$13:$AW$13))*10</f>
        <v/>
      </c>
      <c r="Q96" s="14">
        <f>AVERAGE(SUMPRODUCT($S96:$BM96,AttWeights!$C$3:$AW$3)/SUM(AttWeights!$C$3:$AW$3),SUMPRODUCT($S96:$BM96,AttWeights!$C$12:$AW$12)/SUM(AttWeights!$C$12:$AW$12))*10</f>
        <v/>
      </c>
      <c r="R96" s="14">
        <f>AVERAGE(SUMPRODUCT($S96:$BM96,AttWeights!$C$2:$AW$2)/SUM(AttWeights!$C$2:$AW$2),SUMPRODUCT($S96:$BM96,AttWeights!$C$11:$AW$11)/SUM(AttWeights!$C$11:$AW$11))*10</f>
        <v/>
      </c>
      <c r="S96" s="3">
        <f>IF(ISBLANK('Paste Full'!AC96),"",'Paste Full'!AC96)</f>
        <v/>
      </c>
      <c r="T96" s="3">
        <f>IF(ISBLANK('Paste Full'!AD96),"",'Paste Full'!AD96)</f>
        <v/>
      </c>
      <c r="U96" s="3">
        <f>IF(ISBLANK('Paste Full'!AE96),"",'Paste Full'!AE96)</f>
        <v/>
      </c>
      <c r="V96" s="3">
        <f>IF(ISBLANK('Paste Full'!AF96),"",'Paste Full'!AF96)</f>
        <v/>
      </c>
      <c r="W96" s="3">
        <f>IF(ISBLANK('Paste Full'!AH96),"",'Paste Full'!AH96)</f>
        <v/>
      </c>
      <c r="X96" s="3">
        <f>IF(ISBLANK('Paste Full'!AI96),"",'Paste Full'!AI96)</f>
        <v/>
      </c>
      <c r="Y96" s="3">
        <f>IF(ISBLANK('Paste Full'!AK96),"",'Paste Full'!AK96)</f>
        <v/>
      </c>
      <c r="Z96" s="3">
        <f>IF(ISBLANK('Paste Full'!AL96),"",'Paste Full'!AL96)</f>
        <v/>
      </c>
      <c r="AA96" s="4">
        <f>IF(ISBLANK('Paste Full'!AM96),"",'Paste Full'!AM96)</f>
        <v/>
      </c>
      <c r="AB96" s="4">
        <f>IF(ISBLANK('Paste Full'!AN96),"",'Paste Full'!AN96)</f>
        <v/>
      </c>
      <c r="AC96" s="4">
        <f>IF(ISBLANK('Paste Full'!AO96),"",'Paste Full'!AO96)</f>
        <v/>
      </c>
      <c r="AD96" s="4">
        <f>IF(ISBLANK('Paste Full'!AP96),"",'Paste Full'!AP96)</f>
        <v/>
      </c>
      <c r="AE96" s="4">
        <f>IF(ISBLANK('Paste Full'!AQ96),"",'Paste Full'!AQ96)</f>
        <v/>
      </c>
      <c r="AF96" s="4">
        <f>IF(ISBLANK('Paste Full'!AR96),"",'Paste Full'!AR96)</f>
        <v/>
      </c>
      <c r="AG96" s="4">
        <f>IF(ISBLANK('Paste Full'!AS96),"",'Paste Full'!AS96)</f>
        <v/>
      </c>
      <c r="AH96" s="4">
        <f>IF(ISBLANK('Paste Full'!AV96),"",'Paste Full'!AV96)</f>
        <v/>
      </c>
      <c r="AI96" s="4">
        <f>IF(ISBLANK('Paste Full'!AT96),"",'Paste Full'!AT96)</f>
        <v/>
      </c>
      <c r="AJ96" s="4">
        <f>IF(ISBLANK('Paste Full'!AU96),"",'Paste Full'!AU96)</f>
        <v/>
      </c>
      <c r="AK96" s="4">
        <f>IF(ISBLANK('Paste Full'!AW96),"",'Paste Full'!AW96)</f>
        <v/>
      </c>
      <c r="AL96" s="5">
        <f>IF(ISBLANK('Paste Full'!AX96),"",'Paste Full'!AX96)</f>
        <v/>
      </c>
      <c r="AM96" s="5">
        <f>IF(ISBLANK('Paste Full'!AY96),"",'Paste Full'!AY96)</f>
        <v/>
      </c>
      <c r="AN96" s="5">
        <f>IF(ISBLANK('Paste Full'!AZ96),"",'Paste Full'!AZ96)</f>
        <v/>
      </c>
      <c r="AO96" s="5">
        <f>IF(ISBLANK('Paste Full'!BA96),"",'Paste Full'!BA96)</f>
        <v/>
      </c>
      <c r="AP96" s="5">
        <f>IF(ISBLANK('Paste Full'!BB96),"",'Paste Full'!BB96)</f>
        <v/>
      </c>
      <c r="AQ96" s="5">
        <f>IF(ISBLANK('Paste Full'!BC96),"",'Paste Full'!BC96)</f>
        <v/>
      </c>
      <c r="AR96" s="5">
        <f>IF(ISBLANK('Paste Full'!BD96),"",'Paste Full'!BD96)</f>
        <v/>
      </c>
      <c r="AS96" s="5">
        <f>IF(ISBLANK('Paste Full'!BE96),"",'Paste Full'!BE96)</f>
        <v/>
      </c>
      <c r="AT96" s="5">
        <f>IF(ISBLANK('Paste Full'!BF96),"",'Paste Full'!BF96)</f>
        <v/>
      </c>
      <c r="AU96" s="5">
        <f>IF(ISBLANK('Paste Full'!BG96),"",'Paste Full'!BG96)</f>
        <v/>
      </c>
      <c r="AV96" s="5">
        <f>IF(ISBLANK('Paste Full'!BH96),"",'Paste Full'!BH96)</f>
        <v/>
      </c>
      <c r="AW96" s="5">
        <f>IF(ISBLANK('Paste Full'!BI96),"",'Paste Full'!BI96)</f>
        <v/>
      </c>
      <c r="AX96" s="5">
        <f>IF(ISBLANK('Paste Full'!BJ96),"",'Paste Full'!BJ96)</f>
        <v/>
      </c>
      <c r="AY96" s="5">
        <f>IF(ISBLANK('Paste Full'!BK96),"",'Paste Full'!BK96)</f>
        <v/>
      </c>
      <c r="AZ96" s="6">
        <f>IF(ISBLANK('Paste Full'!BM96),"",'Paste Full'!BM96)</f>
        <v/>
      </c>
      <c r="BA96" s="6">
        <f>IF(ISBLANK('Paste Full'!BN96),"",'Paste Full'!BN96)</f>
        <v/>
      </c>
      <c r="BB96" s="6">
        <f>IF(ISBLANK('Paste Full'!BO96),"",'Paste Full'!BO96)</f>
        <v/>
      </c>
      <c r="BC96" s="6">
        <f>IF(ISBLANK('Paste Full'!BP96),"",'Paste Full'!BP96)</f>
        <v/>
      </c>
      <c r="BD96" s="6">
        <f>IF(ISBLANK('Paste Full'!BR96),"",'Paste Full'!BR96)</f>
        <v/>
      </c>
      <c r="BE96" s="6">
        <f>IF(ISBLANK('Paste Full'!BS96),"",'Paste Full'!BS96)</f>
        <v/>
      </c>
      <c r="BF96" s="6">
        <f>IF(ISBLANK('Paste Full'!BU96),"",'Paste Full'!BU96)</f>
        <v/>
      </c>
      <c r="BG96" s="6">
        <f>IF(ISBLANK('Paste Full'!BV96),"",'Paste Full'!BV96)</f>
        <v/>
      </c>
      <c r="BH96" s="6">
        <f>IF(ISBLANK('Paste Full'!BX96),"",'Paste Full'!BX96)</f>
        <v/>
      </c>
      <c r="BI96" s="6">
        <f>IF(ISBLANK('Paste Full'!BY96),"",'Paste Full'!BY96)</f>
        <v/>
      </c>
      <c r="BJ96" s="13">
        <f>IF(ISBLANK('Paste Full'!BL96),"",'Paste Full'!BL96)</f>
        <v/>
      </c>
      <c r="BK96" s="13">
        <f>IF(ISBLANK('Paste Full'!BQ96),"",'Paste Full'!BQ96)</f>
        <v/>
      </c>
      <c r="BL96" s="13">
        <f>IF(ISBLANK('Paste Full'!BT96),"",'Paste Full'!BT96)</f>
        <v/>
      </c>
      <c r="BM96" s="13">
        <f>IF(ISBLANK('Paste Full'!BW96),"",'Paste Full'!BW96)</f>
        <v/>
      </c>
    </row>
    <row r="97">
      <c r="A97">
        <f>IF(ISBLANK('Paste Full'!C97),"",'Paste Full'!C97)</f>
        <v/>
      </c>
      <c r="B97">
        <f>INDEX($J$1:$R$1, MATCH(MAX($J97:$R97), $J97:$R97, 0))</f>
        <v/>
      </c>
      <c r="C97" s="45">
        <f>IF(ISBLANK('Paste Full'!H97),"",'Paste Full'!H97)</f>
        <v/>
      </c>
      <c r="D97" s="45">
        <f>IF(ISBLANK('Paste Full'!F97),"",'Paste Full'!F97)</f>
        <v/>
      </c>
      <c r="E97" s="45">
        <f>IF(ISBLANK('Paste Full'!G97),"",'Paste Full'!G97)</f>
        <v/>
      </c>
      <c r="F97" s="21">
        <f>IF(ISBLANK('Paste Full'!E97),"",'Paste Full'!E97)</f>
        <v/>
      </c>
      <c r="G97">
        <f>IF(ISBLANK('Paste Full'!CI97),"",'Paste Full'!CI97)</f>
        <v/>
      </c>
      <c r="H97" s="21">
        <f>IF(ISBLANK('Paste Full'!J97),"",'Paste Full'!J97)</f>
        <v/>
      </c>
      <c r="I97" s="21">
        <f>IF(ISBLANK('Paste Full'!D97),"",'Paste Full'!D97)</f>
        <v/>
      </c>
      <c r="J97" s="14">
        <f>AVERAGE(SUMPRODUCT($S97:$BM97,AttWeights!$C$10:$AW$10)/SUM(AttWeights!$C$10:$AW$10),SUMPRODUCT($S97:$BM97,AttWeights!$C$17:$AW$17)/SUM(AttWeights!$C$17:$AW$17))*10</f>
        <v/>
      </c>
      <c r="K97" s="14">
        <f>AVERAGE(SUMPRODUCT($S97:$BM97,AttWeights!$C$7:$AW$7)/SUM(AttWeights!$C$7:$AW$7),SUMPRODUCT($S97:$BM97,AttWeights!$C$15:$AW$15)/SUM(AttWeights!$C$15:$AW$15))*10</f>
        <v/>
      </c>
      <c r="L97" s="14">
        <f>AVERAGE(SUMPRODUCT($S97:$BM97,AttWeights!$C$8:$AW$8)/SUM(AttWeights!$C$8:$AW$8),SUMPRODUCT($S97:$BM97,AttWeights!$C$16:$AW$16)/SUM(AttWeights!$C$16:$AW$16))*10</f>
        <v/>
      </c>
      <c r="M97" s="14">
        <f>AVERAGE(SUMPRODUCT($S97:$BM97,AttWeights!$C$9:$AW$9)/SUM(AttWeights!$C$9:$AW$9),SUMPRODUCT($S97:$BM97,AttWeights!$C$15:$AW$15)/SUM(AttWeights!$C$15:$AW$15))*10</f>
        <v/>
      </c>
      <c r="N97" s="14">
        <f>AVERAGE(SUMPRODUCT($S97:$BM97,AttWeights!$C$6:$AW$6)/SUM(AttWeights!$C$6:$AW$6),SUMPRODUCT($S97:$BM97,AttWeights!$C$14:$AW$14)/SUM(AttWeights!$C$14:$AW$14))*10</f>
        <v/>
      </c>
      <c r="O97" s="14">
        <f>AVERAGE(SUMPRODUCT($S97:$BM97,AttWeights!$C$5:$AW$5)/SUM(AttWeights!$C$5:$AW$5),SUMPRODUCT($S97:$BM97,AttWeights!$C$14:$AW$14)/SUM(AttWeights!$C$14:$AW$14))*10</f>
        <v/>
      </c>
      <c r="P97" s="14">
        <f>AVERAGE(SUMPRODUCT($S97:$BM97,AttWeights!$C$4:$AW$4)/SUM(AttWeights!$C$4:$AW$4),SUMPRODUCT($S97:$BM97,AttWeights!$C$13:$AW$13)/SUM(AttWeights!$C$13:$AW$13))*10</f>
        <v/>
      </c>
      <c r="Q97" s="14">
        <f>AVERAGE(SUMPRODUCT($S97:$BM97,AttWeights!$C$3:$AW$3)/SUM(AttWeights!$C$3:$AW$3),SUMPRODUCT($S97:$BM97,AttWeights!$C$12:$AW$12)/SUM(AttWeights!$C$12:$AW$12))*10</f>
        <v/>
      </c>
      <c r="R97" s="14">
        <f>AVERAGE(SUMPRODUCT($S97:$BM97,AttWeights!$C$2:$AW$2)/SUM(AttWeights!$C$2:$AW$2),SUMPRODUCT($S97:$BM97,AttWeights!$C$11:$AW$11)/SUM(AttWeights!$C$11:$AW$11))*10</f>
        <v/>
      </c>
      <c r="S97" s="3">
        <f>IF(ISBLANK('Paste Full'!AC97),"",'Paste Full'!AC97)</f>
        <v/>
      </c>
      <c r="T97" s="3">
        <f>IF(ISBLANK('Paste Full'!AD97),"",'Paste Full'!AD97)</f>
        <v/>
      </c>
      <c r="U97" s="3">
        <f>IF(ISBLANK('Paste Full'!AE97),"",'Paste Full'!AE97)</f>
        <v/>
      </c>
      <c r="V97" s="3">
        <f>IF(ISBLANK('Paste Full'!AF97),"",'Paste Full'!AF97)</f>
        <v/>
      </c>
      <c r="W97" s="3">
        <f>IF(ISBLANK('Paste Full'!AH97),"",'Paste Full'!AH97)</f>
        <v/>
      </c>
      <c r="X97" s="3">
        <f>IF(ISBLANK('Paste Full'!AI97),"",'Paste Full'!AI97)</f>
        <v/>
      </c>
      <c r="Y97" s="3">
        <f>IF(ISBLANK('Paste Full'!AK97),"",'Paste Full'!AK97)</f>
        <v/>
      </c>
      <c r="Z97" s="3">
        <f>IF(ISBLANK('Paste Full'!AL97),"",'Paste Full'!AL97)</f>
        <v/>
      </c>
      <c r="AA97" s="4">
        <f>IF(ISBLANK('Paste Full'!AM97),"",'Paste Full'!AM97)</f>
        <v/>
      </c>
      <c r="AB97" s="4">
        <f>IF(ISBLANK('Paste Full'!AN97),"",'Paste Full'!AN97)</f>
        <v/>
      </c>
      <c r="AC97" s="4">
        <f>IF(ISBLANK('Paste Full'!AO97),"",'Paste Full'!AO97)</f>
        <v/>
      </c>
      <c r="AD97" s="4">
        <f>IF(ISBLANK('Paste Full'!AP97),"",'Paste Full'!AP97)</f>
        <v/>
      </c>
      <c r="AE97" s="4">
        <f>IF(ISBLANK('Paste Full'!AQ97),"",'Paste Full'!AQ97)</f>
        <v/>
      </c>
      <c r="AF97" s="4">
        <f>IF(ISBLANK('Paste Full'!AR97),"",'Paste Full'!AR97)</f>
        <v/>
      </c>
      <c r="AG97" s="4">
        <f>IF(ISBLANK('Paste Full'!AS97),"",'Paste Full'!AS97)</f>
        <v/>
      </c>
      <c r="AH97" s="4">
        <f>IF(ISBLANK('Paste Full'!AV97),"",'Paste Full'!AV97)</f>
        <v/>
      </c>
      <c r="AI97" s="4">
        <f>IF(ISBLANK('Paste Full'!AT97),"",'Paste Full'!AT97)</f>
        <v/>
      </c>
      <c r="AJ97" s="4">
        <f>IF(ISBLANK('Paste Full'!AU97),"",'Paste Full'!AU97)</f>
        <v/>
      </c>
      <c r="AK97" s="4">
        <f>IF(ISBLANK('Paste Full'!AW97),"",'Paste Full'!AW97)</f>
        <v/>
      </c>
      <c r="AL97" s="5">
        <f>IF(ISBLANK('Paste Full'!AX97),"",'Paste Full'!AX97)</f>
        <v/>
      </c>
      <c r="AM97" s="5">
        <f>IF(ISBLANK('Paste Full'!AY97),"",'Paste Full'!AY97)</f>
        <v/>
      </c>
      <c r="AN97" s="5">
        <f>IF(ISBLANK('Paste Full'!AZ97),"",'Paste Full'!AZ97)</f>
        <v/>
      </c>
      <c r="AO97" s="5">
        <f>IF(ISBLANK('Paste Full'!BA97),"",'Paste Full'!BA97)</f>
        <v/>
      </c>
      <c r="AP97" s="5">
        <f>IF(ISBLANK('Paste Full'!BB97),"",'Paste Full'!BB97)</f>
        <v/>
      </c>
      <c r="AQ97" s="5">
        <f>IF(ISBLANK('Paste Full'!BC97),"",'Paste Full'!BC97)</f>
        <v/>
      </c>
      <c r="AR97" s="5">
        <f>IF(ISBLANK('Paste Full'!BD97),"",'Paste Full'!BD97)</f>
        <v/>
      </c>
      <c r="AS97" s="5">
        <f>IF(ISBLANK('Paste Full'!BE97),"",'Paste Full'!BE97)</f>
        <v/>
      </c>
      <c r="AT97" s="5">
        <f>IF(ISBLANK('Paste Full'!BF97),"",'Paste Full'!BF97)</f>
        <v/>
      </c>
      <c r="AU97" s="5">
        <f>IF(ISBLANK('Paste Full'!BG97),"",'Paste Full'!BG97)</f>
        <v/>
      </c>
      <c r="AV97" s="5">
        <f>IF(ISBLANK('Paste Full'!BH97),"",'Paste Full'!BH97)</f>
        <v/>
      </c>
      <c r="AW97" s="5">
        <f>IF(ISBLANK('Paste Full'!BI97),"",'Paste Full'!BI97)</f>
        <v/>
      </c>
      <c r="AX97" s="5">
        <f>IF(ISBLANK('Paste Full'!BJ97),"",'Paste Full'!BJ97)</f>
        <v/>
      </c>
      <c r="AY97" s="5">
        <f>IF(ISBLANK('Paste Full'!BK97),"",'Paste Full'!BK97)</f>
        <v/>
      </c>
      <c r="AZ97" s="6">
        <f>IF(ISBLANK('Paste Full'!BM97),"",'Paste Full'!BM97)</f>
        <v/>
      </c>
      <c r="BA97" s="6">
        <f>IF(ISBLANK('Paste Full'!BN97),"",'Paste Full'!BN97)</f>
        <v/>
      </c>
      <c r="BB97" s="6">
        <f>IF(ISBLANK('Paste Full'!BO97),"",'Paste Full'!BO97)</f>
        <v/>
      </c>
      <c r="BC97" s="6">
        <f>IF(ISBLANK('Paste Full'!BP97),"",'Paste Full'!BP97)</f>
        <v/>
      </c>
      <c r="BD97" s="6">
        <f>IF(ISBLANK('Paste Full'!BR97),"",'Paste Full'!BR97)</f>
        <v/>
      </c>
      <c r="BE97" s="6">
        <f>IF(ISBLANK('Paste Full'!BS97),"",'Paste Full'!BS97)</f>
        <v/>
      </c>
      <c r="BF97" s="6">
        <f>IF(ISBLANK('Paste Full'!BU97),"",'Paste Full'!BU97)</f>
        <v/>
      </c>
      <c r="BG97" s="6">
        <f>IF(ISBLANK('Paste Full'!BV97),"",'Paste Full'!BV97)</f>
        <v/>
      </c>
      <c r="BH97" s="6">
        <f>IF(ISBLANK('Paste Full'!BX97),"",'Paste Full'!BX97)</f>
        <v/>
      </c>
      <c r="BI97" s="6">
        <f>IF(ISBLANK('Paste Full'!BY97),"",'Paste Full'!BY97)</f>
        <v/>
      </c>
      <c r="BJ97" s="13">
        <f>IF(ISBLANK('Paste Full'!BL97),"",'Paste Full'!BL97)</f>
        <v/>
      </c>
      <c r="BK97" s="13">
        <f>IF(ISBLANK('Paste Full'!BQ97),"",'Paste Full'!BQ97)</f>
        <v/>
      </c>
      <c r="BL97" s="13">
        <f>IF(ISBLANK('Paste Full'!BT97),"",'Paste Full'!BT97)</f>
        <v/>
      </c>
      <c r="BM97" s="13">
        <f>IF(ISBLANK('Paste Full'!BW97),"",'Paste Full'!BW97)</f>
        <v/>
      </c>
    </row>
    <row r="98">
      <c r="A98">
        <f>IF(ISBLANK('Paste Full'!C98),"",'Paste Full'!C98)</f>
        <v/>
      </c>
      <c r="B98">
        <f>INDEX($J$1:$R$1, MATCH(MAX($J98:$R98), $J98:$R98, 0))</f>
        <v/>
      </c>
      <c r="C98" s="45">
        <f>IF(ISBLANK('Paste Full'!H98),"",'Paste Full'!H98)</f>
        <v/>
      </c>
      <c r="D98" s="45">
        <f>IF(ISBLANK('Paste Full'!F98),"",'Paste Full'!F98)</f>
        <v/>
      </c>
      <c r="E98" s="45">
        <f>IF(ISBLANK('Paste Full'!G98),"",'Paste Full'!G98)</f>
        <v/>
      </c>
      <c r="F98" s="21">
        <f>IF(ISBLANK('Paste Full'!E98),"",'Paste Full'!E98)</f>
        <v/>
      </c>
      <c r="G98">
        <f>IF(ISBLANK('Paste Full'!CI98),"",'Paste Full'!CI98)</f>
        <v/>
      </c>
      <c r="H98" s="21">
        <f>IF(ISBLANK('Paste Full'!J98),"",'Paste Full'!J98)</f>
        <v/>
      </c>
      <c r="I98" s="21">
        <f>IF(ISBLANK('Paste Full'!D98),"",'Paste Full'!D98)</f>
        <v/>
      </c>
      <c r="J98" s="14">
        <f>AVERAGE(SUMPRODUCT($S98:$BM98,AttWeights!$C$10:$AW$10)/SUM(AttWeights!$C$10:$AW$10),SUMPRODUCT($S98:$BM98,AttWeights!$C$17:$AW$17)/SUM(AttWeights!$C$17:$AW$17))*10</f>
        <v/>
      </c>
      <c r="K98" s="14">
        <f>AVERAGE(SUMPRODUCT($S98:$BM98,AttWeights!$C$7:$AW$7)/SUM(AttWeights!$C$7:$AW$7),SUMPRODUCT($S98:$BM98,AttWeights!$C$15:$AW$15)/SUM(AttWeights!$C$15:$AW$15))*10</f>
        <v/>
      </c>
      <c r="L98" s="14">
        <f>AVERAGE(SUMPRODUCT($S98:$BM98,AttWeights!$C$8:$AW$8)/SUM(AttWeights!$C$8:$AW$8),SUMPRODUCT($S98:$BM98,AttWeights!$C$16:$AW$16)/SUM(AttWeights!$C$16:$AW$16))*10</f>
        <v/>
      </c>
      <c r="M98" s="14">
        <f>AVERAGE(SUMPRODUCT($S98:$BM98,AttWeights!$C$9:$AW$9)/SUM(AttWeights!$C$9:$AW$9),SUMPRODUCT($S98:$BM98,AttWeights!$C$15:$AW$15)/SUM(AttWeights!$C$15:$AW$15))*10</f>
        <v/>
      </c>
      <c r="N98" s="14">
        <f>AVERAGE(SUMPRODUCT($S98:$BM98,AttWeights!$C$6:$AW$6)/SUM(AttWeights!$C$6:$AW$6),SUMPRODUCT($S98:$BM98,AttWeights!$C$14:$AW$14)/SUM(AttWeights!$C$14:$AW$14))*10</f>
        <v/>
      </c>
      <c r="O98" s="14">
        <f>AVERAGE(SUMPRODUCT($S98:$BM98,AttWeights!$C$5:$AW$5)/SUM(AttWeights!$C$5:$AW$5),SUMPRODUCT($S98:$BM98,AttWeights!$C$14:$AW$14)/SUM(AttWeights!$C$14:$AW$14))*10</f>
        <v/>
      </c>
      <c r="P98" s="14">
        <f>AVERAGE(SUMPRODUCT($S98:$BM98,AttWeights!$C$4:$AW$4)/SUM(AttWeights!$C$4:$AW$4),SUMPRODUCT($S98:$BM98,AttWeights!$C$13:$AW$13)/SUM(AttWeights!$C$13:$AW$13))*10</f>
        <v/>
      </c>
      <c r="Q98" s="14">
        <f>AVERAGE(SUMPRODUCT($S98:$BM98,AttWeights!$C$3:$AW$3)/SUM(AttWeights!$C$3:$AW$3),SUMPRODUCT($S98:$BM98,AttWeights!$C$12:$AW$12)/SUM(AttWeights!$C$12:$AW$12))*10</f>
        <v/>
      </c>
      <c r="R98" s="14">
        <f>AVERAGE(SUMPRODUCT($S98:$BM98,AttWeights!$C$2:$AW$2)/SUM(AttWeights!$C$2:$AW$2),SUMPRODUCT($S98:$BM98,AttWeights!$C$11:$AW$11)/SUM(AttWeights!$C$11:$AW$11))*10</f>
        <v/>
      </c>
      <c r="S98" s="3">
        <f>IF(ISBLANK('Paste Full'!AC98),"",'Paste Full'!AC98)</f>
        <v/>
      </c>
      <c r="T98" s="3">
        <f>IF(ISBLANK('Paste Full'!AD98),"",'Paste Full'!AD98)</f>
        <v/>
      </c>
      <c r="U98" s="3">
        <f>IF(ISBLANK('Paste Full'!AE98),"",'Paste Full'!AE98)</f>
        <v/>
      </c>
      <c r="V98" s="3">
        <f>IF(ISBLANK('Paste Full'!AF98),"",'Paste Full'!AF98)</f>
        <v/>
      </c>
      <c r="W98" s="3">
        <f>IF(ISBLANK('Paste Full'!AH98),"",'Paste Full'!AH98)</f>
        <v/>
      </c>
      <c r="X98" s="3">
        <f>IF(ISBLANK('Paste Full'!AI98),"",'Paste Full'!AI98)</f>
        <v/>
      </c>
      <c r="Y98" s="3">
        <f>IF(ISBLANK('Paste Full'!AK98),"",'Paste Full'!AK98)</f>
        <v/>
      </c>
      <c r="Z98" s="3">
        <f>IF(ISBLANK('Paste Full'!AL98),"",'Paste Full'!AL98)</f>
        <v/>
      </c>
      <c r="AA98" s="4">
        <f>IF(ISBLANK('Paste Full'!AM98),"",'Paste Full'!AM98)</f>
        <v/>
      </c>
      <c r="AB98" s="4">
        <f>IF(ISBLANK('Paste Full'!AN98),"",'Paste Full'!AN98)</f>
        <v/>
      </c>
      <c r="AC98" s="4">
        <f>IF(ISBLANK('Paste Full'!AO98),"",'Paste Full'!AO98)</f>
        <v/>
      </c>
      <c r="AD98" s="4">
        <f>IF(ISBLANK('Paste Full'!AP98),"",'Paste Full'!AP98)</f>
        <v/>
      </c>
      <c r="AE98" s="4">
        <f>IF(ISBLANK('Paste Full'!AQ98),"",'Paste Full'!AQ98)</f>
        <v/>
      </c>
      <c r="AF98" s="4">
        <f>IF(ISBLANK('Paste Full'!AR98),"",'Paste Full'!AR98)</f>
        <v/>
      </c>
      <c r="AG98" s="4">
        <f>IF(ISBLANK('Paste Full'!AS98),"",'Paste Full'!AS98)</f>
        <v/>
      </c>
      <c r="AH98" s="4">
        <f>IF(ISBLANK('Paste Full'!AV98),"",'Paste Full'!AV98)</f>
        <v/>
      </c>
      <c r="AI98" s="4">
        <f>IF(ISBLANK('Paste Full'!AT98),"",'Paste Full'!AT98)</f>
        <v/>
      </c>
      <c r="AJ98" s="4">
        <f>IF(ISBLANK('Paste Full'!AU98),"",'Paste Full'!AU98)</f>
        <v/>
      </c>
      <c r="AK98" s="4">
        <f>IF(ISBLANK('Paste Full'!AW98),"",'Paste Full'!AW98)</f>
        <v/>
      </c>
      <c r="AL98" s="5">
        <f>IF(ISBLANK('Paste Full'!AX98),"",'Paste Full'!AX98)</f>
        <v/>
      </c>
      <c r="AM98" s="5">
        <f>IF(ISBLANK('Paste Full'!AY98),"",'Paste Full'!AY98)</f>
        <v/>
      </c>
      <c r="AN98" s="5">
        <f>IF(ISBLANK('Paste Full'!AZ98),"",'Paste Full'!AZ98)</f>
        <v/>
      </c>
      <c r="AO98" s="5">
        <f>IF(ISBLANK('Paste Full'!BA98),"",'Paste Full'!BA98)</f>
        <v/>
      </c>
      <c r="AP98" s="5">
        <f>IF(ISBLANK('Paste Full'!BB98),"",'Paste Full'!BB98)</f>
        <v/>
      </c>
      <c r="AQ98" s="5">
        <f>IF(ISBLANK('Paste Full'!BC98),"",'Paste Full'!BC98)</f>
        <v/>
      </c>
      <c r="AR98" s="5">
        <f>IF(ISBLANK('Paste Full'!BD98),"",'Paste Full'!BD98)</f>
        <v/>
      </c>
      <c r="AS98" s="5">
        <f>IF(ISBLANK('Paste Full'!BE98),"",'Paste Full'!BE98)</f>
        <v/>
      </c>
      <c r="AT98" s="5">
        <f>IF(ISBLANK('Paste Full'!BF98),"",'Paste Full'!BF98)</f>
        <v/>
      </c>
      <c r="AU98" s="5">
        <f>IF(ISBLANK('Paste Full'!BG98),"",'Paste Full'!BG98)</f>
        <v/>
      </c>
      <c r="AV98" s="5">
        <f>IF(ISBLANK('Paste Full'!BH98),"",'Paste Full'!BH98)</f>
        <v/>
      </c>
      <c r="AW98" s="5">
        <f>IF(ISBLANK('Paste Full'!BI98),"",'Paste Full'!BI98)</f>
        <v/>
      </c>
      <c r="AX98" s="5">
        <f>IF(ISBLANK('Paste Full'!BJ98),"",'Paste Full'!BJ98)</f>
        <v/>
      </c>
      <c r="AY98" s="5">
        <f>IF(ISBLANK('Paste Full'!BK98),"",'Paste Full'!BK98)</f>
        <v/>
      </c>
      <c r="AZ98" s="6">
        <f>IF(ISBLANK('Paste Full'!BM98),"",'Paste Full'!BM98)</f>
        <v/>
      </c>
      <c r="BA98" s="6">
        <f>IF(ISBLANK('Paste Full'!BN98),"",'Paste Full'!BN98)</f>
        <v/>
      </c>
      <c r="BB98" s="6">
        <f>IF(ISBLANK('Paste Full'!BO98),"",'Paste Full'!BO98)</f>
        <v/>
      </c>
      <c r="BC98" s="6">
        <f>IF(ISBLANK('Paste Full'!BP98),"",'Paste Full'!BP98)</f>
        <v/>
      </c>
      <c r="BD98" s="6">
        <f>IF(ISBLANK('Paste Full'!BR98),"",'Paste Full'!BR98)</f>
        <v/>
      </c>
      <c r="BE98" s="6">
        <f>IF(ISBLANK('Paste Full'!BS98),"",'Paste Full'!BS98)</f>
        <v/>
      </c>
      <c r="BF98" s="6">
        <f>IF(ISBLANK('Paste Full'!BU98),"",'Paste Full'!BU98)</f>
        <v/>
      </c>
      <c r="BG98" s="6">
        <f>IF(ISBLANK('Paste Full'!BV98),"",'Paste Full'!BV98)</f>
        <v/>
      </c>
      <c r="BH98" s="6">
        <f>IF(ISBLANK('Paste Full'!BX98),"",'Paste Full'!BX98)</f>
        <v/>
      </c>
      <c r="BI98" s="6">
        <f>IF(ISBLANK('Paste Full'!BY98),"",'Paste Full'!BY98)</f>
        <v/>
      </c>
      <c r="BJ98" s="13">
        <f>IF(ISBLANK('Paste Full'!BL98),"",'Paste Full'!BL98)</f>
        <v/>
      </c>
      <c r="BK98" s="13">
        <f>IF(ISBLANK('Paste Full'!BQ98),"",'Paste Full'!BQ98)</f>
        <v/>
      </c>
      <c r="BL98" s="13">
        <f>IF(ISBLANK('Paste Full'!BT98),"",'Paste Full'!BT98)</f>
        <v/>
      </c>
      <c r="BM98" s="13">
        <f>IF(ISBLANK('Paste Full'!BW98),"",'Paste Full'!BW98)</f>
        <v/>
      </c>
    </row>
    <row r="99">
      <c r="A99">
        <f>IF(ISBLANK('Paste Full'!C99),"",'Paste Full'!C99)</f>
        <v/>
      </c>
      <c r="B99">
        <f>INDEX($J$1:$R$1, MATCH(MAX($J99:$R99), $J99:$R99, 0))</f>
        <v/>
      </c>
      <c r="C99" s="45">
        <f>IF(ISBLANK('Paste Full'!H99),"",'Paste Full'!H99)</f>
        <v/>
      </c>
      <c r="D99" s="45">
        <f>IF(ISBLANK('Paste Full'!F99),"",'Paste Full'!F99)</f>
        <v/>
      </c>
      <c r="E99" s="45">
        <f>IF(ISBLANK('Paste Full'!G99),"",'Paste Full'!G99)</f>
        <v/>
      </c>
      <c r="F99" s="21">
        <f>IF(ISBLANK('Paste Full'!E99),"",'Paste Full'!E99)</f>
        <v/>
      </c>
      <c r="G99">
        <f>IF(ISBLANK('Paste Full'!CI99),"",'Paste Full'!CI99)</f>
        <v/>
      </c>
      <c r="H99" s="21">
        <f>IF(ISBLANK('Paste Full'!J99),"",'Paste Full'!J99)</f>
        <v/>
      </c>
      <c r="I99" s="21">
        <f>IF(ISBLANK('Paste Full'!D99),"",'Paste Full'!D99)</f>
        <v/>
      </c>
      <c r="J99" s="14">
        <f>AVERAGE(SUMPRODUCT($S99:$BM99,AttWeights!$C$10:$AW$10)/SUM(AttWeights!$C$10:$AW$10),SUMPRODUCT($S99:$BM99,AttWeights!$C$17:$AW$17)/SUM(AttWeights!$C$17:$AW$17))*10</f>
        <v/>
      </c>
      <c r="K99" s="14">
        <f>AVERAGE(SUMPRODUCT($S99:$BM99,AttWeights!$C$7:$AW$7)/SUM(AttWeights!$C$7:$AW$7),SUMPRODUCT($S99:$BM99,AttWeights!$C$15:$AW$15)/SUM(AttWeights!$C$15:$AW$15))*10</f>
        <v/>
      </c>
      <c r="L99" s="14">
        <f>AVERAGE(SUMPRODUCT($S99:$BM99,AttWeights!$C$8:$AW$8)/SUM(AttWeights!$C$8:$AW$8),SUMPRODUCT($S99:$BM99,AttWeights!$C$16:$AW$16)/SUM(AttWeights!$C$16:$AW$16))*10</f>
        <v/>
      </c>
      <c r="M99" s="14">
        <f>AVERAGE(SUMPRODUCT($S99:$BM99,AttWeights!$C$9:$AW$9)/SUM(AttWeights!$C$9:$AW$9),SUMPRODUCT($S99:$BM99,AttWeights!$C$15:$AW$15)/SUM(AttWeights!$C$15:$AW$15))*10</f>
        <v/>
      </c>
      <c r="N99" s="14">
        <f>AVERAGE(SUMPRODUCT($S99:$BM99,AttWeights!$C$6:$AW$6)/SUM(AttWeights!$C$6:$AW$6),SUMPRODUCT($S99:$BM99,AttWeights!$C$14:$AW$14)/SUM(AttWeights!$C$14:$AW$14))*10</f>
        <v/>
      </c>
      <c r="O99" s="14">
        <f>AVERAGE(SUMPRODUCT($S99:$BM99,AttWeights!$C$5:$AW$5)/SUM(AttWeights!$C$5:$AW$5),SUMPRODUCT($S99:$BM99,AttWeights!$C$14:$AW$14)/SUM(AttWeights!$C$14:$AW$14))*10</f>
        <v/>
      </c>
      <c r="P99" s="14">
        <f>AVERAGE(SUMPRODUCT($S99:$BM99,AttWeights!$C$4:$AW$4)/SUM(AttWeights!$C$4:$AW$4),SUMPRODUCT($S99:$BM99,AttWeights!$C$13:$AW$13)/SUM(AttWeights!$C$13:$AW$13))*10</f>
        <v/>
      </c>
      <c r="Q99" s="14">
        <f>AVERAGE(SUMPRODUCT($S99:$BM99,AttWeights!$C$3:$AW$3)/SUM(AttWeights!$C$3:$AW$3),SUMPRODUCT($S99:$BM99,AttWeights!$C$12:$AW$12)/SUM(AttWeights!$C$12:$AW$12))*10</f>
        <v/>
      </c>
      <c r="R99" s="14">
        <f>AVERAGE(SUMPRODUCT($S99:$BM99,AttWeights!$C$2:$AW$2)/SUM(AttWeights!$C$2:$AW$2),SUMPRODUCT($S99:$BM99,AttWeights!$C$11:$AW$11)/SUM(AttWeights!$C$11:$AW$11))*10</f>
        <v/>
      </c>
      <c r="S99" s="3">
        <f>IF(ISBLANK('Paste Full'!AC99),"",'Paste Full'!AC99)</f>
        <v/>
      </c>
      <c r="T99" s="3">
        <f>IF(ISBLANK('Paste Full'!AD99),"",'Paste Full'!AD99)</f>
        <v/>
      </c>
      <c r="U99" s="3">
        <f>IF(ISBLANK('Paste Full'!AE99),"",'Paste Full'!AE99)</f>
        <v/>
      </c>
      <c r="V99" s="3">
        <f>IF(ISBLANK('Paste Full'!AF99),"",'Paste Full'!AF99)</f>
        <v/>
      </c>
      <c r="W99" s="3">
        <f>IF(ISBLANK('Paste Full'!AH99),"",'Paste Full'!AH99)</f>
        <v/>
      </c>
      <c r="X99" s="3">
        <f>IF(ISBLANK('Paste Full'!AI99),"",'Paste Full'!AI99)</f>
        <v/>
      </c>
      <c r="Y99" s="3">
        <f>IF(ISBLANK('Paste Full'!AK99),"",'Paste Full'!AK99)</f>
        <v/>
      </c>
      <c r="Z99" s="3">
        <f>IF(ISBLANK('Paste Full'!AL99),"",'Paste Full'!AL99)</f>
        <v/>
      </c>
      <c r="AA99" s="4">
        <f>IF(ISBLANK('Paste Full'!AM99),"",'Paste Full'!AM99)</f>
        <v/>
      </c>
      <c r="AB99" s="4">
        <f>IF(ISBLANK('Paste Full'!AN99),"",'Paste Full'!AN99)</f>
        <v/>
      </c>
      <c r="AC99" s="4">
        <f>IF(ISBLANK('Paste Full'!AO99),"",'Paste Full'!AO99)</f>
        <v/>
      </c>
      <c r="AD99" s="4">
        <f>IF(ISBLANK('Paste Full'!AP99),"",'Paste Full'!AP99)</f>
        <v/>
      </c>
      <c r="AE99" s="4">
        <f>IF(ISBLANK('Paste Full'!AQ99),"",'Paste Full'!AQ99)</f>
        <v/>
      </c>
      <c r="AF99" s="4">
        <f>IF(ISBLANK('Paste Full'!AR99),"",'Paste Full'!AR99)</f>
        <v/>
      </c>
      <c r="AG99" s="4">
        <f>IF(ISBLANK('Paste Full'!AS99),"",'Paste Full'!AS99)</f>
        <v/>
      </c>
      <c r="AH99" s="4">
        <f>IF(ISBLANK('Paste Full'!AV99),"",'Paste Full'!AV99)</f>
        <v/>
      </c>
      <c r="AI99" s="4">
        <f>IF(ISBLANK('Paste Full'!AT99),"",'Paste Full'!AT99)</f>
        <v/>
      </c>
      <c r="AJ99" s="4">
        <f>IF(ISBLANK('Paste Full'!AU99),"",'Paste Full'!AU99)</f>
        <v/>
      </c>
      <c r="AK99" s="4">
        <f>IF(ISBLANK('Paste Full'!AW99),"",'Paste Full'!AW99)</f>
        <v/>
      </c>
      <c r="AL99" s="5">
        <f>IF(ISBLANK('Paste Full'!AX99),"",'Paste Full'!AX99)</f>
        <v/>
      </c>
      <c r="AM99" s="5">
        <f>IF(ISBLANK('Paste Full'!AY99),"",'Paste Full'!AY99)</f>
        <v/>
      </c>
      <c r="AN99" s="5">
        <f>IF(ISBLANK('Paste Full'!AZ99),"",'Paste Full'!AZ99)</f>
        <v/>
      </c>
      <c r="AO99" s="5">
        <f>IF(ISBLANK('Paste Full'!BA99),"",'Paste Full'!BA99)</f>
        <v/>
      </c>
      <c r="AP99" s="5">
        <f>IF(ISBLANK('Paste Full'!BB99),"",'Paste Full'!BB99)</f>
        <v/>
      </c>
      <c r="AQ99" s="5">
        <f>IF(ISBLANK('Paste Full'!BC99),"",'Paste Full'!BC99)</f>
        <v/>
      </c>
      <c r="AR99" s="5">
        <f>IF(ISBLANK('Paste Full'!BD99),"",'Paste Full'!BD99)</f>
        <v/>
      </c>
      <c r="AS99" s="5">
        <f>IF(ISBLANK('Paste Full'!BE99),"",'Paste Full'!BE99)</f>
        <v/>
      </c>
      <c r="AT99" s="5">
        <f>IF(ISBLANK('Paste Full'!BF99),"",'Paste Full'!BF99)</f>
        <v/>
      </c>
      <c r="AU99" s="5">
        <f>IF(ISBLANK('Paste Full'!BG99),"",'Paste Full'!BG99)</f>
        <v/>
      </c>
      <c r="AV99" s="5">
        <f>IF(ISBLANK('Paste Full'!BH99),"",'Paste Full'!BH99)</f>
        <v/>
      </c>
      <c r="AW99" s="5">
        <f>IF(ISBLANK('Paste Full'!BI99),"",'Paste Full'!BI99)</f>
        <v/>
      </c>
      <c r="AX99" s="5">
        <f>IF(ISBLANK('Paste Full'!BJ99),"",'Paste Full'!BJ99)</f>
        <v/>
      </c>
      <c r="AY99" s="5">
        <f>IF(ISBLANK('Paste Full'!BK99),"",'Paste Full'!BK99)</f>
        <v/>
      </c>
      <c r="AZ99" s="6">
        <f>IF(ISBLANK('Paste Full'!BM99),"",'Paste Full'!BM99)</f>
        <v/>
      </c>
      <c r="BA99" s="6">
        <f>IF(ISBLANK('Paste Full'!BN99),"",'Paste Full'!BN99)</f>
        <v/>
      </c>
      <c r="BB99" s="6">
        <f>IF(ISBLANK('Paste Full'!BO99),"",'Paste Full'!BO99)</f>
        <v/>
      </c>
      <c r="BC99" s="6">
        <f>IF(ISBLANK('Paste Full'!BP99),"",'Paste Full'!BP99)</f>
        <v/>
      </c>
      <c r="BD99" s="6">
        <f>IF(ISBLANK('Paste Full'!BR99),"",'Paste Full'!BR99)</f>
        <v/>
      </c>
      <c r="BE99" s="6">
        <f>IF(ISBLANK('Paste Full'!BS99),"",'Paste Full'!BS99)</f>
        <v/>
      </c>
      <c r="BF99" s="6">
        <f>IF(ISBLANK('Paste Full'!BU99),"",'Paste Full'!BU99)</f>
        <v/>
      </c>
      <c r="BG99" s="6">
        <f>IF(ISBLANK('Paste Full'!BV99),"",'Paste Full'!BV99)</f>
        <v/>
      </c>
      <c r="BH99" s="6">
        <f>IF(ISBLANK('Paste Full'!BX99),"",'Paste Full'!BX99)</f>
        <v/>
      </c>
      <c r="BI99" s="6">
        <f>IF(ISBLANK('Paste Full'!BY99),"",'Paste Full'!BY99)</f>
        <v/>
      </c>
      <c r="BJ99" s="13">
        <f>IF(ISBLANK('Paste Full'!BL99),"",'Paste Full'!BL99)</f>
        <v/>
      </c>
      <c r="BK99" s="13">
        <f>IF(ISBLANK('Paste Full'!BQ99),"",'Paste Full'!BQ99)</f>
        <v/>
      </c>
      <c r="BL99" s="13">
        <f>IF(ISBLANK('Paste Full'!BT99),"",'Paste Full'!BT99)</f>
        <v/>
      </c>
      <c r="BM99" s="13">
        <f>IF(ISBLANK('Paste Full'!BW99),"",'Paste Full'!BW99)</f>
        <v/>
      </c>
    </row>
    <row r="100">
      <c r="A100">
        <f>IF(ISBLANK('Paste Full'!C100),"",'Paste Full'!C100)</f>
        <v/>
      </c>
      <c r="B100">
        <f>INDEX($J$1:$R$1, MATCH(MAX($J100:$R100), $J100:$R100, 0))</f>
        <v/>
      </c>
      <c r="C100" s="45">
        <f>IF(ISBLANK('Paste Full'!H100),"",'Paste Full'!H100)</f>
        <v/>
      </c>
      <c r="D100" s="45">
        <f>IF(ISBLANK('Paste Full'!F100),"",'Paste Full'!F100)</f>
        <v/>
      </c>
      <c r="E100" s="45">
        <f>IF(ISBLANK('Paste Full'!G100),"",'Paste Full'!G100)</f>
        <v/>
      </c>
      <c r="F100" s="21">
        <f>IF(ISBLANK('Paste Full'!E100),"",'Paste Full'!E100)</f>
        <v/>
      </c>
      <c r="G100">
        <f>IF(ISBLANK('Paste Full'!CI100),"",'Paste Full'!CI100)</f>
        <v/>
      </c>
      <c r="H100" s="21">
        <f>IF(ISBLANK('Paste Full'!J100),"",'Paste Full'!J100)</f>
        <v/>
      </c>
      <c r="I100" s="21">
        <f>IF(ISBLANK('Paste Full'!D100),"",'Paste Full'!D100)</f>
        <v/>
      </c>
      <c r="J100" s="14">
        <f>AVERAGE(SUMPRODUCT($S100:$BM100,AttWeights!$C$10:$AW$10)/SUM(AttWeights!$C$10:$AW$10),SUMPRODUCT($S100:$BM100,AttWeights!$C$17:$AW$17)/SUM(AttWeights!$C$17:$AW$17))*10</f>
        <v/>
      </c>
      <c r="K100" s="14">
        <f>AVERAGE(SUMPRODUCT($S100:$BM100,AttWeights!$C$7:$AW$7)/SUM(AttWeights!$C$7:$AW$7),SUMPRODUCT($S100:$BM100,AttWeights!$C$15:$AW$15)/SUM(AttWeights!$C$15:$AW$15))*10</f>
        <v/>
      </c>
      <c r="L100" s="14">
        <f>AVERAGE(SUMPRODUCT($S100:$BM100,AttWeights!$C$8:$AW$8)/SUM(AttWeights!$C$8:$AW$8),SUMPRODUCT($S100:$BM100,AttWeights!$C$16:$AW$16)/SUM(AttWeights!$C$16:$AW$16))*10</f>
        <v/>
      </c>
      <c r="M100" s="14">
        <f>AVERAGE(SUMPRODUCT($S100:$BM100,AttWeights!$C$9:$AW$9)/SUM(AttWeights!$C$9:$AW$9),SUMPRODUCT($S100:$BM100,AttWeights!$C$15:$AW$15)/SUM(AttWeights!$C$15:$AW$15))*10</f>
        <v/>
      </c>
      <c r="N100" s="14">
        <f>AVERAGE(SUMPRODUCT($S100:$BM100,AttWeights!$C$6:$AW$6)/SUM(AttWeights!$C$6:$AW$6),SUMPRODUCT($S100:$BM100,AttWeights!$C$14:$AW$14)/SUM(AttWeights!$C$14:$AW$14))*10</f>
        <v/>
      </c>
      <c r="O100" s="14">
        <f>AVERAGE(SUMPRODUCT($S100:$BM100,AttWeights!$C$5:$AW$5)/SUM(AttWeights!$C$5:$AW$5),SUMPRODUCT($S100:$BM100,AttWeights!$C$14:$AW$14)/SUM(AttWeights!$C$14:$AW$14))*10</f>
        <v/>
      </c>
      <c r="P100" s="14">
        <f>AVERAGE(SUMPRODUCT($S100:$BM100,AttWeights!$C$4:$AW$4)/SUM(AttWeights!$C$4:$AW$4),SUMPRODUCT($S100:$BM100,AttWeights!$C$13:$AW$13)/SUM(AttWeights!$C$13:$AW$13))*10</f>
        <v/>
      </c>
      <c r="Q100" s="14">
        <f>AVERAGE(SUMPRODUCT($S100:$BM100,AttWeights!$C$3:$AW$3)/SUM(AttWeights!$C$3:$AW$3),SUMPRODUCT($S100:$BM100,AttWeights!$C$12:$AW$12)/SUM(AttWeights!$C$12:$AW$12))*10</f>
        <v/>
      </c>
      <c r="R100" s="14">
        <f>AVERAGE(SUMPRODUCT($S100:$BM100,AttWeights!$C$2:$AW$2)/SUM(AttWeights!$C$2:$AW$2),SUMPRODUCT($S100:$BM100,AttWeights!$C$11:$AW$11)/SUM(AttWeights!$C$11:$AW$11))*10</f>
        <v/>
      </c>
      <c r="S100" s="3">
        <f>IF(ISBLANK('Paste Full'!AC100),"",'Paste Full'!AC100)</f>
        <v/>
      </c>
      <c r="T100" s="3">
        <f>IF(ISBLANK('Paste Full'!AD100),"",'Paste Full'!AD100)</f>
        <v/>
      </c>
      <c r="U100" s="3">
        <f>IF(ISBLANK('Paste Full'!AE100),"",'Paste Full'!AE100)</f>
        <v/>
      </c>
      <c r="V100" s="3">
        <f>IF(ISBLANK('Paste Full'!AF100),"",'Paste Full'!AF100)</f>
        <v/>
      </c>
      <c r="W100" s="3">
        <f>IF(ISBLANK('Paste Full'!AH100),"",'Paste Full'!AH100)</f>
        <v/>
      </c>
      <c r="X100" s="3">
        <f>IF(ISBLANK('Paste Full'!AI100),"",'Paste Full'!AI100)</f>
        <v/>
      </c>
      <c r="Y100" s="3">
        <f>IF(ISBLANK('Paste Full'!AK100),"",'Paste Full'!AK100)</f>
        <v/>
      </c>
      <c r="Z100" s="3">
        <f>IF(ISBLANK('Paste Full'!AL100),"",'Paste Full'!AL100)</f>
        <v/>
      </c>
      <c r="AA100" s="4">
        <f>IF(ISBLANK('Paste Full'!AM100),"",'Paste Full'!AM100)</f>
        <v/>
      </c>
      <c r="AB100" s="4">
        <f>IF(ISBLANK('Paste Full'!AN100),"",'Paste Full'!AN100)</f>
        <v/>
      </c>
      <c r="AC100" s="4">
        <f>IF(ISBLANK('Paste Full'!AO100),"",'Paste Full'!AO100)</f>
        <v/>
      </c>
      <c r="AD100" s="4">
        <f>IF(ISBLANK('Paste Full'!AP100),"",'Paste Full'!AP100)</f>
        <v/>
      </c>
      <c r="AE100" s="4">
        <f>IF(ISBLANK('Paste Full'!AQ100),"",'Paste Full'!AQ100)</f>
        <v/>
      </c>
      <c r="AF100" s="4">
        <f>IF(ISBLANK('Paste Full'!AR100),"",'Paste Full'!AR100)</f>
        <v/>
      </c>
      <c r="AG100" s="4">
        <f>IF(ISBLANK('Paste Full'!AS100),"",'Paste Full'!AS100)</f>
        <v/>
      </c>
      <c r="AH100" s="4">
        <f>IF(ISBLANK('Paste Full'!AV100),"",'Paste Full'!AV100)</f>
        <v/>
      </c>
      <c r="AI100" s="4">
        <f>IF(ISBLANK('Paste Full'!AT100),"",'Paste Full'!AT100)</f>
        <v/>
      </c>
      <c r="AJ100" s="4">
        <f>IF(ISBLANK('Paste Full'!AU100),"",'Paste Full'!AU100)</f>
        <v/>
      </c>
      <c r="AK100" s="4">
        <f>IF(ISBLANK('Paste Full'!AW100),"",'Paste Full'!AW100)</f>
        <v/>
      </c>
      <c r="AL100" s="5">
        <f>IF(ISBLANK('Paste Full'!AX100),"",'Paste Full'!AX100)</f>
        <v/>
      </c>
      <c r="AM100" s="5">
        <f>IF(ISBLANK('Paste Full'!AY100),"",'Paste Full'!AY100)</f>
        <v/>
      </c>
      <c r="AN100" s="5">
        <f>IF(ISBLANK('Paste Full'!AZ100),"",'Paste Full'!AZ100)</f>
        <v/>
      </c>
      <c r="AO100" s="5">
        <f>IF(ISBLANK('Paste Full'!BA100),"",'Paste Full'!BA100)</f>
        <v/>
      </c>
      <c r="AP100" s="5">
        <f>IF(ISBLANK('Paste Full'!BB100),"",'Paste Full'!BB100)</f>
        <v/>
      </c>
      <c r="AQ100" s="5">
        <f>IF(ISBLANK('Paste Full'!BC100),"",'Paste Full'!BC100)</f>
        <v/>
      </c>
      <c r="AR100" s="5">
        <f>IF(ISBLANK('Paste Full'!BD100),"",'Paste Full'!BD100)</f>
        <v/>
      </c>
      <c r="AS100" s="5">
        <f>IF(ISBLANK('Paste Full'!BE100),"",'Paste Full'!BE100)</f>
        <v/>
      </c>
      <c r="AT100" s="5">
        <f>IF(ISBLANK('Paste Full'!BF100),"",'Paste Full'!BF100)</f>
        <v/>
      </c>
      <c r="AU100" s="5">
        <f>IF(ISBLANK('Paste Full'!BG100),"",'Paste Full'!BG100)</f>
        <v/>
      </c>
      <c r="AV100" s="5">
        <f>IF(ISBLANK('Paste Full'!BH100),"",'Paste Full'!BH100)</f>
        <v/>
      </c>
      <c r="AW100" s="5">
        <f>IF(ISBLANK('Paste Full'!BI100),"",'Paste Full'!BI100)</f>
        <v/>
      </c>
      <c r="AX100" s="5">
        <f>IF(ISBLANK('Paste Full'!BJ100),"",'Paste Full'!BJ100)</f>
        <v/>
      </c>
      <c r="AY100" s="5">
        <f>IF(ISBLANK('Paste Full'!BK100),"",'Paste Full'!BK100)</f>
        <v/>
      </c>
      <c r="AZ100" s="6">
        <f>IF(ISBLANK('Paste Full'!BM100),"",'Paste Full'!BM100)</f>
        <v/>
      </c>
      <c r="BA100" s="6">
        <f>IF(ISBLANK('Paste Full'!BN100),"",'Paste Full'!BN100)</f>
        <v/>
      </c>
      <c r="BB100" s="6">
        <f>IF(ISBLANK('Paste Full'!BO100),"",'Paste Full'!BO100)</f>
        <v/>
      </c>
      <c r="BC100" s="6">
        <f>IF(ISBLANK('Paste Full'!BP100),"",'Paste Full'!BP100)</f>
        <v/>
      </c>
      <c r="BD100" s="6">
        <f>IF(ISBLANK('Paste Full'!BR100),"",'Paste Full'!BR100)</f>
        <v/>
      </c>
      <c r="BE100" s="6">
        <f>IF(ISBLANK('Paste Full'!BS100),"",'Paste Full'!BS100)</f>
        <v/>
      </c>
      <c r="BF100" s="6">
        <f>IF(ISBLANK('Paste Full'!BU100),"",'Paste Full'!BU100)</f>
        <v/>
      </c>
      <c r="BG100" s="6">
        <f>IF(ISBLANK('Paste Full'!BV100),"",'Paste Full'!BV100)</f>
        <v/>
      </c>
      <c r="BH100" s="6">
        <f>IF(ISBLANK('Paste Full'!BX100),"",'Paste Full'!BX100)</f>
        <v/>
      </c>
      <c r="BI100" s="6">
        <f>IF(ISBLANK('Paste Full'!BY100),"",'Paste Full'!BY100)</f>
        <v/>
      </c>
      <c r="BJ100" s="13">
        <f>IF(ISBLANK('Paste Full'!BL100),"",'Paste Full'!BL100)</f>
        <v/>
      </c>
      <c r="BK100" s="13">
        <f>IF(ISBLANK('Paste Full'!BQ100),"",'Paste Full'!BQ100)</f>
        <v/>
      </c>
      <c r="BL100" s="13">
        <f>IF(ISBLANK('Paste Full'!BT100),"",'Paste Full'!BT100)</f>
        <v/>
      </c>
      <c r="BM100" s="13">
        <f>IF(ISBLANK('Paste Full'!BW100),"",'Paste Full'!BW100)</f>
        <v/>
      </c>
    </row>
  </sheetData>
  <autoFilter ref="A1:BM100">
    <sortState ref="A2:BM100">
      <sortCondition ref="A1:A100"/>
    </sortState>
  </autoFilter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H28" sqref="H28"/>
    </sheetView>
  </sheetViews>
  <sheetFormatPr baseColWidth="8" defaultColWidth="8.7109375" defaultRowHeight="15"/>
  <cols>
    <col width="13.140625" bestFit="1" customWidth="1" style="46" min="1" max="1"/>
    <col width="19.7109375" bestFit="1" customWidth="1" style="46" min="2" max="2"/>
    <col width="12.42578125" bestFit="1" customWidth="1" style="46" min="3" max="3"/>
    <col width="9.7109375" bestFit="1" customWidth="1" style="46" min="4" max="4"/>
    <col width="13.7109375" bestFit="1" customWidth="1" style="46" min="5" max="5"/>
  </cols>
  <sheetData>
    <row r="1">
      <c r="A1" s="1" t="inlineStr">
        <is>
          <t>Physical</t>
        </is>
      </c>
      <c r="B1" s="1" t="inlineStr">
        <is>
          <t>Goalkeeping</t>
        </is>
      </c>
      <c r="C1" s="1" t="inlineStr">
        <is>
          <t>Mental</t>
        </is>
      </c>
      <c r="D1" s="1" t="inlineStr">
        <is>
          <t>Technical</t>
        </is>
      </c>
      <c r="E1" s="1" t="inlineStr">
        <is>
          <t>Set Pieces</t>
        </is>
      </c>
      <c r="I1" s="16" t="inlineStr">
        <is>
          <t>GK</t>
        </is>
      </c>
      <c r="J1" s="15" t="inlineStr">
        <is>
          <t>Striker</t>
        </is>
      </c>
      <c r="O1" t="inlineStr">
        <is>
          <t>Acceleration</t>
        </is>
      </c>
    </row>
    <row r="2">
      <c r="A2" t="inlineStr">
        <is>
          <t>Acceleration</t>
        </is>
      </c>
      <c r="B2" t="inlineStr">
        <is>
          <t>Aerial Reach</t>
        </is>
      </c>
      <c r="C2" t="inlineStr">
        <is>
          <t>Aggression</t>
        </is>
      </c>
      <c r="D2" t="inlineStr">
        <is>
          <t>Crossing</t>
        </is>
      </c>
      <c r="E2" t="inlineStr">
        <is>
          <t>Corners</t>
        </is>
      </c>
      <c r="I2" t="inlineStr">
        <is>
          <t>D(R)</t>
        </is>
      </c>
      <c r="J2" s="15" t="inlineStr">
        <is>
          <t>AM(L)</t>
        </is>
      </c>
      <c r="O2" t="inlineStr">
        <is>
          <t>Aerial Reach</t>
        </is>
      </c>
    </row>
    <row r="3">
      <c r="A3" t="inlineStr">
        <is>
          <t>Agility</t>
        </is>
      </c>
      <c r="B3" t="inlineStr">
        <is>
          <t>Command Of Area</t>
        </is>
      </c>
      <c r="C3" t="inlineStr">
        <is>
          <t>Anticipation</t>
        </is>
      </c>
      <c r="D3" t="inlineStr">
        <is>
          <t>Dribbling</t>
        </is>
      </c>
      <c r="E3" t="inlineStr">
        <is>
          <t>Free Kick Taking</t>
        </is>
      </c>
      <c r="I3" t="inlineStr">
        <is>
          <t>D(C)</t>
        </is>
      </c>
      <c r="J3" s="15" t="inlineStr">
        <is>
          <t>AM(C)</t>
        </is>
      </c>
      <c r="O3" t="inlineStr">
        <is>
          <t>Aggression</t>
        </is>
      </c>
    </row>
    <row r="4">
      <c r="A4" t="inlineStr">
        <is>
          <t>Balance</t>
        </is>
      </c>
      <c r="B4" t="inlineStr">
        <is>
          <t>Communication</t>
        </is>
      </c>
      <c r="C4" t="inlineStr">
        <is>
          <t>Bravery</t>
        </is>
      </c>
      <c r="D4" t="inlineStr">
        <is>
          <t>Finishing</t>
        </is>
      </c>
      <c r="E4" t="inlineStr">
        <is>
          <t>Long Throws</t>
        </is>
      </c>
      <c r="I4" t="inlineStr">
        <is>
          <t>D(C)</t>
        </is>
      </c>
      <c r="J4" s="15" t="inlineStr">
        <is>
          <t>AM(R)</t>
        </is>
      </c>
      <c r="O4" t="inlineStr">
        <is>
          <t>Agility</t>
        </is>
      </c>
    </row>
    <row r="5">
      <c r="A5" t="inlineStr">
        <is>
          <t>Jumping Reach</t>
        </is>
      </c>
      <c r="B5" t="inlineStr">
        <is>
          <t>Eccentricity</t>
        </is>
      </c>
      <c r="C5" t="inlineStr">
        <is>
          <t>Composure</t>
        </is>
      </c>
      <c r="D5" t="inlineStr">
        <is>
          <t>First Touch</t>
        </is>
      </c>
      <c r="E5" t="inlineStr">
        <is>
          <t>Penalty Taking</t>
        </is>
      </c>
      <c r="I5" t="inlineStr">
        <is>
          <t>D(L)</t>
        </is>
      </c>
      <c r="J5" s="15" t="inlineStr">
        <is>
          <t>DM(L)</t>
        </is>
      </c>
      <c r="O5" t="inlineStr">
        <is>
          <t>Anticipation</t>
        </is>
      </c>
    </row>
    <row r="6">
      <c r="A6" t="inlineStr">
        <is>
          <t>Natural Fitness</t>
        </is>
      </c>
      <c r="B6" t="inlineStr">
        <is>
          <t>First Touch</t>
        </is>
      </c>
      <c r="C6" t="inlineStr">
        <is>
          <t>Concentration</t>
        </is>
      </c>
      <c r="D6" t="inlineStr">
        <is>
          <t>Heading</t>
        </is>
      </c>
      <c r="I6" t="inlineStr">
        <is>
          <t>DM - DLP</t>
        </is>
      </c>
      <c r="J6" s="15" t="inlineStr">
        <is>
          <t>DM(R)</t>
        </is>
      </c>
      <c r="O6" t="inlineStr">
        <is>
          <t>Balance</t>
        </is>
      </c>
    </row>
    <row r="7">
      <c r="A7" t="inlineStr">
        <is>
          <t>Pace</t>
        </is>
      </c>
      <c r="B7" t="inlineStr">
        <is>
          <t>Handling</t>
        </is>
      </c>
      <c r="C7" t="inlineStr">
        <is>
          <t>Decisions</t>
        </is>
      </c>
      <c r="D7" t="inlineStr">
        <is>
          <t>Long Shots</t>
        </is>
      </c>
      <c r="I7" t="inlineStr">
        <is>
          <t>DM - DM</t>
        </is>
      </c>
      <c r="J7" s="15" t="inlineStr">
        <is>
          <t>D(C)</t>
        </is>
      </c>
      <c r="O7" t="inlineStr">
        <is>
          <t>Bravery</t>
        </is>
      </c>
    </row>
    <row r="8">
      <c r="A8" t="inlineStr">
        <is>
          <t>Stamina</t>
        </is>
      </c>
      <c r="B8" t="inlineStr">
        <is>
          <t>Kicking</t>
        </is>
      </c>
      <c r="C8" t="inlineStr">
        <is>
          <t>Determination</t>
        </is>
      </c>
      <c r="D8" t="inlineStr">
        <is>
          <t>Marking</t>
        </is>
      </c>
      <c r="I8" t="inlineStr">
        <is>
          <t>AM(R)</t>
        </is>
      </c>
      <c r="J8" s="15" t="inlineStr">
        <is>
          <t>D(R/L)</t>
        </is>
      </c>
      <c r="O8" t="inlineStr">
        <is>
          <t>Command Of Area</t>
        </is>
      </c>
    </row>
    <row r="9">
      <c r="A9" t="inlineStr">
        <is>
          <t>Strength</t>
        </is>
      </c>
      <c r="B9" t="inlineStr">
        <is>
          <t>One On Ones</t>
        </is>
      </c>
      <c r="C9" t="inlineStr">
        <is>
          <t>Flair</t>
        </is>
      </c>
      <c r="D9" t="inlineStr">
        <is>
          <t>Passing</t>
        </is>
      </c>
      <c r="I9" t="inlineStr">
        <is>
          <t>AM(C)</t>
        </is>
      </c>
      <c r="O9" t="inlineStr">
        <is>
          <t>Communication</t>
        </is>
      </c>
    </row>
    <row r="10">
      <c r="B10" t="inlineStr">
        <is>
          <t>Passing</t>
        </is>
      </c>
      <c r="C10" t="inlineStr">
        <is>
          <t>Leadership</t>
        </is>
      </c>
      <c r="D10" t="inlineStr">
        <is>
          <t>Tackling</t>
        </is>
      </c>
      <c r="I10" t="inlineStr">
        <is>
          <t>AM(L)</t>
        </is>
      </c>
      <c r="O10" t="inlineStr">
        <is>
          <t>Composure</t>
        </is>
      </c>
    </row>
    <row r="11">
      <c r="B11" t="inlineStr">
        <is>
          <t>Punching (Tendency)</t>
        </is>
      </c>
      <c r="C11" t="inlineStr">
        <is>
          <t>Off The Ball</t>
        </is>
      </c>
      <c r="D11" t="inlineStr">
        <is>
          <t>Technique</t>
        </is>
      </c>
      <c r="I11" t="inlineStr">
        <is>
          <t>ST(C)</t>
        </is>
      </c>
      <c r="O11" t="inlineStr">
        <is>
          <t>Concentration</t>
        </is>
      </c>
    </row>
    <row r="12">
      <c r="B12" t="inlineStr">
        <is>
          <t>Reflexes</t>
        </is>
      </c>
      <c r="C12" t="inlineStr">
        <is>
          <t>Positioning</t>
        </is>
      </c>
      <c r="O12" t="inlineStr">
        <is>
          <t>Corners</t>
        </is>
      </c>
    </row>
    <row r="13">
      <c r="B13" t="inlineStr">
        <is>
          <t>Rushing Out (Tendency)</t>
        </is>
      </c>
      <c r="C13" t="inlineStr">
        <is>
          <t>Teamwork</t>
        </is>
      </c>
      <c r="O13" t="inlineStr">
        <is>
          <t>Crossing</t>
        </is>
      </c>
    </row>
    <row r="14">
      <c r="B14" t="inlineStr">
        <is>
          <t>Throwing</t>
        </is>
      </c>
      <c r="C14" t="inlineStr">
        <is>
          <t>Vision</t>
        </is>
      </c>
      <c r="O14" t="inlineStr">
        <is>
          <t>Decisions</t>
        </is>
      </c>
    </row>
    <row r="15">
      <c r="C15" t="inlineStr">
        <is>
          <t>Work Rate</t>
        </is>
      </c>
      <c r="O15" t="inlineStr">
        <is>
          <t>Determination</t>
        </is>
      </c>
    </row>
    <row r="16">
      <c r="O16" t="inlineStr">
        <is>
          <t>Dribbling</t>
        </is>
      </c>
    </row>
    <row r="17">
      <c r="O17" t="inlineStr">
        <is>
          <t>Eccentricity</t>
        </is>
      </c>
    </row>
    <row r="18">
      <c r="O18" t="inlineStr">
        <is>
          <t>Finishing</t>
        </is>
      </c>
    </row>
    <row r="19">
      <c r="O19" t="inlineStr">
        <is>
          <t>First Touch</t>
        </is>
      </c>
    </row>
    <row r="20">
      <c r="O20" t="inlineStr">
        <is>
          <t>First Touch</t>
        </is>
      </c>
    </row>
    <row r="21">
      <c r="O21" t="inlineStr">
        <is>
          <t>Flair</t>
        </is>
      </c>
    </row>
    <row r="22">
      <c r="O22" t="inlineStr">
        <is>
          <t>Free Kick Taking</t>
        </is>
      </c>
    </row>
    <row r="23">
      <c r="O23" t="inlineStr">
        <is>
          <t>Handling</t>
        </is>
      </c>
    </row>
    <row r="24">
      <c r="O24" t="inlineStr">
        <is>
          <t>Heading</t>
        </is>
      </c>
    </row>
    <row r="25">
      <c r="O25" t="inlineStr">
        <is>
          <t>Jumping Reach</t>
        </is>
      </c>
    </row>
    <row r="26">
      <c r="O26" t="inlineStr">
        <is>
          <t>Kicking</t>
        </is>
      </c>
    </row>
    <row r="27">
      <c r="O27" t="inlineStr">
        <is>
          <t>Leadership</t>
        </is>
      </c>
    </row>
    <row r="28">
      <c r="O28" t="inlineStr">
        <is>
          <t>Long Shots</t>
        </is>
      </c>
    </row>
    <row r="29">
      <c r="O29" t="inlineStr">
        <is>
          <t>Long Throws</t>
        </is>
      </c>
    </row>
    <row r="30">
      <c r="O30" t="inlineStr">
        <is>
          <t>Marking</t>
        </is>
      </c>
    </row>
    <row r="31">
      <c r="O31" t="inlineStr">
        <is>
          <t>Natural Fitness</t>
        </is>
      </c>
    </row>
    <row r="32">
      <c r="O32" t="inlineStr">
        <is>
          <t>Off The Ball</t>
        </is>
      </c>
    </row>
    <row r="33">
      <c r="O33" t="inlineStr">
        <is>
          <t>One On Ones</t>
        </is>
      </c>
    </row>
    <row r="34">
      <c r="O34" t="inlineStr">
        <is>
          <t>Pace</t>
        </is>
      </c>
    </row>
    <row r="35">
      <c r="O35" t="inlineStr">
        <is>
          <t>Passing</t>
        </is>
      </c>
    </row>
    <row r="36">
      <c r="O36" t="inlineStr">
        <is>
          <t>Passing</t>
        </is>
      </c>
    </row>
    <row r="37">
      <c r="O37" t="inlineStr">
        <is>
          <t>Penalty Taking</t>
        </is>
      </c>
    </row>
    <row r="38">
      <c r="O38" t="inlineStr">
        <is>
          <t>Positioning</t>
        </is>
      </c>
    </row>
    <row r="39">
      <c r="O39" t="inlineStr">
        <is>
          <t>Punching (Tendency)</t>
        </is>
      </c>
    </row>
    <row r="40">
      <c r="O40" t="inlineStr">
        <is>
          <t>Reflexes</t>
        </is>
      </c>
    </row>
    <row r="41">
      <c r="O41" t="inlineStr">
        <is>
          <t>Rushing Out (Tendency)</t>
        </is>
      </c>
    </row>
    <row r="42">
      <c r="O42" t="inlineStr">
        <is>
          <t>Stamina</t>
        </is>
      </c>
    </row>
    <row r="43">
      <c r="O43" t="inlineStr">
        <is>
          <t>Strength</t>
        </is>
      </c>
    </row>
    <row r="44">
      <c r="O44" t="inlineStr">
        <is>
          <t>Tackling</t>
        </is>
      </c>
    </row>
    <row r="45">
      <c r="O45" t="inlineStr">
        <is>
          <t>Teamwork</t>
        </is>
      </c>
    </row>
    <row r="46">
      <c r="O46" t="inlineStr">
        <is>
          <t>Technique</t>
        </is>
      </c>
    </row>
    <row r="47">
      <c r="O47" t="inlineStr">
        <is>
          <t>Throwing</t>
        </is>
      </c>
    </row>
    <row r="48">
      <c r="O48" t="inlineStr">
        <is>
          <t>Vision</t>
        </is>
      </c>
    </row>
    <row r="49">
      <c r="O49" t="inlineStr">
        <is>
          <t>Work Rate</t>
        </is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99"/>
  <sheetViews>
    <sheetView tabSelected="1" workbookViewId="0">
      <selection activeCell="I13" sqref="I13"/>
    </sheetView>
  </sheetViews>
  <sheetFormatPr baseColWidth="8" defaultColWidth="8.7109375" defaultRowHeight="15"/>
  <cols>
    <col width="18" bestFit="1" customWidth="1" style="46" min="1" max="1"/>
    <col width="16.42578125" bestFit="1" customWidth="1" style="45" min="2" max="2"/>
    <col width="9" bestFit="1" customWidth="1" style="45" min="3" max="3"/>
    <col width="8.28515625" bestFit="1" customWidth="1" style="45" min="4" max="4"/>
    <col width="8.140625" bestFit="1" customWidth="1" style="45" min="5" max="5"/>
    <col width="11.42578125" bestFit="1" customWidth="1" style="14" min="6" max="6"/>
    <col width="10.28515625" bestFit="1" customWidth="1" style="14" min="7" max="7"/>
    <col width="10.7109375" bestFit="1" customWidth="1" style="14" min="8" max="8"/>
    <col width="10.42578125" bestFit="1" customWidth="1" style="14" min="9" max="10"/>
    <col width="10.7109375" bestFit="1" customWidth="1" style="14" min="11" max="11"/>
    <col width="9.42578125" bestFit="1" customWidth="1" style="14" min="12" max="12"/>
    <col width="10.7109375" bestFit="1" customWidth="1" style="14" min="13" max="13"/>
    <col width="8.28515625" bestFit="1" customWidth="1" style="14" min="14" max="14"/>
    <col width="15.85546875" bestFit="1" customWidth="1" style="14" min="15" max="15"/>
    <col width="16" bestFit="1" customWidth="1" style="45" min="16" max="16"/>
    <col width="13.7109375" bestFit="1" customWidth="1" style="45" min="20" max="20"/>
    <col width="8.7109375" customWidth="1" style="45" min="21" max="22"/>
    <col width="10.140625" bestFit="1" customWidth="1" style="14" min="23" max="23"/>
    <col width="18" bestFit="1" customWidth="1" style="46" min="26" max="26"/>
    <col width="10.140625" bestFit="1" customWidth="1" style="46" min="29" max="29"/>
    <col width="14.5703125" bestFit="1" customWidth="1" style="46" min="32" max="32"/>
    <col width="10.140625" bestFit="1" customWidth="1" style="46" min="35" max="35"/>
  </cols>
  <sheetData>
    <row r="1" ht="15" customHeight="1" s="46" thickBot="1">
      <c r="A1" s="7" t="inlineStr">
        <is>
          <t>Name</t>
        </is>
      </c>
      <c r="B1" s="7" t="inlineStr">
        <is>
          <t>Best Position</t>
        </is>
      </c>
      <c r="C1" s="7" t="inlineStr">
        <is>
          <t>Age</t>
        </is>
      </c>
      <c r="D1" s="7" t="inlineStr">
        <is>
          <t>CA</t>
        </is>
      </c>
      <c r="E1" s="7" t="inlineStr">
        <is>
          <t>PA</t>
        </is>
      </c>
      <c r="F1" s="17" t="inlineStr">
        <is>
          <t>Striker</t>
        </is>
      </c>
      <c r="G1" s="17" t="inlineStr">
        <is>
          <t>AM(L)</t>
        </is>
      </c>
      <c r="H1" s="17" t="inlineStr">
        <is>
          <t>AM(C)</t>
        </is>
      </c>
      <c r="I1" s="17" t="inlineStr">
        <is>
          <t>AM(R)</t>
        </is>
      </c>
      <c r="J1" s="17" t="inlineStr">
        <is>
          <t>DM(L)</t>
        </is>
      </c>
      <c r="K1" s="17" t="inlineStr">
        <is>
          <t>DM(R)</t>
        </is>
      </c>
      <c r="L1" s="17" t="inlineStr">
        <is>
          <t>D(C)</t>
        </is>
      </c>
      <c r="M1" s="17" t="inlineStr">
        <is>
          <t>D(R/L)</t>
        </is>
      </c>
      <c r="N1" s="17" t="inlineStr">
        <is>
          <t>GK</t>
        </is>
      </c>
      <c r="O1" s="17" t="inlineStr">
        <is>
          <t>Highest Skill</t>
        </is>
      </c>
      <c r="P1" s="7" t="inlineStr">
        <is>
          <t>Positions</t>
        </is>
      </c>
      <c r="T1" s="20" t="inlineStr">
        <is>
          <t>Counts</t>
        </is>
      </c>
    </row>
    <row r="2" ht="15" customHeight="1" s="46">
      <c r="A2">
        <f>IF(ISBLANK(Display!A3),,Display!A3)</f>
        <v/>
      </c>
      <c r="B2" s="45">
        <f>IF($C2&gt;0,Display!B3,)</f>
        <v/>
      </c>
      <c r="C2" s="45">
        <f>IF(ISBLANK(Display!C3),"",Display!C3)</f>
        <v/>
      </c>
      <c r="D2" s="45">
        <f>IF(ISBLANK(Display!D3),"",Display!D3)</f>
        <v/>
      </c>
      <c r="E2" s="45">
        <f>IF(ISBLANK(Display!E3),"",Display!E3)</f>
        <v/>
      </c>
      <c r="F2" s="14">
        <f t="array" ref="F2">IF(ISBLANK(Display!J3),NULL,Display!J3)</f>
        <v/>
      </c>
      <c r="G2" s="14">
        <f t="array" ref="G2">IF(ISBLANK(Display!K3),NULL,Display!K3)</f>
        <v/>
      </c>
      <c r="H2" s="14">
        <f t="array" ref="H2">IF(ISBLANK(Display!L3),NULL,Display!L3)</f>
        <v/>
      </c>
      <c r="I2" s="14">
        <f t="array" ref="I2">IF(ISBLANK(Display!M3),NULL,Display!M3)</f>
        <v/>
      </c>
      <c r="J2" s="14">
        <f t="array" ref="J2">IF(ISBLANK(Display!N3),NULL,Display!N3)</f>
        <v/>
      </c>
      <c r="K2" s="14">
        <f t="array" ref="K2">IF(ISBLANK(Display!O3),NULL,Display!O3)</f>
        <v/>
      </c>
      <c r="L2" s="14">
        <f t="array" ref="L2">IF(ISBLANK(Display!P3),NULL,Display!P3)</f>
        <v/>
      </c>
      <c r="M2" s="14">
        <f t="array" ref="M2">IF(ISBLANK(Display!Q3),NULL,Display!Q3)</f>
        <v/>
      </c>
      <c r="N2" s="14">
        <f t="array" ref="N2">IF(ISBLANK(Display!R3),NULL,Display!R3)</f>
        <v/>
      </c>
      <c r="O2" s="14">
        <f>IF(ISBLANK(A2),"",MAX($F2:$N2))</f>
        <v/>
      </c>
      <c r="P2" s="45">
        <f>IF(ISBLANK(Display!I3),"",Display!I3)</f>
        <v/>
      </c>
      <c r="T2" s="20" t="n"/>
    </row>
    <row r="3">
      <c r="A3">
        <f>IF(ISBLANK(Display!A28),,Display!A28)</f>
        <v/>
      </c>
      <c r="B3" s="45">
        <f>IF($C3&gt;0,Display!B28,)</f>
        <v/>
      </c>
      <c r="C3" s="45">
        <f>IF(ISBLANK(Display!C28),"",Display!C28)</f>
        <v/>
      </c>
      <c r="D3" s="45">
        <f>IF(ISBLANK(Display!D28),"",Display!D28)</f>
        <v/>
      </c>
      <c r="E3" s="45">
        <f>IF(ISBLANK(Display!E28),"",Display!E28)</f>
        <v/>
      </c>
      <c r="F3" s="14">
        <f t="array" ref="F3">IF(ISBLANK(Display!J28),NULL,Display!J28)</f>
        <v/>
      </c>
      <c r="G3" s="14">
        <f t="array" ref="G3">IF(ISBLANK(Display!K28),NULL,Display!K28)</f>
        <v/>
      </c>
      <c r="H3" s="14">
        <f t="array" ref="H3">IF(ISBLANK(Display!L28),NULL,Display!L28)</f>
        <v/>
      </c>
      <c r="I3" s="14">
        <f t="array" ref="I3">IF(ISBLANK(Display!M28),NULL,Display!M28)</f>
        <v/>
      </c>
      <c r="J3" s="14">
        <f t="array" ref="J3">IF(ISBLANK(Display!N28),NULL,Display!N28)</f>
        <v/>
      </c>
      <c r="K3" s="14">
        <f t="array" ref="K3">IF(ISBLANK(Display!O28),NULL,Display!O28)</f>
        <v/>
      </c>
      <c r="L3" s="14">
        <f t="array" ref="L3">IF(ISBLANK(Display!P28),NULL,Display!P28)</f>
        <v/>
      </c>
      <c r="M3" s="14">
        <f t="array" ref="M3">IF(ISBLANK(Display!Q28),NULL,Display!Q28)</f>
        <v/>
      </c>
      <c r="N3" s="14">
        <f t="array" ref="N3">IF(ISBLANK(Display!R28),NULL,Display!R28)</f>
        <v/>
      </c>
      <c r="O3" s="14">
        <f>IF(ISBLANK(A3),"",MAX($F3:$N3))</f>
        <v/>
      </c>
      <c r="P3" s="45">
        <f>IF(ISBLANK(Display!I28),"",Display!I28)</f>
        <v/>
      </c>
      <c r="S3" s="19" t="inlineStr">
        <is>
          <t>GK</t>
        </is>
      </c>
      <c r="T3" s="45">
        <f>COUNTIF(P:P,S3)</f>
        <v/>
      </c>
      <c r="AF3" t="n">
        <v>9</v>
      </c>
    </row>
    <row r="4">
      <c r="A4">
        <f>IF(ISBLANK(Display!A41),,Display!A41)</f>
        <v/>
      </c>
      <c r="B4" s="45">
        <f>IF($C4&gt;0,Display!B41,)</f>
        <v/>
      </c>
      <c r="C4" s="45">
        <f>IF(ISBLANK(Display!C41),"",Display!C41)</f>
        <v/>
      </c>
      <c r="D4" s="45">
        <f>IF(ISBLANK(Display!D41),"",Display!D41)</f>
        <v/>
      </c>
      <c r="E4" s="45">
        <f>IF(ISBLANK(Display!E41),"",Display!E41)</f>
        <v/>
      </c>
      <c r="F4" s="14">
        <f t="array" ref="F4">IF(ISBLANK(Display!J41),NULL,Display!J41)</f>
        <v/>
      </c>
      <c r="G4" s="14">
        <f t="array" ref="G4">IF(ISBLANK(Display!K41),NULL,Display!K41)</f>
        <v/>
      </c>
      <c r="H4" s="14">
        <f t="array" ref="H4">IF(ISBLANK(Display!L41),NULL,Display!L41)</f>
        <v/>
      </c>
      <c r="I4" s="14">
        <f t="array" ref="I4">IF(ISBLANK(Display!M41),NULL,Display!M41)</f>
        <v/>
      </c>
      <c r="J4" s="14">
        <f t="array" ref="J4">IF(ISBLANK(Display!N41),NULL,Display!N41)</f>
        <v/>
      </c>
      <c r="K4" s="14">
        <f t="array" ref="K4">IF(ISBLANK(Display!O41),NULL,Display!O41)</f>
        <v/>
      </c>
      <c r="L4" s="14">
        <f t="array" ref="L4">IF(ISBLANK(Display!P41),NULL,Display!P41)</f>
        <v/>
      </c>
      <c r="M4" s="14">
        <f t="array" ref="M4">IF(ISBLANK(Display!Q41),NULL,Display!Q41)</f>
        <v/>
      </c>
      <c r="N4" s="14">
        <f t="array" ref="N4">IF(ISBLANK(Display!R41),NULL,Display!R41)</f>
        <v/>
      </c>
      <c r="O4" s="14">
        <f>IF(ISBLANK(A4),"",MAX($F4:$N4))</f>
        <v/>
      </c>
      <c r="P4" s="45">
        <f>IF(ISBLANK(Display!I41),"",Display!I41)</f>
        <v/>
      </c>
      <c r="S4" s="18" t="inlineStr">
        <is>
          <t>D(R)</t>
        </is>
      </c>
      <c r="T4" s="45">
        <f>COUNTIF(P:P,S4)</f>
        <v/>
      </c>
      <c r="AF4" t="n">
        <v>8</v>
      </c>
    </row>
    <row r="5">
      <c r="A5">
        <f>IF(ISBLANK(Display!A11),,Display!A11)</f>
        <v/>
      </c>
      <c r="B5" s="45">
        <f>IF($C5&gt;0,Display!B11,)</f>
        <v/>
      </c>
      <c r="C5" s="45">
        <f>IF(ISBLANK(Display!C11),"",Display!C11)</f>
        <v/>
      </c>
      <c r="D5" s="45">
        <f>IF(ISBLANK(Display!D11),"",Display!D11)</f>
        <v/>
      </c>
      <c r="E5" s="45">
        <f>IF(ISBLANK(Display!E11),"",Display!E11)</f>
        <v/>
      </c>
      <c r="F5" s="14">
        <f t="array" ref="F5">IF(ISBLANK(Display!J11),NULL,Display!J11)</f>
        <v/>
      </c>
      <c r="G5" s="14">
        <f t="array" ref="G5">IF(ISBLANK(Display!K11),NULL,Display!K11)</f>
        <v/>
      </c>
      <c r="H5" s="14">
        <f t="array" ref="H5">IF(ISBLANK(Display!L11),NULL,Display!L11)</f>
        <v/>
      </c>
      <c r="I5" s="14">
        <f t="array" ref="I5">IF(ISBLANK(Display!M11),NULL,Display!M11)</f>
        <v/>
      </c>
      <c r="J5" s="14">
        <f t="array" ref="J5">IF(ISBLANK(Display!N11),NULL,Display!N11)</f>
        <v/>
      </c>
      <c r="K5" s="14">
        <f t="array" ref="K5">IF(ISBLANK(Display!O11),NULL,Display!O11)</f>
        <v/>
      </c>
      <c r="L5" s="14">
        <f t="array" ref="L5">IF(ISBLANK(Display!P11),NULL,Display!P11)</f>
        <v/>
      </c>
      <c r="M5" s="14">
        <f t="array" ref="M5">IF(ISBLANK(Display!Q11),NULL,Display!Q11)</f>
        <v/>
      </c>
      <c r="N5" s="14">
        <f t="array" ref="N5">IF(ISBLANK(Display!R11),NULL,Display!R11)</f>
        <v/>
      </c>
      <c r="O5" s="14">
        <f>IF(ISBLANK(A5),"",MAX($F5:$N5))</f>
        <v/>
      </c>
      <c r="P5" s="45">
        <f>IF(ISBLANK(Display!I11),"",Display!I11)</f>
        <v/>
      </c>
      <c r="S5" s="18" t="inlineStr">
        <is>
          <t>D(C)</t>
        </is>
      </c>
      <c r="T5" s="45">
        <f>COUNTIF(P:P,S5)</f>
        <v/>
      </c>
      <c r="AF5" t="n">
        <v>7</v>
      </c>
    </row>
    <row r="6">
      <c r="A6">
        <f>IF(ISBLANK(Display!A22),,Display!A22)</f>
        <v/>
      </c>
      <c r="B6" s="45">
        <f>IF($C6&gt;0,Display!B22,)</f>
        <v/>
      </c>
      <c r="C6" s="45">
        <f>IF(ISBLANK(Display!C22),"",Display!C22)</f>
        <v/>
      </c>
      <c r="D6" s="45">
        <f>IF(ISBLANK(Display!D22),"",Display!D22)</f>
        <v/>
      </c>
      <c r="E6" s="45">
        <f>IF(ISBLANK(Display!E22),"",Display!E22)</f>
        <v/>
      </c>
      <c r="F6" s="14">
        <f t="array" ref="F6">IF(ISBLANK(Display!J22),NULL,Display!J22)</f>
        <v/>
      </c>
      <c r="G6" s="14">
        <f t="array" ref="G6">IF(ISBLANK(Display!K22),NULL,Display!K22)</f>
        <v/>
      </c>
      <c r="H6" s="14">
        <f t="array" ref="H6">IF(ISBLANK(Display!L22),NULL,Display!L22)</f>
        <v/>
      </c>
      <c r="I6" s="14">
        <f t="array" ref="I6">IF(ISBLANK(Display!M22),NULL,Display!M22)</f>
        <v/>
      </c>
      <c r="J6" s="14">
        <f t="array" ref="J6">IF(ISBLANK(Display!N22),NULL,Display!N22)</f>
        <v/>
      </c>
      <c r="K6" s="14">
        <f t="array" ref="K6">IF(ISBLANK(Display!O22),NULL,Display!O22)</f>
        <v/>
      </c>
      <c r="L6" s="14">
        <f t="array" ref="L6">IF(ISBLANK(Display!P22),NULL,Display!P22)</f>
        <v/>
      </c>
      <c r="M6" s="14">
        <f t="array" ref="M6">IF(ISBLANK(Display!Q22),NULL,Display!Q22)</f>
        <v/>
      </c>
      <c r="N6" s="14">
        <f t="array" ref="N6">IF(ISBLANK(Display!R22),NULL,Display!R22)</f>
        <v/>
      </c>
      <c r="O6" s="14">
        <f>IF(ISBLANK(A6),"",MAX($F6:$N6))</f>
        <v/>
      </c>
      <c r="P6" s="45">
        <f>IF(ISBLANK(Display!I22),"",Display!I22)</f>
        <v/>
      </c>
      <c r="S6" s="18" t="inlineStr">
        <is>
          <t>D(C)</t>
        </is>
      </c>
      <c r="T6" s="45">
        <f>COUNTIF(P:P,S6)</f>
        <v/>
      </c>
      <c r="AF6" t="n">
        <v>7</v>
      </c>
    </row>
    <row r="7">
      <c r="A7">
        <f>IF(ISBLANK(Display!A12),,Display!A12)</f>
        <v/>
      </c>
      <c r="B7" s="45">
        <f>IF($C7&gt;0,Display!B12,)</f>
        <v/>
      </c>
      <c r="C7" s="45">
        <f>IF(ISBLANK(Display!C12),"",Display!C12)</f>
        <v/>
      </c>
      <c r="D7" s="45">
        <f>IF(ISBLANK(Display!D12),"",Display!D12)</f>
        <v/>
      </c>
      <c r="E7" s="45">
        <f>IF(ISBLANK(Display!E12),"",Display!E12)</f>
        <v/>
      </c>
      <c r="F7" s="14">
        <f t="array" ref="F7">IF(ISBLANK(Display!J12),NULL,Display!J12)</f>
        <v/>
      </c>
      <c r="G7" s="14">
        <f t="array" ref="G7">IF(ISBLANK(Display!K12),NULL,Display!K12)</f>
        <v/>
      </c>
      <c r="H7" s="14">
        <f t="array" ref="H7">IF(ISBLANK(Display!L12),NULL,Display!L12)</f>
        <v/>
      </c>
      <c r="I7" s="14">
        <f t="array" ref="I7">IF(ISBLANK(Display!M12),NULL,Display!M12)</f>
        <v/>
      </c>
      <c r="J7" s="14">
        <f t="array" ref="J7">IF(ISBLANK(Display!N12),NULL,Display!N12)</f>
        <v/>
      </c>
      <c r="K7" s="14">
        <f t="array" ref="K7">IF(ISBLANK(Display!O12),NULL,Display!O12)</f>
        <v/>
      </c>
      <c r="L7" s="14">
        <f t="array" ref="L7">IF(ISBLANK(Display!P12),NULL,Display!P12)</f>
        <v/>
      </c>
      <c r="M7" s="14">
        <f t="array" ref="M7">IF(ISBLANK(Display!Q12),NULL,Display!Q12)</f>
        <v/>
      </c>
      <c r="N7" s="14">
        <f t="array" ref="N7">IF(ISBLANK(Display!R12),NULL,Display!R12)</f>
        <v/>
      </c>
      <c r="O7" s="14">
        <f>IF(ISBLANK(A7),"",MAX($F7:$N7))</f>
        <v/>
      </c>
      <c r="P7" s="45">
        <f>IF(ISBLANK(Display!I12),"",Display!I12)</f>
        <v/>
      </c>
      <c r="S7" s="18" t="inlineStr">
        <is>
          <t>D(L)</t>
        </is>
      </c>
      <c r="T7" s="45">
        <f>COUNTIF(P:P,S7)</f>
        <v/>
      </c>
      <c r="AF7" t="n">
        <v>8</v>
      </c>
    </row>
    <row r="8">
      <c r="A8">
        <f>IF(ISBLANK(Display!A21),,Display!A21)</f>
        <v/>
      </c>
      <c r="B8" s="45">
        <f>IF($C8&gt;0,Display!B21,)</f>
        <v/>
      </c>
      <c r="C8" s="45">
        <f>IF(ISBLANK(Display!C21),"",Display!C21)</f>
        <v/>
      </c>
      <c r="D8" s="45">
        <f>IF(ISBLANK(Display!D21),"",Display!D21)</f>
        <v/>
      </c>
      <c r="E8" s="45">
        <f>IF(ISBLANK(Display!E21),"",Display!E21)</f>
        <v/>
      </c>
      <c r="F8" s="14">
        <f t="array" ref="F8">IF(ISBLANK(Display!J21),NULL,Display!J21)</f>
        <v/>
      </c>
      <c r="G8" s="14">
        <f t="array" ref="G8">IF(ISBLANK(Display!K21),NULL,Display!K21)</f>
        <v/>
      </c>
      <c r="H8" s="14">
        <f t="array" ref="H8">IF(ISBLANK(Display!L21),NULL,Display!L21)</f>
        <v/>
      </c>
      <c r="I8" s="14">
        <f t="array" ref="I8">IF(ISBLANK(Display!M21),NULL,Display!M21)</f>
        <v/>
      </c>
      <c r="J8" s="14">
        <f t="array" ref="J8">IF(ISBLANK(Display!N21),NULL,Display!N21)</f>
        <v/>
      </c>
      <c r="K8" s="14">
        <f t="array" ref="K8">IF(ISBLANK(Display!O21),NULL,Display!O21)</f>
        <v/>
      </c>
      <c r="L8" s="14">
        <f t="array" ref="L8">IF(ISBLANK(Display!P21),NULL,Display!P21)</f>
        <v/>
      </c>
      <c r="M8" s="14">
        <f t="array" ref="M8">IF(ISBLANK(Display!Q21),NULL,Display!Q21)</f>
        <v/>
      </c>
      <c r="N8" s="14">
        <f t="array" ref="N8">IF(ISBLANK(Display!R21),NULL,Display!R21)</f>
        <v/>
      </c>
      <c r="O8" s="14">
        <f>IF(ISBLANK(A8),"",MAX($F8:$N8))</f>
        <v/>
      </c>
      <c r="P8" s="45">
        <f>IF(ISBLANK(Display!I21),"",Display!I21)</f>
        <v/>
      </c>
      <c r="S8" s="18" t="inlineStr">
        <is>
          <t>DM - DLP</t>
        </is>
      </c>
      <c r="T8" s="45">
        <f>COUNTIF(P:P,S8)</f>
        <v/>
      </c>
      <c r="AF8" t="n">
        <v>5</v>
      </c>
    </row>
    <row r="9">
      <c r="A9">
        <f>IF(ISBLANK(Display!A27),,Display!A27)</f>
        <v/>
      </c>
      <c r="B9" s="45">
        <f>IF($C9&gt;0,Display!B27,)</f>
        <v/>
      </c>
      <c r="C9" s="45">
        <f>IF(ISBLANK(Display!C27),"",Display!C27)</f>
        <v/>
      </c>
      <c r="D9" s="45">
        <f>IF(ISBLANK(Display!D27),"",Display!D27)</f>
        <v/>
      </c>
      <c r="E9" s="45">
        <f>IF(ISBLANK(Display!E27),"",Display!E27)</f>
        <v/>
      </c>
      <c r="F9" s="14">
        <f t="array" ref="F9">IF(ISBLANK(Display!J27),NULL,Display!J27)</f>
        <v/>
      </c>
      <c r="G9" s="14">
        <f t="array" ref="G9">IF(ISBLANK(Display!K27),NULL,Display!K27)</f>
        <v/>
      </c>
      <c r="H9" s="14">
        <f t="array" ref="H9">IF(ISBLANK(Display!L27),NULL,Display!L27)</f>
        <v/>
      </c>
      <c r="I9" s="14">
        <f t="array" ref="I9">IF(ISBLANK(Display!M27),NULL,Display!M27)</f>
        <v/>
      </c>
      <c r="J9" s="14">
        <f t="array" ref="J9">IF(ISBLANK(Display!N27),NULL,Display!N27)</f>
        <v/>
      </c>
      <c r="K9" s="14">
        <f t="array" ref="K9">IF(ISBLANK(Display!O27),NULL,Display!O27)</f>
        <v/>
      </c>
      <c r="L9" s="14">
        <f t="array" ref="L9">IF(ISBLANK(Display!P27),NULL,Display!P27)</f>
        <v/>
      </c>
      <c r="M9" s="14">
        <f t="array" ref="M9">IF(ISBLANK(Display!Q27),NULL,Display!Q27)</f>
        <v/>
      </c>
      <c r="N9" s="14">
        <f t="array" ref="N9">IF(ISBLANK(Display!R27),NULL,Display!R27)</f>
        <v/>
      </c>
      <c r="O9" s="14">
        <f>IF(ISBLANK(A9),"",MAX($F9:$N9))</f>
        <v/>
      </c>
      <c r="P9" s="45">
        <f>IF(ISBLANK(Display!I27),"",Display!I27)</f>
        <v/>
      </c>
      <c r="S9" s="18" t="inlineStr">
        <is>
          <t>DM - DM</t>
        </is>
      </c>
      <c r="T9" s="45">
        <f>COUNTIF(P:P,S9)</f>
        <v/>
      </c>
      <c r="AF9" t="n">
        <v>6</v>
      </c>
    </row>
    <row r="10">
      <c r="A10">
        <f>IF(ISBLANK(Display!A5),,Display!A5)</f>
        <v/>
      </c>
      <c r="B10" s="45">
        <f>IF($C10&gt;0,Display!B5,)</f>
        <v/>
      </c>
      <c r="C10" s="45">
        <f>IF(ISBLANK(Display!C5),"",Display!C5)</f>
        <v/>
      </c>
      <c r="D10" s="45">
        <f>IF(ISBLANK(Display!D5),"",Display!D5)</f>
        <v/>
      </c>
      <c r="E10" s="45">
        <f>IF(ISBLANK(Display!E5),"",Display!E5)</f>
        <v/>
      </c>
      <c r="F10" s="14">
        <f t="array" ref="F10">IF(ISBLANK(Display!J5),NULL,Display!J5)</f>
        <v/>
      </c>
      <c r="G10" s="14">
        <f t="array" ref="G10">IF(ISBLANK(Display!K5),NULL,Display!K5)</f>
        <v/>
      </c>
      <c r="H10" s="14">
        <f t="array" ref="H10">IF(ISBLANK(Display!L5),NULL,Display!L5)</f>
        <v/>
      </c>
      <c r="I10" s="14">
        <f t="array" ref="I10">IF(ISBLANK(Display!M5),NULL,Display!M5)</f>
        <v/>
      </c>
      <c r="J10" s="14">
        <f t="array" ref="J10">IF(ISBLANK(Display!N5),NULL,Display!N5)</f>
        <v/>
      </c>
      <c r="K10" s="14">
        <f t="array" ref="K10">IF(ISBLANK(Display!O5),NULL,Display!O5)</f>
        <v/>
      </c>
      <c r="L10" s="14">
        <f t="array" ref="L10">IF(ISBLANK(Display!P5),NULL,Display!P5)</f>
        <v/>
      </c>
      <c r="M10" s="14">
        <f t="array" ref="M10">IF(ISBLANK(Display!Q5),NULL,Display!Q5)</f>
        <v/>
      </c>
      <c r="N10" s="14">
        <f t="array" ref="N10">IF(ISBLANK(Display!R5),NULL,Display!R5)</f>
        <v/>
      </c>
      <c r="O10" s="14">
        <f>IF(ISBLANK(A10),"",MAX($F10:$N10))</f>
        <v/>
      </c>
      <c r="P10" s="45">
        <f>IF(ISBLANK(Display!I5),"",Display!I5)</f>
        <v/>
      </c>
      <c r="S10" s="18" t="inlineStr">
        <is>
          <t>AM(R)</t>
        </is>
      </c>
      <c r="T10" s="45">
        <f>COUNTIF(P:P,S10)</f>
        <v/>
      </c>
      <c r="AF10" t="n">
        <v>4</v>
      </c>
    </row>
    <row r="11">
      <c r="A11">
        <f>IF(ISBLANK(Display!A14),,Display!A14)</f>
        <v/>
      </c>
      <c r="B11" s="45">
        <f>IF($C11&gt;0,Display!B14,)</f>
        <v/>
      </c>
      <c r="C11" s="45">
        <f>IF(ISBLANK(Display!C14),"",Display!C14)</f>
        <v/>
      </c>
      <c r="D11" s="45">
        <f>IF(ISBLANK(Display!D14),"",Display!D14)</f>
        <v/>
      </c>
      <c r="E11" s="45">
        <f>IF(ISBLANK(Display!E14),"",Display!E14)</f>
        <v/>
      </c>
      <c r="F11" s="14">
        <f t="array" ref="F11">IF(ISBLANK(Display!J14),NULL,Display!J14)</f>
        <v/>
      </c>
      <c r="G11" s="14">
        <f t="array" ref="G11">IF(ISBLANK(Display!K14),NULL,Display!K14)</f>
        <v/>
      </c>
      <c r="H11" s="14">
        <f t="array" ref="H11">IF(ISBLANK(Display!L14),NULL,Display!L14)</f>
        <v/>
      </c>
      <c r="I11" s="14">
        <f t="array" ref="I11">IF(ISBLANK(Display!M14),NULL,Display!M14)</f>
        <v/>
      </c>
      <c r="J11" s="14">
        <f t="array" ref="J11">IF(ISBLANK(Display!N14),NULL,Display!N14)</f>
        <v/>
      </c>
      <c r="K11" s="14">
        <f t="array" ref="K11">IF(ISBLANK(Display!O14),NULL,Display!O14)</f>
        <v/>
      </c>
      <c r="L11" s="14">
        <f t="array" ref="L11">IF(ISBLANK(Display!P14),NULL,Display!P14)</f>
        <v/>
      </c>
      <c r="M11" s="14">
        <f t="array" ref="M11">IF(ISBLANK(Display!Q14),NULL,Display!Q14)</f>
        <v/>
      </c>
      <c r="N11" s="14">
        <f t="array" ref="N11">IF(ISBLANK(Display!R14),NULL,Display!R14)</f>
        <v/>
      </c>
      <c r="O11" s="14">
        <f>IF(ISBLANK(A11),"",MAX($F11:$N11))</f>
        <v/>
      </c>
      <c r="P11" s="45">
        <f>IF(ISBLANK(Display!I14),"",Display!I14)</f>
        <v/>
      </c>
      <c r="S11" s="18" t="inlineStr">
        <is>
          <t>AM(C)</t>
        </is>
      </c>
      <c r="T11" s="45">
        <f>COUNTIF(P:P,S11)</f>
        <v/>
      </c>
      <c r="AF11" t="n">
        <v>3</v>
      </c>
    </row>
    <row r="12">
      <c r="A12">
        <f>IF(ISBLANK(Display!A51),,Display!A51)</f>
        <v/>
      </c>
      <c r="B12" s="45">
        <f>IF($C12&gt;0,Display!B51,)</f>
        <v/>
      </c>
      <c r="C12" s="45">
        <f>IF(ISBLANK(Display!C51),"",Display!C51)</f>
        <v/>
      </c>
      <c r="D12" s="45">
        <f>IF(ISBLANK(Display!D51),"",Display!D51)</f>
        <v/>
      </c>
      <c r="E12" s="45">
        <f>IF(ISBLANK(Display!E51),"",Display!E51)</f>
        <v/>
      </c>
      <c r="F12" s="14">
        <f t="array" ref="F12">IF(ISBLANK(Display!J51),NULL,Display!J51)</f>
        <v/>
      </c>
      <c r="G12" s="14">
        <f t="array" ref="G12">IF(ISBLANK(Display!K51),NULL,Display!K51)</f>
        <v/>
      </c>
      <c r="H12" s="14">
        <f t="array" ref="H12">IF(ISBLANK(Display!L51),NULL,Display!L51)</f>
        <v/>
      </c>
      <c r="I12" s="14">
        <f t="array" ref="I12">IF(ISBLANK(Display!M51),NULL,Display!M51)</f>
        <v/>
      </c>
      <c r="J12" s="14">
        <f t="array" ref="J12">IF(ISBLANK(Display!N51),NULL,Display!N51)</f>
        <v/>
      </c>
      <c r="K12" s="14">
        <f t="array" ref="K12">IF(ISBLANK(Display!O51),NULL,Display!O51)</f>
        <v/>
      </c>
      <c r="L12" s="14">
        <f t="array" ref="L12">IF(ISBLANK(Display!P51),NULL,Display!P51)</f>
        <v/>
      </c>
      <c r="M12" s="14">
        <f t="array" ref="M12">IF(ISBLANK(Display!Q51),NULL,Display!Q51)</f>
        <v/>
      </c>
      <c r="N12" s="14">
        <f t="array" ref="N12">IF(ISBLANK(Display!R51),NULL,Display!R51)</f>
        <v/>
      </c>
      <c r="O12" s="14">
        <f>IF(ISBLANK(A12),"",MAX($F12:$N12))</f>
        <v/>
      </c>
      <c r="P12" s="45">
        <f>IF(ISBLANK(Display!I51),"",Display!I51)</f>
        <v/>
      </c>
      <c r="S12" s="18" t="inlineStr">
        <is>
          <t>AM(L)</t>
        </is>
      </c>
      <c r="T12" s="45">
        <f>COUNTIF(P:P,S12)</f>
        <v/>
      </c>
      <c r="AF12" t="n">
        <v>2</v>
      </c>
    </row>
    <row r="13">
      <c r="A13">
        <f>IF(ISBLANK(Display!A20),,Display!A20)</f>
        <v/>
      </c>
      <c r="B13" s="45">
        <f>IF($C13&gt;0,Display!B20,)</f>
        <v/>
      </c>
      <c r="C13" s="45">
        <f>IF(ISBLANK(Display!C20),"",Display!C20)</f>
        <v/>
      </c>
      <c r="D13" s="45">
        <f>IF(ISBLANK(Display!D20),"",Display!D20)</f>
        <v/>
      </c>
      <c r="E13" s="45">
        <f>IF(ISBLANK(Display!E20),"",Display!E20)</f>
        <v/>
      </c>
      <c r="F13" s="14">
        <f t="array" ref="F13">IF(ISBLANK(Display!J20),NULL,Display!J20)</f>
        <v/>
      </c>
      <c r="G13" s="14">
        <f t="array" ref="G13">IF(ISBLANK(Display!K20),NULL,Display!K20)</f>
        <v/>
      </c>
      <c r="H13" s="14">
        <f t="array" ref="H13">IF(ISBLANK(Display!L20),NULL,Display!L20)</f>
        <v/>
      </c>
      <c r="I13" s="14">
        <f t="array" ref="I13">IF(ISBLANK(Display!M20),NULL,Display!M20)</f>
        <v/>
      </c>
      <c r="J13" s="14">
        <f t="array" ref="J13">IF(ISBLANK(Display!N20),NULL,Display!N20)</f>
        <v/>
      </c>
      <c r="K13" s="14">
        <f t="array" ref="K13">IF(ISBLANK(Display!O20),NULL,Display!O20)</f>
        <v/>
      </c>
      <c r="L13" s="14">
        <f t="array" ref="L13">IF(ISBLANK(Display!P20),NULL,Display!P20)</f>
        <v/>
      </c>
      <c r="M13" s="14">
        <f t="array" ref="M13">IF(ISBLANK(Display!Q20),NULL,Display!Q20)</f>
        <v/>
      </c>
      <c r="N13" s="14">
        <f t="array" ref="N13">IF(ISBLANK(Display!R20),NULL,Display!R20)</f>
        <v/>
      </c>
      <c r="O13" s="14">
        <f>IF(ISBLANK(A13),"",MAX($F13:$N13))</f>
        <v/>
      </c>
      <c r="P13" s="45">
        <f>IF(ISBLANK(Display!I20),"",Display!I20)</f>
        <v/>
      </c>
      <c r="S13" s="18" t="inlineStr">
        <is>
          <t>ST(C)</t>
        </is>
      </c>
      <c r="T13" s="45">
        <f>COUNTIF(P:P,S13)</f>
        <v/>
      </c>
      <c r="AF13" t="n">
        <v>1</v>
      </c>
    </row>
    <row r="14">
      <c r="A14">
        <f>IF(ISBLANK(Display!A53),,Display!A53)</f>
        <v/>
      </c>
      <c r="B14" s="45">
        <f>IF($C14&gt;0,Display!B53,)</f>
        <v/>
      </c>
      <c r="C14" s="45">
        <f>IF(ISBLANK(Display!C53),"",Display!C53)</f>
        <v/>
      </c>
      <c r="D14" s="45">
        <f>IF(ISBLANK(Display!D53),"",Display!D53)</f>
        <v/>
      </c>
      <c r="E14" s="45">
        <f>IF(ISBLANK(Display!E53),"",Display!E53)</f>
        <v/>
      </c>
      <c r="F14" s="14">
        <f t="array" ref="F14">IF(ISBLANK(Display!J53),NULL,Display!J53)</f>
        <v/>
      </c>
      <c r="G14" s="14">
        <f t="array" ref="G14">IF(ISBLANK(Display!K53),NULL,Display!K53)</f>
        <v/>
      </c>
      <c r="H14" s="14">
        <f t="array" ref="H14">IF(ISBLANK(Display!L53),NULL,Display!L53)</f>
        <v/>
      </c>
      <c r="I14" s="14">
        <f t="array" ref="I14">IF(ISBLANK(Display!M53),NULL,Display!M53)</f>
        <v/>
      </c>
      <c r="J14" s="14">
        <f t="array" ref="J14">IF(ISBLANK(Display!N53),NULL,Display!N53)</f>
        <v/>
      </c>
      <c r="K14" s="14">
        <f t="array" ref="K14">IF(ISBLANK(Display!O53),NULL,Display!O53)</f>
        <v/>
      </c>
      <c r="L14" s="14">
        <f t="array" ref="L14">IF(ISBLANK(Display!P53),NULL,Display!P53)</f>
        <v/>
      </c>
      <c r="M14" s="14">
        <f t="array" ref="M14">IF(ISBLANK(Display!Q53),NULL,Display!Q53)</f>
        <v/>
      </c>
      <c r="N14" s="14">
        <f t="array" ref="N14">IF(ISBLANK(Display!R53),NULL,Display!R53)</f>
        <v/>
      </c>
      <c r="O14" s="14">
        <f>IF(ISBLANK(A14),"",MAX($F14:$N14))</f>
        <v/>
      </c>
      <c r="P14" s="45">
        <f>IF(ISBLANK(Display!I53),"",Display!I53)</f>
        <v/>
      </c>
    </row>
    <row r="15" ht="15" customHeight="1" s="46" thickBot="1">
      <c r="A15">
        <f>IF(ISBLANK(Display!A19),,Display!A19)</f>
        <v/>
      </c>
      <c r="B15" s="45">
        <f>IF($C15&gt;0,Display!B19,)</f>
        <v/>
      </c>
      <c r="C15" s="45">
        <f>IF(ISBLANK(Display!C19),"",Display!C19)</f>
        <v/>
      </c>
      <c r="D15" s="45">
        <f>IF(ISBLANK(Display!D19),"",Display!D19)</f>
        <v/>
      </c>
      <c r="E15" s="45">
        <f>IF(ISBLANK(Display!E19),"",Display!E19)</f>
        <v/>
      </c>
      <c r="F15" s="14">
        <f t="array" ref="F15">IF(ISBLANK(Display!J19),NULL,Display!J19)</f>
        <v/>
      </c>
      <c r="G15" s="14">
        <f t="array" ref="G15">IF(ISBLANK(Display!K19),NULL,Display!K19)</f>
        <v/>
      </c>
      <c r="H15" s="14">
        <f t="array" ref="H15">IF(ISBLANK(Display!L19),NULL,Display!L19)</f>
        <v/>
      </c>
      <c r="I15" s="14">
        <f t="array" ref="I15">IF(ISBLANK(Display!M19),NULL,Display!M19)</f>
        <v/>
      </c>
      <c r="J15" s="14">
        <f t="array" ref="J15">IF(ISBLANK(Display!N19),NULL,Display!N19)</f>
        <v/>
      </c>
      <c r="K15" s="14">
        <f t="array" ref="K15">IF(ISBLANK(Display!O19),NULL,Display!O19)</f>
        <v/>
      </c>
      <c r="L15" s="14">
        <f t="array" ref="L15">IF(ISBLANK(Display!P19),NULL,Display!P19)</f>
        <v/>
      </c>
      <c r="M15" s="14">
        <f t="array" ref="M15">IF(ISBLANK(Display!Q19),NULL,Display!Q19)</f>
        <v/>
      </c>
      <c r="N15" s="14">
        <f t="array" ref="N15">IF(ISBLANK(Display!R19),NULL,Display!R19)</f>
        <v/>
      </c>
      <c r="O15" s="14">
        <f>IF(ISBLANK(A15),"",MAX($F15:$N15))</f>
        <v/>
      </c>
      <c r="P15" s="45">
        <f>IF(ISBLANK(Display!I19),"",Display!I19)</f>
        <v/>
      </c>
    </row>
    <row r="16">
      <c r="A16">
        <f>IF(ISBLANK(Display!A23),,Display!A23)</f>
        <v/>
      </c>
      <c r="B16" s="45">
        <f>IF($C16&gt;0,Display!B23,)</f>
        <v/>
      </c>
      <c r="C16" s="45">
        <f>IF(ISBLANK(Display!C23),"",Display!C23)</f>
        <v/>
      </c>
      <c r="D16" s="45">
        <f>IF(ISBLANK(Display!D23),"",Display!D23)</f>
        <v/>
      </c>
      <c r="E16" s="45">
        <f>IF(ISBLANK(Display!E23),"",Display!E23)</f>
        <v/>
      </c>
      <c r="F16" s="14">
        <f t="array" ref="F16">IF(ISBLANK(Display!J23),NULL,Display!J23)</f>
        <v/>
      </c>
      <c r="G16" s="14">
        <f t="array" ref="G16">IF(ISBLANK(Display!K23),NULL,Display!K23)</f>
        <v/>
      </c>
      <c r="H16" s="14">
        <f t="array" ref="H16">IF(ISBLANK(Display!L23),NULL,Display!L23)</f>
        <v/>
      </c>
      <c r="I16" s="14">
        <f t="array" ref="I16">IF(ISBLANK(Display!M23),NULL,Display!M23)</f>
        <v/>
      </c>
      <c r="J16" s="14">
        <f t="array" ref="J16">IF(ISBLANK(Display!N23),NULL,Display!N23)</f>
        <v/>
      </c>
      <c r="K16" s="14">
        <f t="array" ref="K16">IF(ISBLANK(Display!O23),NULL,Display!O23)</f>
        <v/>
      </c>
      <c r="L16" s="14">
        <f t="array" ref="L16">IF(ISBLANK(Display!P23),NULL,Display!P23)</f>
        <v/>
      </c>
      <c r="M16" s="14">
        <f t="array" ref="M16">IF(ISBLANK(Display!Q23),NULL,Display!Q23)</f>
        <v/>
      </c>
      <c r="N16" s="14">
        <f t="array" ref="N16">IF(ISBLANK(Display!R23),NULL,Display!R23)</f>
        <v/>
      </c>
      <c r="O16" s="14">
        <f>IF(ISBLANK(A16),"",MAX($F16:$N16))</f>
        <v/>
      </c>
      <c r="P16" s="45">
        <f>IF(ISBLANK(Display!I23),"",Display!I23)</f>
        <v/>
      </c>
      <c r="S16" s="34" t="n"/>
      <c r="T16" s="41" t="inlineStr">
        <is>
          <t>Starting XI</t>
        </is>
      </c>
      <c r="U16" s="42" t="n"/>
      <c r="V16" s="42" t="n"/>
      <c r="W16" s="43" t="n"/>
      <c r="Y16" s="34" t="n"/>
      <c r="Z16" s="41" t="inlineStr">
        <is>
          <t>Starting XI</t>
        </is>
      </c>
      <c r="AA16" s="42" t="n"/>
      <c r="AB16" s="42" t="n"/>
      <c r="AC16" s="43" t="n"/>
    </row>
    <row r="17">
      <c r="A17">
        <f>IF(ISBLANK(Display!A69),,Display!A69)</f>
        <v/>
      </c>
      <c r="B17" s="45">
        <f>IF($C17&gt;0,Display!B69,)</f>
        <v/>
      </c>
      <c r="C17" s="45">
        <f>IF(ISBLANK(Display!C69),"",Display!C69)</f>
        <v/>
      </c>
      <c r="D17" s="45">
        <f>IF(ISBLANK(Display!D69),"",Display!D69)</f>
        <v/>
      </c>
      <c r="E17" s="45">
        <f>IF(ISBLANK(Display!E69),"",Display!E69)</f>
        <v/>
      </c>
      <c r="F17" s="14">
        <f t="array" ref="F17">IF(ISBLANK(Display!J69),NULL,Display!J69)</f>
        <v/>
      </c>
      <c r="G17" s="14">
        <f t="array" ref="G17">IF(ISBLANK(Display!K69),NULL,Display!K69)</f>
        <v/>
      </c>
      <c r="H17" s="14">
        <f t="array" ref="H17">IF(ISBLANK(Display!L69),NULL,Display!L69)</f>
        <v/>
      </c>
      <c r="I17" s="14">
        <f t="array" ref="I17">IF(ISBLANK(Display!M69),NULL,Display!M69)</f>
        <v/>
      </c>
      <c r="J17" s="14">
        <f t="array" ref="J17">IF(ISBLANK(Display!N69),NULL,Display!N69)</f>
        <v/>
      </c>
      <c r="K17" s="14">
        <f t="array" ref="K17">IF(ISBLANK(Display!O69),NULL,Display!O69)</f>
        <v/>
      </c>
      <c r="L17" s="14">
        <f t="array" ref="L17">IF(ISBLANK(Display!P69),NULL,Display!P69)</f>
        <v/>
      </c>
      <c r="M17" s="14">
        <f t="array" ref="M17">IF(ISBLANK(Display!Q69),NULL,Display!Q69)</f>
        <v/>
      </c>
      <c r="N17" s="14">
        <f t="array" ref="N17">IF(ISBLANK(Display!R69),NULL,Display!R69)</f>
        <v/>
      </c>
      <c r="O17" s="14">
        <f>IF(ISBLANK(A17),"",MAX($F17:$N17))</f>
        <v/>
      </c>
      <c r="P17" s="45">
        <f>IF(ISBLANK(Display!I69),"",Display!I69)</f>
        <v/>
      </c>
      <c r="S17" s="35" t="n"/>
      <c r="T17" s="32" t="inlineStr">
        <is>
          <t>Name</t>
        </is>
      </c>
      <c r="U17" s="32" t="inlineStr">
        <is>
          <t>Age</t>
        </is>
      </c>
      <c r="V17" s="32" t="inlineStr">
        <is>
          <t>CA / PA</t>
        </is>
      </c>
      <c r="W17" s="33" t="inlineStr">
        <is>
          <t>Pos. Rating</t>
        </is>
      </c>
      <c r="Y17" s="35" t="n"/>
      <c r="Z17" s="32" t="inlineStr">
        <is>
          <t>Name</t>
        </is>
      </c>
      <c r="AA17" s="32" t="inlineStr">
        <is>
          <t>Age</t>
        </is>
      </c>
      <c r="AB17" s="32" t="inlineStr">
        <is>
          <t>CA / PA</t>
        </is>
      </c>
      <c r="AC17" s="33" t="inlineStr">
        <is>
          <t>Pos. Rating</t>
        </is>
      </c>
    </row>
    <row r="18">
      <c r="A18">
        <f>IF(ISBLANK(Display!A4),,Display!A4)</f>
        <v/>
      </c>
      <c r="B18" s="45">
        <f>IF($C18&gt;0,Display!B4,)</f>
        <v/>
      </c>
      <c r="C18" s="45">
        <f>IF(ISBLANK(Display!C4),"",Display!C4)</f>
        <v/>
      </c>
      <c r="D18" s="45">
        <f>IF(ISBLANK(Display!D4),"",Display!D4)</f>
        <v/>
      </c>
      <c r="E18" s="45">
        <f>IF(ISBLANK(Display!E4),"",Display!E4)</f>
        <v/>
      </c>
      <c r="F18" s="14">
        <f t="array" ref="F18">IF(ISBLANK(Display!J4),NULL,Display!J4)</f>
        <v/>
      </c>
      <c r="G18" s="14">
        <f t="array" ref="G18">IF(ISBLANK(Display!K4),NULL,Display!K4)</f>
        <v/>
      </c>
      <c r="H18" s="14">
        <f t="array" ref="H18">IF(ISBLANK(Display!L4),NULL,Display!L4)</f>
        <v/>
      </c>
      <c r="I18" s="14">
        <f t="array" ref="I18">IF(ISBLANK(Display!M4),NULL,Display!M4)</f>
        <v/>
      </c>
      <c r="J18" s="14">
        <f t="array" ref="J18">IF(ISBLANK(Display!N4),NULL,Display!N4)</f>
        <v/>
      </c>
      <c r="K18" s="14">
        <f t="array" ref="K18">IF(ISBLANK(Display!O4),NULL,Display!O4)</f>
        <v/>
      </c>
      <c r="L18" s="14">
        <f t="array" ref="L18">IF(ISBLANK(Display!P4),NULL,Display!P4)</f>
        <v/>
      </c>
      <c r="M18" s="14">
        <f t="array" ref="M18">IF(ISBLANK(Display!Q4),NULL,Display!Q4)</f>
        <v/>
      </c>
      <c r="N18" s="14">
        <f t="array" ref="N18">IF(ISBLANK(Display!R4),NULL,Display!R4)</f>
        <v/>
      </c>
      <c r="O18" s="14">
        <f>IF(ISBLANK(A18),"",MAX($F18:$N18))</f>
        <v/>
      </c>
      <c r="P18" s="45">
        <f>IF(ISBLANK(Display!I4),"",Display!I4)</f>
        <v/>
      </c>
      <c r="S18" s="29" t="inlineStr">
        <is>
          <t>GK</t>
        </is>
      </c>
      <c r="T18" s="21" t="inlineStr">
        <is>
          <t>Ashley Sarahs</t>
        </is>
      </c>
      <c r="U18" s="45">
        <f>IFERROR(VLOOKUP($T18,$A$2:$P$500,3,FALSE),"")</f>
        <v/>
      </c>
      <c r="V18" s="45">
        <f>IFERROR(VLOOKUP($T18,$A$2:$P$500,4,FALSE)&amp;" / "&amp;VLOOKUP($T18,$A$2:$P$500,5,FALSE),"")</f>
        <v/>
      </c>
      <c r="W18" s="23">
        <f>IFERROR(VLOOKUP(T18,$A$2:$P$500,14,FALSE),"")</f>
        <v/>
      </c>
      <c r="Y18" s="29" t="inlineStr">
        <is>
          <t>GK</t>
        </is>
      </c>
      <c r="Z18" s="21" t="inlineStr">
        <is>
          <t>Michael Shaw</t>
        </is>
      </c>
      <c r="AA18" s="45">
        <f>IFERROR(VLOOKUP($Z18,$A$2:$P$500,3,FALSE),"")</f>
        <v/>
      </c>
      <c r="AB18" s="45">
        <f>IFERROR(VLOOKUP($Z18,$A$2:$P$500,4,FALSE)&amp;" / "&amp;VLOOKUP($Z18,$A$2:$P$500,5,FALSE),"")</f>
        <v/>
      </c>
      <c r="AC18" s="23">
        <f>IFERROR(VLOOKUP(Z18,$A$2:$P$500,14,FALSE),"")</f>
        <v/>
      </c>
    </row>
    <row r="19">
      <c r="A19">
        <f>IF(ISBLANK(Display!A16),,Display!A16)</f>
        <v/>
      </c>
      <c r="B19" s="45">
        <f>IF($C19&gt;0,Display!B16,)</f>
        <v/>
      </c>
      <c r="C19" s="45">
        <f>IF(ISBLANK(Display!C16),"",Display!C16)</f>
        <v/>
      </c>
      <c r="D19" s="45">
        <f>IF(ISBLANK(Display!D16),"",Display!D16)</f>
        <v/>
      </c>
      <c r="E19" s="45">
        <f>IF(ISBLANK(Display!E16),"",Display!E16)</f>
        <v/>
      </c>
      <c r="F19" s="14">
        <f t="array" ref="F19">IF(ISBLANK(Display!J16),NULL,Display!J16)</f>
        <v/>
      </c>
      <c r="G19" s="14">
        <f t="array" ref="G19">IF(ISBLANK(Display!K16),NULL,Display!K16)</f>
        <v/>
      </c>
      <c r="H19" s="14">
        <f t="array" ref="H19">IF(ISBLANK(Display!L16),NULL,Display!L16)</f>
        <v/>
      </c>
      <c r="I19" s="14">
        <f t="array" ref="I19">IF(ISBLANK(Display!M16),NULL,Display!M16)</f>
        <v/>
      </c>
      <c r="J19" s="14">
        <f t="array" ref="J19">IF(ISBLANK(Display!N16),NULL,Display!N16)</f>
        <v/>
      </c>
      <c r="K19" s="14">
        <f t="array" ref="K19">IF(ISBLANK(Display!O16),NULL,Display!O16)</f>
        <v/>
      </c>
      <c r="L19" s="14">
        <f t="array" ref="L19">IF(ISBLANK(Display!P16),NULL,Display!P16)</f>
        <v/>
      </c>
      <c r="M19" s="14">
        <f t="array" ref="M19">IF(ISBLANK(Display!Q16),NULL,Display!Q16)</f>
        <v/>
      </c>
      <c r="N19" s="14">
        <f t="array" ref="N19">IF(ISBLANK(Display!R16),NULL,Display!R16)</f>
        <v/>
      </c>
      <c r="O19" s="14">
        <f>IF(ISBLANK(A19),"",MAX($F19:$N19))</f>
        <v/>
      </c>
      <c r="P19" s="45">
        <f>IF(ISBLANK(Display!I16),"",Display!I16)</f>
        <v/>
      </c>
      <c r="S19" s="30" t="inlineStr">
        <is>
          <t>D(R)</t>
        </is>
      </c>
      <c r="T19" s="21" t="inlineStr">
        <is>
          <t>Hisashi Roddy</t>
        </is>
      </c>
      <c r="U19" s="45">
        <f>IFERROR(VLOOKUP($T19,$A$2:$P$500,3,FALSE),"")</f>
        <v/>
      </c>
      <c r="V19" s="45">
        <f>IFERROR(VLOOKUP($T19,$A$2:$P$500,4,FALSE)&amp;" / "&amp;VLOOKUP($T19,$A$2:$P$500,5,FALSE),"")</f>
        <v/>
      </c>
      <c r="W19" s="23">
        <f>IFERROR(VLOOKUP(T19,$A$2:$P$500,14,FALSE),"")</f>
        <v/>
      </c>
      <c r="Y19" s="30" t="inlineStr">
        <is>
          <t>D(R)</t>
        </is>
      </c>
      <c r="Z19" s="21" t="inlineStr">
        <is>
          <t>Joseph James</t>
        </is>
      </c>
      <c r="AA19" s="45">
        <f>IFERROR(VLOOKUP($Z19,$A$2:$P$500,3,FALSE),"")</f>
        <v/>
      </c>
      <c r="AB19" s="45">
        <f>IFERROR(VLOOKUP($Z19,$A$2:$P$500,4,FALSE)&amp;" / "&amp;VLOOKUP($Z19,$A$2:$P$500,5,FALSE),"")</f>
        <v/>
      </c>
      <c r="AC19" s="23">
        <f>IFERROR(VLOOKUP(Z19,$A$2:$P$500,14,FALSE),"")</f>
        <v/>
      </c>
    </row>
    <row r="20">
      <c r="A20">
        <f>IF(ISBLANK(Display!A25),,Display!A25)</f>
        <v/>
      </c>
      <c r="B20" s="45">
        <f>IF($C20&gt;0,Display!B25,)</f>
        <v/>
      </c>
      <c r="C20" s="45">
        <f>IF(ISBLANK(Display!C25),"",Display!C25)</f>
        <v/>
      </c>
      <c r="D20" s="45">
        <f>IF(ISBLANK(Display!D25),"",Display!D25)</f>
        <v/>
      </c>
      <c r="E20" s="45">
        <f>IF(ISBLANK(Display!E25),"",Display!E25)</f>
        <v/>
      </c>
      <c r="F20" s="14">
        <f t="array" ref="F20">IF(ISBLANK(Display!J25),NULL,Display!J25)</f>
        <v/>
      </c>
      <c r="G20" s="14">
        <f t="array" ref="G20">IF(ISBLANK(Display!K25),NULL,Display!K25)</f>
        <v/>
      </c>
      <c r="H20" s="14">
        <f t="array" ref="H20">IF(ISBLANK(Display!L25),NULL,Display!L25)</f>
        <v/>
      </c>
      <c r="I20" s="14">
        <f t="array" ref="I20">IF(ISBLANK(Display!M25),NULL,Display!M25)</f>
        <v/>
      </c>
      <c r="J20" s="14">
        <f t="array" ref="J20">IF(ISBLANK(Display!N25),NULL,Display!N25)</f>
        <v/>
      </c>
      <c r="K20" s="14">
        <f t="array" ref="K20">IF(ISBLANK(Display!O25),NULL,Display!O25)</f>
        <v/>
      </c>
      <c r="L20" s="14">
        <f t="array" ref="L20">IF(ISBLANK(Display!P25),NULL,Display!P25)</f>
        <v/>
      </c>
      <c r="M20" s="14">
        <f t="array" ref="M20">IF(ISBLANK(Display!Q25),NULL,Display!Q25)</f>
        <v/>
      </c>
      <c r="N20" s="14">
        <f t="array" ref="N20">IF(ISBLANK(Display!R25),NULL,Display!R25)</f>
        <v/>
      </c>
      <c r="O20" s="14">
        <f>IF(ISBLANK(A20),"",MAX($F20:$N20))</f>
        <v/>
      </c>
      <c r="P20" s="45">
        <f>IF(ISBLANK(Display!I25),"",Display!I25)</f>
        <v/>
      </c>
      <c r="S20" s="30" t="inlineStr">
        <is>
          <t>D(C)</t>
        </is>
      </c>
      <c r="T20" s="21" t="inlineStr">
        <is>
          <t>Asa Hall</t>
        </is>
      </c>
      <c r="U20" s="45">
        <f>IFERROR(VLOOKUP($T20,$A$2:$P$500,3,FALSE),"")</f>
        <v/>
      </c>
      <c r="V20" s="45">
        <f>IFERROR(VLOOKUP($T20,$A$2:$P$500,4,FALSE)&amp;" / "&amp;VLOOKUP($T20,$A$2:$P$500,5,FALSE),"")</f>
        <v/>
      </c>
      <c r="W20" s="23">
        <f>IFERROR(VLOOKUP(T20,$A$2:$P$500,14,FALSE),"")</f>
        <v/>
      </c>
      <c r="Y20" s="30" t="inlineStr">
        <is>
          <t>D(C)</t>
        </is>
      </c>
      <c r="Z20" s="21" t="inlineStr">
        <is>
          <t>Jayden Cumberbatch</t>
        </is>
      </c>
      <c r="AA20" s="45">
        <f>IFERROR(VLOOKUP($Z20,$A$2:$P$500,3,FALSE),"")</f>
        <v/>
      </c>
      <c r="AB20" s="45">
        <f>IFERROR(VLOOKUP($Z20,$A$2:$P$500,4,FALSE)&amp;" / "&amp;VLOOKUP($Z20,$A$2:$P$500,5,FALSE),"")</f>
        <v/>
      </c>
      <c r="AC20" s="23">
        <f>IFERROR(VLOOKUP(Z20,$A$2:$P$500,14,FALSE),"")</f>
        <v/>
      </c>
    </row>
    <row r="21">
      <c r="A21">
        <f>IF(ISBLANK(Display!A36),,Display!A36)</f>
        <v/>
      </c>
      <c r="B21" s="45">
        <f>IF($C21&gt;0,Display!B36,)</f>
        <v/>
      </c>
      <c r="C21" s="45">
        <f>IF(ISBLANK(Display!C36),"",Display!C36)</f>
        <v/>
      </c>
      <c r="D21" s="45">
        <f>IF(ISBLANK(Display!D36),"",Display!D36)</f>
        <v/>
      </c>
      <c r="E21" s="45">
        <f>IF(ISBLANK(Display!E36),"",Display!E36)</f>
        <v/>
      </c>
      <c r="F21" s="14">
        <f t="array" ref="F21">IF(ISBLANK(Display!J36),NULL,Display!J36)</f>
        <v/>
      </c>
      <c r="G21" s="14">
        <f t="array" ref="G21">IF(ISBLANK(Display!K36),NULL,Display!K36)</f>
        <v/>
      </c>
      <c r="H21" s="14">
        <f t="array" ref="H21">IF(ISBLANK(Display!L36),NULL,Display!L36)</f>
        <v/>
      </c>
      <c r="I21" s="14">
        <f t="array" ref="I21">IF(ISBLANK(Display!M36),NULL,Display!M36)</f>
        <v/>
      </c>
      <c r="J21" s="14">
        <f t="array" ref="J21">IF(ISBLANK(Display!N36),NULL,Display!N36)</f>
        <v/>
      </c>
      <c r="K21" s="14">
        <f t="array" ref="K21">IF(ISBLANK(Display!O36),NULL,Display!O36)</f>
        <v/>
      </c>
      <c r="L21" s="14">
        <f t="array" ref="L21">IF(ISBLANK(Display!P36),NULL,Display!P36)</f>
        <v/>
      </c>
      <c r="M21" s="14">
        <f t="array" ref="M21">IF(ISBLANK(Display!Q36),NULL,Display!Q36)</f>
        <v/>
      </c>
      <c r="N21" s="14">
        <f t="array" ref="N21">IF(ISBLANK(Display!R36),NULL,Display!R36)</f>
        <v/>
      </c>
      <c r="O21" s="14">
        <f>IF(ISBLANK(A21),"",MAX($F21:$N21))</f>
        <v/>
      </c>
      <c r="P21" s="45">
        <f>IF(ISBLANK(Display!I36),"",Display!I36)</f>
        <v/>
      </c>
      <c r="S21" s="30" t="inlineStr">
        <is>
          <t>D(C)</t>
        </is>
      </c>
      <c r="T21" s="21" t="inlineStr">
        <is>
          <t>Jada Mawongo</t>
        </is>
      </c>
      <c r="U21" s="45">
        <f>IFERROR(VLOOKUP($T21,$A$2:$P$500,3,FALSE),"")</f>
        <v/>
      </c>
      <c r="V21" s="45">
        <f>IFERROR(VLOOKUP($T21,$A$2:$P$500,4,FALSE)&amp;" / "&amp;VLOOKUP($T21,$A$2:$P$500,5,FALSE),"")</f>
        <v/>
      </c>
      <c r="W21" s="23">
        <f>IFERROR(VLOOKUP(T21,$A$2:$P$500,14,FALSE),"")</f>
        <v/>
      </c>
      <c r="Y21" s="30" t="inlineStr">
        <is>
          <t>D(C)</t>
        </is>
      </c>
      <c r="Z21" s="21" t="inlineStr">
        <is>
          <t>Maxwell Redman</t>
        </is>
      </c>
      <c r="AA21" s="45">
        <f>IFERROR(VLOOKUP($Z21,$A$2:$P$500,3,FALSE),"")</f>
        <v/>
      </c>
      <c r="AB21" s="45">
        <f>IFERROR(VLOOKUP($Z21,$A$2:$P$500,4,FALSE)&amp;" / "&amp;VLOOKUP($Z21,$A$2:$P$500,5,FALSE),"")</f>
        <v/>
      </c>
      <c r="AC21" s="23">
        <f>IFERROR(VLOOKUP(Z21,$A$2:$P$500,14,FALSE),"")</f>
        <v/>
      </c>
    </row>
    <row r="22">
      <c r="A22">
        <f>IF(ISBLANK(Display!A44),,Display!A44)</f>
        <v/>
      </c>
      <c r="B22" s="45">
        <f>IF($C22&gt;0,Display!B44,)</f>
        <v/>
      </c>
      <c r="C22" s="45">
        <f>IF(ISBLANK(Display!C44),"",Display!C44)</f>
        <v/>
      </c>
      <c r="D22" s="45">
        <f>IF(ISBLANK(Display!D44),"",Display!D44)</f>
        <v/>
      </c>
      <c r="E22" s="45">
        <f>IF(ISBLANK(Display!E44),"",Display!E44)</f>
        <v/>
      </c>
      <c r="F22" s="14">
        <f t="array" ref="F22">IF(ISBLANK(Display!J44),NULL,Display!J44)</f>
        <v/>
      </c>
      <c r="G22" s="14">
        <f t="array" ref="G22">IF(ISBLANK(Display!K44),NULL,Display!K44)</f>
        <v/>
      </c>
      <c r="H22" s="14">
        <f t="array" ref="H22">IF(ISBLANK(Display!L44),NULL,Display!L44)</f>
        <v/>
      </c>
      <c r="I22" s="14">
        <f t="array" ref="I22">IF(ISBLANK(Display!M44),NULL,Display!M44)</f>
        <v/>
      </c>
      <c r="J22" s="14">
        <f t="array" ref="J22">IF(ISBLANK(Display!N44),NULL,Display!N44)</f>
        <v/>
      </c>
      <c r="K22" s="14">
        <f t="array" ref="K22">IF(ISBLANK(Display!O44),NULL,Display!O44)</f>
        <v/>
      </c>
      <c r="L22" s="14">
        <f t="array" ref="L22">IF(ISBLANK(Display!P44),NULL,Display!P44)</f>
        <v/>
      </c>
      <c r="M22" s="14">
        <f t="array" ref="M22">IF(ISBLANK(Display!Q44),NULL,Display!Q44)</f>
        <v/>
      </c>
      <c r="N22" s="14">
        <f t="array" ref="N22">IF(ISBLANK(Display!R44),NULL,Display!R44)</f>
        <v/>
      </c>
      <c r="O22" s="14">
        <f>IF(ISBLANK(A22),"",MAX($F22:$N22))</f>
        <v/>
      </c>
      <c r="P22" s="45">
        <f>IF(ISBLANK(Display!I44),"",Display!I44)</f>
        <v/>
      </c>
      <c r="S22" s="30" t="inlineStr">
        <is>
          <t>D(L)</t>
        </is>
      </c>
      <c r="T22" s="21" t="inlineStr">
        <is>
          <t>Ryan Penny</t>
        </is>
      </c>
      <c r="U22" s="45">
        <f>IFERROR(VLOOKUP($T22,$A$2:$P$500,3,FALSE),"")</f>
        <v/>
      </c>
      <c r="V22" s="45">
        <f>IFERROR(VLOOKUP($T22,$A$2:$P$500,4,FALSE)&amp;" / "&amp;VLOOKUP($T22,$A$2:$P$500,5,FALSE),"")</f>
        <v/>
      </c>
      <c r="W22" s="23">
        <f>IFERROR(VLOOKUP(T22,$A$2:$P$500,14,FALSE),"")</f>
        <v/>
      </c>
      <c r="Y22" s="30" t="inlineStr">
        <is>
          <t>D(L)</t>
        </is>
      </c>
      <c r="Z22" s="21" t="inlineStr">
        <is>
          <t>Taye Weir</t>
        </is>
      </c>
      <c r="AA22" s="45">
        <f>IFERROR(VLOOKUP($Z22,$A$2:$P$500,3,FALSE),"")</f>
        <v/>
      </c>
      <c r="AB22" s="45">
        <f>IFERROR(VLOOKUP($Z22,$A$2:$P$500,4,FALSE)&amp;" / "&amp;VLOOKUP($Z22,$A$2:$P$500,5,FALSE),"")</f>
        <v/>
      </c>
      <c r="AC22" s="23">
        <f>IFERROR(VLOOKUP(Z22,$A$2:$P$500,14,FALSE),"")</f>
        <v/>
      </c>
    </row>
    <row r="23">
      <c r="A23">
        <f>IF(ISBLANK(Display!A73),,Display!A73)</f>
        <v/>
      </c>
      <c r="B23" s="45">
        <f>IF($C23&gt;0,Display!B73,)</f>
        <v/>
      </c>
      <c r="C23" s="45">
        <f>IF(ISBLANK(Display!C73),"",Display!C73)</f>
        <v/>
      </c>
      <c r="D23" s="45">
        <f>IF(ISBLANK(Display!D73),"",Display!D73)</f>
        <v/>
      </c>
      <c r="E23" s="45">
        <f>IF(ISBLANK(Display!E73),"",Display!E73)</f>
        <v/>
      </c>
      <c r="F23" s="14">
        <f t="array" ref="F23">IF(ISBLANK(Display!J73),NULL,Display!J73)</f>
        <v/>
      </c>
      <c r="G23" s="14">
        <f t="array" ref="G23">IF(ISBLANK(Display!K73),NULL,Display!K73)</f>
        <v/>
      </c>
      <c r="H23" s="14">
        <f t="array" ref="H23">IF(ISBLANK(Display!L73),NULL,Display!L73)</f>
        <v/>
      </c>
      <c r="I23" s="14">
        <f t="array" ref="I23">IF(ISBLANK(Display!M73),NULL,Display!M73)</f>
        <v/>
      </c>
      <c r="J23" s="14">
        <f t="array" ref="J23">IF(ISBLANK(Display!N73),NULL,Display!N73)</f>
        <v/>
      </c>
      <c r="K23" s="14">
        <f t="array" ref="K23">IF(ISBLANK(Display!O73),NULL,Display!O73)</f>
        <v/>
      </c>
      <c r="L23" s="14">
        <f t="array" ref="L23">IF(ISBLANK(Display!P73),NULL,Display!P73)</f>
        <v/>
      </c>
      <c r="M23" s="14">
        <f t="array" ref="M23">IF(ISBLANK(Display!Q73),NULL,Display!Q73)</f>
        <v/>
      </c>
      <c r="N23" s="14">
        <f t="array" ref="N23">IF(ISBLANK(Display!R73),NULL,Display!R73)</f>
        <v/>
      </c>
      <c r="O23" s="14">
        <f>IF(ISBLANK(A23),"",MAX($F23:$N23))</f>
        <v/>
      </c>
      <c r="P23" s="45">
        <f>IF(ISBLANK(Display!I73),"",Display!I73)</f>
        <v/>
      </c>
      <c r="S23" s="30" t="inlineStr">
        <is>
          <t>DM - DLP</t>
        </is>
      </c>
      <c r="T23" s="21" t="inlineStr">
        <is>
          <t>Aydin Webb</t>
        </is>
      </c>
      <c r="U23" s="45">
        <f>IFERROR(VLOOKUP($T23,$A$2:$P$500,3,FALSE),"")</f>
        <v/>
      </c>
      <c r="V23" s="45">
        <f>IFERROR(VLOOKUP($T23,$A$2:$P$500,4,FALSE)&amp;" / "&amp;VLOOKUP($T23,$A$2:$P$500,5,FALSE),"")</f>
        <v/>
      </c>
      <c r="W23" s="23">
        <f>IFERROR(VLOOKUP(T23,$A$2:$P$500,14,FALSE),"")</f>
        <v/>
      </c>
      <c r="Y23" s="30" t="inlineStr">
        <is>
          <t>DM - DLP</t>
        </is>
      </c>
      <c r="Z23" s="21" t="inlineStr">
        <is>
          <t>Connor Underhill</t>
        </is>
      </c>
      <c r="AA23" s="45">
        <f>IFERROR(VLOOKUP($Z23,$A$2:$P$500,3,FALSE),"")</f>
        <v/>
      </c>
      <c r="AB23" s="45">
        <f>IFERROR(VLOOKUP($Z23,$A$2:$P$500,4,FALSE)&amp;" / "&amp;VLOOKUP($Z23,$A$2:$P$500,5,FALSE),"")</f>
        <v/>
      </c>
      <c r="AC23" s="23">
        <f>IFERROR(VLOOKUP(Z23,$A$2:$P$500,14,FALSE),"")</f>
        <v/>
      </c>
    </row>
    <row r="24">
      <c r="A24">
        <f>IF(ISBLANK(Display!A68),,Display!A68)</f>
        <v/>
      </c>
      <c r="B24" s="45">
        <f>IF($C24&gt;0,Display!B68,)</f>
        <v/>
      </c>
      <c r="C24" s="45">
        <f>IF(ISBLANK(Display!C68),"",Display!C68)</f>
        <v/>
      </c>
      <c r="D24" s="45">
        <f>IF(ISBLANK(Display!D68),"",Display!D68)</f>
        <v/>
      </c>
      <c r="E24" s="45">
        <f>IF(ISBLANK(Display!E68),"",Display!E68)</f>
        <v/>
      </c>
      <c r="F24" s="14">
        <f t="array" ref="F24">IF(ISBLANK(Display!J68),NULL,Display!J68)</f>
        <v/>
      </c>
      <c r="G24" s="14">
        <f t="array" ref="G24">IF(ISBLANK(Display!K68),NULL,Display!K68)</f>
        <v/>
      </c>
      <c r="H24" s="14">
        <f t="array" ref="H24">IF(ISBLANK(Display!L68),NULL,Display!L68)</f>
        <v/>
      </c>
      <c r="I24" s="14">
        <f t="array" ref="I24">IF(ISBLANK(Display!M68),NULL,Display!M68)</f>
        <v/>
      </c>
      <c r="J24" s="14">
        <f t="array" ref="J24">IF(ISBLANK(Display!N68),NULL,Display!N68)</f>
        <v/>
      </c>
      <c r="K24" s="14">
        <f t="array" ref="K24">IF(ISBLANK(Display!O68),NULL,Display!O68)</f>
        <v/>
      </c>
      <c r="L24" s="14">
        <f t="array" ref="L24">IF(ISBLANK(Display!P68),NULL,Display!P68)</f>
        <v/>
      </c>
      <c r="M24" s="14">
        <f t="array" ref="M24">IF(ISBLANK(Display!Q68),NULL,Display!Q68)</f>
        <v/>
      </c>
      <c r="N24" s="14">
        <f t="array" ref="N24">IF(ISBLANK(Display!R68),NULL,Display!R68)</f>
        <v/>
      </c>
      <c r="O24" s="14">
        <f>IF(ISBLANK(A24),"",MAX($F24:$N24))</f>
        <v/>
      </c>
      <c r="P24" s="45">
        <f>IF(ISBLANK(Display!I68),"",Display!I68)</f>
        <v/>
      </c>
      <c r="S24" s="30" t="inlineStr">
        <is>
          <t>DM - DM</t>
        </is>
      </c>
      <c r="T24" s="21" t="inlineStr">
        <is>
          <t>Andrey Quintino</t>
        </is>
      </c>
      <c r="U24" s="45">
        <f>IFERROR(VLOOKUP($T24,$A$2:$P$500,3,FALSE),"")</f>
        <v/>
      </c>
      <c r="V24" s="45">
        <f>IFERROR(VLOOKUP($T24,$A$2:$P$500,4,FALSE)&amp;" / "&amp;VLOOKUP($T24,$A$2:$P$500,5,FALSE),"")</f>
        <v/>
      </c>
      <c r="W24" s="23">
        <f>IFERROR(VLOOKUP(T24,$A$2:$P$500,14,FALSE),"")</f>
        <v/>
      </c>
      <c r="Y24" s="30" t="inlineStr">
        <is>
          <t>DM - DM</t>
        </is>
      </c>
      <c r="Z24" s="21" t="inlineStr">
        <is>
          <t>Joshua Adepoju</t>
        </is>
      </c>
      <c r="AA24" s="45">
        <f>IFERROR(VLOOKUP($Z24,$A$2:$P$500,3,FALSE),"")</f>
        <v/>
      </c>
      <c r="AB24" s="45">
        <f>IFERROR(VLOOKUP($Z24,$A$2:$P$500,4,FALSE)&amp;" / "&amp;VLOOKUP($Z24,$A$2:$P$500,5,FALSE),"")</f>
        <v/>
      </c>
      <c r="AC24" s="23">
        <f>IFERROR(VLOOKUP(Z24,$A$2:$P$500,14,FALSE),"")</f>
        <v/>
      </c>
    </row>
    <row r="25">
      <c r="A25">
        <f>IF(ISBLANK(Display!A6),,Display!A6)</f>
        <v/>
      </c>
      <c r="B25" s="45">
        <f>IF($C25&gt;0,Display!B6,)</f>
        <v/>
      </c>
      <c r="C25" s="45">
        <f>IF(ISBLANK(Display!C6),"",Display!C6)</f>
        <v/>
      </c>
      <c r="D25" s="45">
        <f>IF(ISBLANK(Display!D6),"",Display!D6)</f>
        <v/>
      </c>
      <c r="E25" s="45">
        <f>IF(ISBLANK(Display!E6),"",Display!E6)</f>
        <v/>
      </c>
      <c r="F25" s="14">
        <f t="array" ref="F25">IF(ISBLANK(Display!J6),NULL,Display!J6)</f>
        <v/>
      </c>
      <c r="G25" s="14">
        <f t="array" ref="G25">IF(ISBLANK(Display!K6),NULL,Display!K6)</f>
        <v/>
      </c>
      <c r="H25" s="14">
        <f t="array" ref="H25">IF(ISBLANK(Display!L6),NULL,Display!L6)</f>
        <v/>
      </c>
      <c r="I25" s="14">
        <f t="array" ref="I25">IF(ISBLANK(Display!M6),NULL,Display!M6)</f>
        <v/>
      </c>
      <c r="J25" s="14">
        <f t="array" ref="J25">IF(ISBLANK(Display!N6),NULL,Display!N6)</f>
        <v/>
      </c>
      <c r="K25" s="14">
        <f t="array" ref="K25">IF(ISBLANK(Display!O6),NULL,Display!O6)</f>
        <v/>
      </c>
      <c r="L25" s="14">
        <f t="array" ref="L25">IF(ISBLANK(Display!P6),NULL,Display!P6)</f>
        <v/>
      </c>
      <c r="M25" s="14">
        <f t="array" ref="M25">IF(ISBLANK(Display!Q6),NULL,Display!Q6)</f>
        <v/>
      </c>
      <c r="N25" s="14">
        <f t="array" ref="N25">IF(ISBLANK(Display!R6),NULL,Display!R6)</f>
        <v/>
      </c>
      <c r="O25" s="14">
        <f>IF(ISBLANK(A25),"",MAX($F25:$N25))</f>
        <v/>
      </c>
      <c r="P25" s="45">
        <f>IF(ISBLANK(Display!I6),"",Display!I6)</f>
        <v/>
      </c>
      <c r="S25" s="30" t="inlineStr">
        <is>
          <t>AM(R)</t>
        </is>
      </c>
      <c r="T25" s="21" t="inlineStr">
        <is>
          <t>Paul Stroud</t>
        </is>
      </c>
      <c r="U25" s="45">
        <f>IFERROR(VLOOKUP($T25,$A$2:$P$500,3,FALSE),"")</f>
        <v/>
      </c>
      <c r="V25" s="45">
        <f>IFERROR(VLOOKUP($T25,$A$2:$P$500,4,FALSE)&amp;" / "&amp;VLOOKUP($T25,$A$2:$P$500,5,FALSE),"")</f>
        <v/>
      </c>
      <c r="W25" s="23">
        <f>IFERROR(VLOOKUP(T25,$A$2:$P$500,14,FALSE),"")</f>
        <v/>
      </c>
      <c r="Y25" s="30" t="inlineStr">
        <is>
          <t>AM(R)</t>
        </is>
      </c>
      <c r="Z25" s="21" t="inlineStr">
        <is>
          <t>Mateusz Widz</t>
        </is>
      </c>
      <c r="AA25" s="45">
        <f>IFERROR(VLOOKUP($Z25,$A$2:$P$500,3,FALSE),"")</f>
        <v/>
      </c>
      <c r="AB25" s="45">
        <f>IFERROR(VLOOKUP($Z25,$A$2:$P$500,4,FALSE)&amp;" / "&amp;VLOOKUP($Z25,$A$2:$P$500,5,FALSE),"")</f>
        <v/>
      </c>
      <c r="AC25" s="23">
        <f>IFERROR(VLOOKUP(Z25,$A$2:$P$500,14,FALSE),"")</f>
        <v/>
      </c>
    </row>
    <row r="26">
      <c r="A26">
        <f>IF(ISBLANK(Display!A58),,Display!A58)</f>
        <v/>
      </c>
      <c r="B26" s="45">
        <f>IF($C26&gt;0,Display!B58,)</f>
        <v/>
      </c>
      <c r="C26" s="45">
        <f>IF(ISBLANK(Display!C58),"",Display!C58)</f>
        <v/>
      </c>
      <c r="D26" s="45">
        <f>IF(ISBLANK(Display!D58),"",Display!D58)</f>
        <v/>
      </c>
      <c r="E26" s="45">
        <f>IF(ISBLANK(Display!E58),"",Display!E58)</f>
        <v/>
      </c>
      <c r="F26" s="14">
        <f t="array" ref="F26">IF(ISBLANK(Display!J58),NULL,Display!J58)</f>
        <v/>
      </c>
      <c r="G26" s="14">
        <f t="array" ref="G26">IF(ISBLANK(Display!K58),NULL,Display!K58)</f>
        <v/>
      </c>
      <c r="H26" s="14">
        <f t="array" ref="H26">IF(ISBLANK(Display!L58),NULL,Display!L58)</f>
        <v/>
      </c>
      <c r="I26" s="14">
        <f t="array" ref="I26">IF(ISBLANK(Display!M58),NULL,Display!M58)</f>
        <v/>
      </c>
      <c r="J26" s="14">
        <f t="array" ref="J26">IF(ISBLANK(Display!N58),NULL,Display!N58)</f>
        <v/>
      </c>
      <c r="K26" s="14">
        <f t="array" ref="K26">IF(ISBLANK(Display!O58),NULL,Display!O58)</f>
        <v/>
      </c>
      <c r="L26" s="14">
        <f t="array" ref="L26">IF(ISBLANK(Display!P58),NULL,Display!P58)</f>
        <v/>
      </c>
      <c r="M26" s="14">
        <f t="array" ref="M26">IF(ISBLANK(Display!Q58),NULL,Display!Q58)</f>
        <v/>
      </c>
      <c r="N26" s="14">
        <f t="array" ref="N26">IF(ISBLANK(Display!R58),NULL,Display!R58)</f>
        <v/>
      </c>
      <c r="O26" s="14">
        <f>IF(ISBLANK(A26),"",MAX($F26:$N26))</f>
        <v/>
      </c>
      <c r="P26" s="45">
        <f>IF(ISBLANK(Display!I58),"",Display!I58)</f>
        <v/>
      </c>
      <c r="S26" s="30" t="inlineStr">
        <is>
          <t>AM(C)</t>
        </is>
      </c>
      <c r="T26" s="21" t="inlineStr">
        <is>
          <t>Marc Mitchell</t>
        </is>
      </c>
      <c r="U26" s="45">
        <f>IFERROR(VLOOKUP($T26,$A$2:$P$500,3,FALSE),"")</f>
        <v/>
      </c>
      <c r="V26" s="45">
        <f>IFERROR(VLOOKUP($T26,$A$2:$P$500,4,FALSE)&amp;" / "&amp;VLOOKUP($T26,$A$2:$P$500,5,FALSE),"")</f>
        <v/>
      </c>
      <c r="W26" s="23">
        <f>IFERROR(VLOOKUP(T26,$A$2:$P$500,14,FALSE),"")</f>
        <v/>
      </c>
      <c r="Y26" s="30" t="inlineStr">
        <is>
          <t>AM(C)</t>
        </is>
      </c>
      <c r="Z26" s="21" t="inlineStr">
        <is>
          <t>Allan Hall</t>
        </is>
      </c>
      <c r="AA26" s="45">
        <f>IFERROR(VLOOKUP($Z26,$A$2:$P$500,3,FALSE),"")</f>
        <v/>
      </c>
      <c r="AB26" s="45">
        <f>IFERROR(VLOOKUP($Z26,$A$2:$P$500,4,FALSE)&amp;" / "&amp;VLOOKUP($Z26,$A$2:$P$500,5,FALSE),"")</f>
        <v/>
      </c>
      <c r="AC26" s="23">
        <f>IFERROR(VLOOKUP(Z26,$A$2:$P$500,14,FALSE),"")</f>
        <v/>
      </c>
    </row>
    <row r="27">
      <c r="A27">
        <f>IF(ISBLANK(Display!A15),,Display!A15)</f>
        <v/>
      </c>
      <c r="B27" s="45">
        <f>IF($C27&gt;0,Display!B15,)</f>
        <v/>
      </c>
      <c r="C27" s="45">
        <f>IF(ISBLANK(Display!C15),"",Display!C15)</f>
        <v/>
      </c>
      <c r="D27" s="45">
        <f>IF(ISBLANK(Display!D15),"",Display!D15)</f>
        <v/>
      </c>
      <c r="E27" s="45">
        <f>IF(ISBLANK(Display!E15),"",Display!E15)</f>
        <v/>
      </c>
      <c r="F27" s="14">
        <f t="array" ref="F27">IF(ISBLANK(Display!J15),NULL,Display!J15)</f>
        <v/>
      </c>
      <c r="G27" s="14">
        <f t="array" ref="G27">IF(ISBLANK(Display!K15),NULL,Display!K15)</f>
        <v/>
      </c>
      <c r="H27" s="14">
        <f t="array" ref="H27">IF(ISBLANK(Display!L15),NULL,Display!L15)</f>
        <v/>
      </c>
      <c r="I27" s="14">
        <f t="array" ref="I27">IF(ISBLANK(Display!M15),NULL,Display!M15)</f>
        <v/>
      </c>
      <c r="J27" s="14">
        <f t="array" ref="J27">IF(ISBLANK(Display!N15),NULL,Display!N15)</f>
        <v/>
      </c>
      <c r="K27" s="14">
        <f t="array" ref="K27">IF(ISBLANK(Display!O15),NULL,Display!O15)</f>
        <v/>
      </c>
      <c r="L27" s="14">
        <f t="array" ref="L27">IF(ISBLANK(Display!P15),NULL,Display!P15)</f>
        <v/>
      </c>
      <c r="M27" s="14">
        <f t="array" ref="M27">IF(ISBLANK(Display!Q15),NULL,Display!Q15)</f>
        <v/>
      </c>
      <c r="N27" s="14">
        <f t="array" ref="N27">IF(ISBLANK(Display!R15),NULL,Display!R15)</f>
        <v/>
      </c>
      <c r="O27" s="14">
        <f>IF(ISBLANK(A27),"",MAX($F27:$N27))</f>
        <v/>
      </c>
      <c r="P27" s="45">
        <f>IF(ISBLANK(Display!I15),"",Display!I15)</f>
        <v/>
      </c>
      <c r="S27" s="30" t="inlineStr">
        <is>
          <t>AM(L)</t>
        </is>
      </c>
      <c r="T27" s="21" t="inlineStr">
        <is>
          <t>Scot Little</t>
        </is>
      </c>
      <c r="U27" s="45">
        <f>IFERROR(VLOOKUP($T27,$A$2:$P$500,3,FALSE),"")</f>
        <v/>
      </c>
      <c r="V27" s="45">
        <f>IFERROR(VLOOKUP($T27,$A$2:$P$500,4,FALSE)&amp;" / "&amp;VLOOKUP($T27,$A$2:$P$500,5,FALSE),"")</f>
        <v/>
      </c>
      <c r="W27" s="23">
        <f>IFERROR(VLOOKUP(T27,$A$2:$P$500,14,FALSE),"")</f>
        <v/>
      </c>
      <c r="Y27" s="30" t="inlineStr">
        <is>
          <t>AM(L)</t>
        </is>
      </c>
      <c r="Z27" s="21" t="inlineStr">
        <is>
          <t>Peter Purcell</t>
        </is>
      </c>
      <c r="AA27" s="45">
        <f>IFERROR(VLOOKUP($Z27,$A$2:$P$500,3,FALSE),"")</f>
        <v/>
      </c>
      <c r="AB27" s="45">
        <f>IFERROR(VLOOKUP($Z27,$A$2:$P$500,4,FALSE)&amp;" / "&amp;VLOOKUP($Z27,$A$2:$P$500,5,FALSE),"")</f>
        <v/>
      </c>
      <c r="AC27" s="23">
        <f>IFERROR(VLOOKUP(Z27,$A$2:$P$500,14,FALSE),"")</f>
        <v/>
      </c>
    </row>
    <row r="28" ht="15" customHeight="1" s="46" thickBot="1">
      <c r="A28">
        <f>IF(ISBLANK(Display!A24),,Display!A24)</f>
        <v/>
      </c>
      <c r="B28" s="45">
        <f>IF($C28&gt;0,Display!B24,)</f>
        <v/>
      </c>
      <c r="C28" s="45">
        <f>IF(ISBLANK(Display!C24),"",Display!C24)</f>
        <v/>
      </c>
      <c r="D28" s="45">
        <f>IF(ISBLANK(Display!D24),"",Display!D24)</f>
        <v/>
      </c>
      <c r="E28" s="45">
        <f>IF(ISBLANK(Display!E24),"",Display!E24)</f>
        <v/>
      </c>
      <c r="F28" s="14">
        <f t="array" ref="F28">IF(ISBLANK(Display!J24),NULL,Display!J24)</f>
        <v/>
      </c>
      <c r="G28" s="14">
        <f t="array" ref="G28">IF(ISBLANK(Display!K24),NULL,Display!K24)</f>
        <v/>
      </c>
      <c r="H28" s="14">
        <f t="array" ref="H28">IF(ISBLANK(Display!L24),NULL,Display!L24)</f>
        <v/>
      </c>
      <c r="I28" s="14">
        <f t="array" ref="I28">IF(ISBLANK(Display!M24),NULL,Display!M24)</f>
        <v/>
      </c>
      <c r="J28" s="14">
        <f t="array" ref="J28">IF(ISBLANK(Display!N24),NULL,Display!N24)</f>
        <v/>
      </c>
      <c r="K28" s="14">
        <f t="array" ref="K28">IF(ISBLANK(Display!O24),NULL,Display!O24)</f>
        <v/>
      </c>
      <c r="L28" s="14">
        <f t="array" ref="L28">IF(ISBLANK(Display!P24),NULL,Display!P24)</f>
        <v/>
      </c>
      <c r="M28" s="14">
        <f t="array" ref="M28">IF(ISBLANK(Display!Q24),NULL,Display!Q24)</f>
        <v/>
      </c>
      <c r="N28" s="14">
        <f t="array" ref="N28">IF(ISBLANK(Display!R24),NULL,Display!R24)</f>
        <v/>
      </c>
      <c r="O28" s="14">
        <f>IF(ISBLANK(A28),"",MAX($F28:$N28))</f>
        <v/>
      </c>
      <c r="P28" s="45">
        <f>IF(ISBLANK(Display!I24),"",Display!I24)</f>
        <v/>
      </c>
      <c r="S28" s="31" t="inlineStr">
        <is>
          <t>ST(C)</t>
        </is>
      </c>
      <c r="T28" s="26" t="inlineStr">
        <is>
          <t>Alan Hackney</t>
        </is>
      </c>
      <c r="U28" s="27">
        <f>IFERROR(VLOOKUP($T28,$A$2:$P$500,3,FALSE),"")</f>
        <v/>
      </c>
      <c r="V28" s="27">
        <f>IFERROR(VLOOKUP($T28,$A$2:$P$500,4,FALSE)&amp;" / "&amp;VLOOKUP($T28,$A$2:$P$500,5,FALSE),"")</f>
        <v/>
      </c>
      <c r="W28" s="28">
        <f>IFERROR(VLOOKUP(T28,$A$2:$P$500,14,FALSE),"")</f>
        <v/>
      </c>
      <c r="Y28" s="31" t="inlineStr">
        <is>
          <t>ST(C)</t>
        </is>
      </c>
      <c r="Z28" s="26" t="inlineStr">
        <is>
          <t>Daniel Willard</t>
        </is>
      </c>
      <c r="AA28" s="27">
        <f>IFERROR(VLOOKUP($Z28,$A$2:$P$500,3,FALSE),"")</f>
        <v/>
      </c>
      <c r="AB28" s="27">
        <f>IFERROR(VLOOKUP($Z28,$A$2:$P$500,4,FALSE)&amp;" / "&amp;VLOOKUP($Z28,$A$2:$P$500,5,FALSE),"")</f>
        <v/>
      </c>
      <c r="AC28" s="28">
        <f>IFERROR(VLOOKUP(Z28,$A$2:$P$500,14,FALSE),"")</f>
        <v/>
      </c>
    </row>
    <row r="29" ht="15" customHeight="1" s="46" thickBot="1">
      <c r="A29">
        <f>IF(ISBLANK(Display!A30),,Display!A30)</f>
        <v/>
      </c>
      <c r="B29" s="45">
        <f>IF($C29&gt;0,Display!B30,)</f>
        <v/>
      </c>
      <c r="C29" s="45">
        <f>IF(ISBLANK(Display!C30),"",Display!C30)</f>
        <v/>
      </c>
      <c r="D29" s="45">
        <f>IF(ISBLANK(Display!D30),"",Display!D30)</f>
        <v/>
      </c>
      <c r="E29" s="45">
        <f>IF(ISBLANK(Display!E30),"",Display!E30)</f>
        <v/>
      </c>
      <c r="F29" s="14">
        <f t="array" ref="F29">IF(ISBLANK(Display!J30),NULL,Display!J30)</f>
        <v/>
      </c>
      <c r="G29" s="14">
        <f t="array" ref="G29">IF(ISBLANK(Display!K30),NULL,Display!K30)</f>
        <v/>
      </c>
      <c r="H29" s="14">
        <f t="array" ref="H29">IF(ISBLANK(Display!L30),NULL,Display!L30)</f>
        <v/>
      </c>
      <c r="I29" s="14">
        <f t="array" ref="I29">IF(ISBLANK(Display!M30),NULL,Display!M30)</f>
        <v/>
      </c>
      <c r="J29" s="14">
        <f t="array" ref="J29">IF(ISBLANK(Display!N30),NULL,Display!N30)</f>
        <v/>
      </c>
      <c r="K29" s="14">
        <f t="array" ref="K29">IF(ISBLANK(Display!O30),NULL,Display!O30)</f>
        <v/>
      </c>
      <c r="L29" s="14">
        <f t="array" ref="L29">IF(ISBLANK(Display!P30),NULL,Display!P30)</f>
        <v/>
      </c>
      <c r="M29" s="14">
        <f t="array" ref="M29">IF(ISBLANK(Display!Q30),NULL,Display!Q30)</f>
        <v/>
      </c>
      <c r="N29" s="14">
        <f t="array" ref="N29">IF(ISBLANK(Display!R30),NULL,Display!R30)</f>
        <v/>
      </c>
      <c r="O29" s="14">
        <f>IF(ISBLANK(A29),"",MAX($F29:$N29))</f>
        <v/>
      </c>
      <c r="P29" s="45">
        <f>IF(ISBLANK(Display!I30),"",Display!I30)</f>
        <v/>
      </c>
    </row>
    <row r="30">
      <c r="A30">
        <f>IF(ISBLANK(Display!A13),,Display!A13)</f>
        <v/>
      </c>
      <c r="B30" s="45">
        <f>IF($C30&gt;0,Display!B13,)</f>
        <v/>
      </c>
      <c r="C30" s="45">
        <f>IF(ISBLANK(Display!C13),"",Display!C13)</f>
        <v/>
      </c>
      <c r="D30" s="45">
        <f>IF(ISBLANK(Display!D13),"",Display!D13)</f>
        <v/>
      </c>
      <c r="E30" s="45">
        <f>IF(ISBLANK(Display!E13),"",Display!E13)</f>
        <v/>
      </c>
      <c r="F30" s="14">
        <f t="array" ref="F30">IF(ISBLANK(Display!J13),NULL,Display!J13)</f>
        <v/>
      </c>
      <c r="G30" s="14">
        <f t="array" ref="G30">IF(ISBLANK(Display!K13),NULL,Display!K13)</f>
        <v/>
      </c>
      <c r="H30" s="14">
        <f t="array" ref="H30">IF(ISBLANK(Display!L13),NULL,Display!L13)</f>
        <v/>
      </c>
      <c r="I30" s="14">
        <f t="array" ref="I30">IF(ISBLANK(Display!M13),NULL,Display!M13)</f>
        <v/>
      </c>
      <c r="J30" s="14">
        <f t="array" ref="J30">IF(ISBLANK(Display!N13),NULL,Display!N13)</f>
        <v/>
      </c>
      <c r="K30" s="14">
        <f t="array" ref="K30">IF(ISBLANK(Display!O13),NULL,Display!O13)</f>
        <v/>
      </c>
      <c r="L30" s="14">
        <f t="array" ref="L30">IF(ISBLANK(Display!P13),NULL,Display!P13)</f>
        <v/>
      </c>
      <c r="M30" s="14">
        <f t="array" ref="M30">IF(ISBLANK(Display!Q13),NULL,Display!Q13)</f>
        <v/>
      </c>
      <c r="N30" s="14">
        <f t="array" ref="N30">IF(ISBLANK(Display!R13),NULL,Display!R13)</f>
        <v/>
      </c>
      <c r="O30" s="14">
        <f>IF(ISBLANK(A30),"",MAX($F30:$N30))</f>
        <v/>
      </c>
      <c r="P30" s="45">
        <f>IF(ISBLANK(Display!I13),"",Display!I13)</f>
        <v/>
      </c>
      <c r="S30" s="34" t="n"/>
      <c r="T30" s="44" t="inlineStr">
        <is>
          <t>Rotation 1</t>
        </is>
      </c>
      <c r="U30" s="42" t="n"/>
      <c r="V30" s="42" t="n"/>
      <c r="W30" s="43" t="n"/>
      <c r="Y30" s="34" t="n"/>
      <c r="Z30" s="41" t="inlineStr">
        <is>
          <t>Rotation 2</t>
        </is>
      </c>
      <c r="AA30" s="42" t="n"/>
      <c r="AB30" s="42" t="n"/>
      <c r="AC30" s="43" t="n"/>
      <c r="AE30" s="34" t="n"/>
      <c r="AF30" s="41" t="inlineStr">
        <is>
          <t>Rotation 3</t>
        </is>
      </c>
      <c r="AG30" s="42" t="n"/>
      <c r="AH30" s="42" t="n"/>
      <c r="AI30" s="43" t="n"/>
    </row>
    <row r="31" ht="15" customHeight="1" s="46" thickBot="1">
      <c r="A31">
        <f>IF(ISBLANK(Display!A63),,Display!A63)</f>
        <v/>
      </c>
      <c r="B31" s="45">
        <f>IF($C31&gt;0,Display!B63,)</f>
        <v/>
      </c>
      <c r="C31" s="45">
        <f>IF(ISBLANK(Display!C63),"",Display!C63)</f>
        <v/>
      </c>
      <c r="D31" s="45">
        <f>IF(ISBLANK(Display!D63),"",Display!D63)</f>
        <v/>
      </c>
      <c r="E31" s="45">
        <f>IF(ISBLANK(Display!E63),"",Display!E63)</f>
        <v/>
      </c>
      <c r="F31" s="14">
        <f t="array" ref="F31">IF(ISBLANK(Display!J63),NULL,Display!J63)</f>
        <v/>
      </c>
      <c r="G31" s="14">
        <f t="array" ref="G31">IF(ISBLANK(Display!K63),NULL,Display!K63)</f>
        <v/>
      </c>
      <c r="H31" s="14">
        <f t="array" ref="H31">IF(ISBLANK(Display!L63),NULL,Display!L63)</f>
        <v/>
      </c>
      <c r="I31" s="14">
        <f t="array" ref="I31">IF(ISBLANK(Display!M63),NULL,Display!M63)</f>
        <v/>
      </c>
      <c r="J31" s="14">
        <f t="array" ref="J31">IF(ISBLANK(Display!N63),NULL,Display!N63)</f>
        <v/>
      </c>
      <c r="K31" s="14">
        <f t="array" ref="K31">IF(ISBLANK(Display!O63),NULL,Display!O63)</f>
        <v/>
      </c>
      <c r="L31" s="14">
        <f t="array" ref="L31">IF(ISBLANK(Display!P63),NULL,Display!P63)</f>
        <v/>
      </c>
      <c r="M31" s="14">
        <f t="array" ref="M31">IF(ISBLANK(Display!Q63),NULL,Display!Q63)</f>
        <v/>
      </c>
      <c r="N31" s="14">
        <f t="array" ref="N31">IF(ISBLANK(Display!R63),NULL,Display!R63)</f>
        <v/>
      </c>
      <c r="O31" s="14">
        <f>IF(ISBLANK(A31),"",MAX($F31:$N31))</f>
        <v/>
      </c>
      <c r="P31" s="45">
        <f>IF(ISBLANK(Display!I63),"",Display!I63)</f>
        <v/>
      </c>
      <c r="S31" s="35" t="n"/>
      <c r="T31" s="32" t="inlineStr">
        <is>
          <t>Name</t>
        </is>
      </c>
      <c r="U31" s="32" t="inlineStr">
        <is>
          <t>Age</t>
        </is>
      </c>
      <c r="V31" s="32" t="inlineStr">
        <is>
          <t>CA / PA</t>
        </is>
      </c>
      <c r="W31" s="33" t="inlineStr">
        <is>
          <t>Pos. Rating</t>
        </is>
      </c>
      <c r="Y31" s="35" t="n"/>
      <c r="Z31" s="20" t="inlineStr">
        <is>
          <t>Name</t>
        </is>
      </c>
      <c r="AA31" s="32" t="inlineStr">
        <is>
          <t>Age</t>
        </is>
      </c>
      <c r="AB31" s="32" t="inlineStr">
        <is>
          <t>CA / PA</t>
        </is>
      </c>
      <c r="AC31" s="33" t="inlineStr">
        <is>
          <t>Pos. Rating</t>
        </is>
      </c>
      <c r="AE31" s="35" t="n"/>
      <c r="AF31" s="32" t="inlineStr">
        <is>
          <t>Name</t>
        </is>
      </c>
      <c r="AG31" s="32" t="inlineStr">
        <is>
          <t>Age</t>
        </is>
      </c>
      <c r="AH31" s="32" t="inlineStr">
        <is>
          <t>CA / PA</t>
        </is>
      </c>
      <c r="AI31" s="33" t="inlineStr">
        <is>
          <t>Pos. Rating</t>
        </is>
      </c>
    </row>
    <row r="32" ht="15" customHeight="1" s="46" thickBot="1">
      <c r="A32">
        <f>IF(ISBLANK(Display!A64),,Display!A64)</f>
        <v/>
      </c>
      <c r="B32" s="45">
        <f>IF($C32&gt;0,Display!B64,)</f>
        <v/>
      </c>
      <c r="C32" s="45">
        <f>IF(ISBLANK(Display!C64),"",Display!C64)</f>
        <v/>
      </c>
      <c r="D32" s="45">
        <f>IF(ISBLANK(Display!D64),"",Display!D64)</f>
        <v/>
      </c>
      <c r="E32" s="45">
        <f>IF(ISBLANK(Display!E64),"",Display!E64)</f>
        <v/>
      </c>
      <c r="F32" s="14">
        <f t="array" ref="F32">IF(ISBLANK(Display!J64),NULL,Display!J64)</f>
        <v/>
      </c>
      <c r="G32" s="14">
        <f t="array" ref="G32">IF(ISBLANK(Display!K64),NULL,Display!K64)</f>
        <v/>
      </c>
      <c r="H32" s="14">
        <f t="array" ref="H32">IF(ISBLANK(Display!L64),NULL,Display!L64)</f>
        <v/>
      </c>
      <c r="I32" s="14">
        <f t="array" ref="I32">IF(ISBLANK(Display!M64),NULL,Display!M64)</f>
        <v/>
      </c>
      <c r="J32" s="14">
        <f t="array" ref="J32">IF(ISBLANK(Display!N64),NULL,Display!N64)</f>
        <v/>
      </c>
      <c r="K32" s="14">
        <f t="array" ref="K32">IF(ISBLANK(Display!O64),NULL,Display!O64)</f>
        <v/>
      </c>
      <c r="L32" s="14">
        <f t="array" ref="L32">IF(ISBLANK(Display!P64),NULL,Display!P64)</f>
        <v/>
      </c>
      <c r="M32" s="14">
        <f t="array" ref="M32">IF(ISBLANK(Display!Q64),NULL,Display!Q64)</f>
        <v/>
      </c>
      <c r="N32" s="14">
        <f t="array" ref="N32">IF(ISBLANK(Display!R64),NULL,Display!R64)</f>
        <v/>
      </c>
      <c r="O32" s="14">
        <f>IF(ISBLANK(A32),"",MAX($F32:$N32))</f>
        <v/>
      </c>
      <c r="P32" s="45">
        <f>IF(ISBLANK(Display!I64),"",Display!I64)</f>
        <v/>
      </c>
      <c r="S32" s="29" t="inlineStr">
        <is>
          <t>GK</t>
        </is>
      </c>
      <c r="T32" s="21">
        <f>T18</f>
        <v/>
      </c>
      <c r="U32" s="45">
        <f>IFERROR(VLOOKUP($T32,$A$2:$P$500,3,FALSE),"")</f>
        <v/>
      </c>
      <c r="V32" s="45">
        <f>IFERROR(VLOOKUP($T32,$A$2:$P$500,4,FALSE)&amp;" / "&amp;VLOOKUP($T32,$A$2:$P$500,5,FALSE),"")</f>
        <v/>
      </c>
      <c r="W32" s="23">
        <f>IFERROR(VLOOKUP(T32,$A$2:$P$500,14,FALSE),"")</f>
        <v/>
      </c>
      <c r="Y32" s="22" t="inlineStr">
        <is>
          <t>GK</t>
        </is>
      </c>
      <c r="Z32" s="36">
        <f>$Z18</f>
        <v/>
      </c>
      <c r="AA32" s="45">
        <f>IFERROR(VLOOKUP($Z32,$A$2:$P$500,3,FALSE),"")</f>
        <v/>
      </c>
      <c r="AB32" s="45">
        <f>IFERROR(VLOOKUP($Z32,$A$2:$P$500,4,FALSE)&amp;" / "&amp;VLOOKUP($Z32,$A$2:$P$500,5,FALSE),"")</f>
        <v/>
      </c>
      <c r="AC32" s="23">
        <f>IFERROR(VLOOKUP(Z32,$A$2:$P$500,14,FALSE),"")</f>
        <v/>
      </c>
      <c r="AE32" s="29" t="inlineStr">
        <is>
          <t>GK</t>
        </is>
      </c>
      <c r="AF32" s="21">
        <f>$T18</f>
        <v/>
      </c>
      <c r="AG32" s="45">
        <f>IFERROR(VLOOKUP($AF32,$A$2:$P$500,3,FALSE),"")</f>
        <v/>
      </c>
      <c r="AH32" s="45">
        <f>IFERROR(VLOOKUP($AF32,$A$2:$P$500,4,FALSE)&amp;" / "&amp;VLOOKUP($AF32,$A$2:$P$500,5,FALSE),"")</f>
        <v/>
      </c>
      <c r="AI32" s="23">
        <f>IFERROR(VLOOKUP($AF32,$A$2:$P$500,14,FALSE),"")</f>
        <v/>
      </c>
    </row>
    <row r="33" ht="15" customHeight="1" s="46" thickBot="1">
      <c r="A33">
        <f>IF(ISBLANK(Display!A38),,Display!A38)</f>
        <v/>
      </c>
      <c r="B33" s="45">
        <f>IF($C33&gt;0,Display!B38,)</f>
        <v/>
      </c>
      <c r="C33" s="45">
        <f>IF(ISBLANK(Display!C38),"",Display!C38)</f>
        <v/>
      </c>
      <c r="D33" s="45">
        <f>IF(ISBLANK(Display!D38),"",Display!D38)</f>
        <v/>
      </c>
      <c r="E33" s="45">
        <f>IF(ISBLANK(Display!E38),"",Display!E38)</f>
        <v/>
      </c>
      <c r="F33" s="14">
        <f t="array" ref="F33">IF(ISBLANK(Display!J38),NULL,Display!J38)</f>
        <v/>
      </c>
      <c r="G33" s="14">
        <f t="array" ref="G33">IF(ISBLANK(Display!K38),NULL,Display!K38)</f>
        <v/>
      </c>
      <c r="H33" s="14">
        <f t="array" ref="H33">IF(ISBLANK(Display!L38),NULL,Display!L38)</f>
        <v/>
      </c>
      <c r="I33" s="14">
        <f t="array" ref="I33">IF(ISBLANK(Display!M38),NULL,Display!M38)</f>
        <v/>
      </c>
      <c r="J33" s="14">
        <f t="array" ref="J33">IF(ISBLANK(Display!N38),NULL,Display!N38)</f>
        <v/>
      </c>
      <c r="K33" s="14">
        <f t="array" ref="K33">IF(ISBLANK(Display!O38),NULL,Display!O38)</f>
        <v/>
      </c>
      <c r="L33" s="14">
        <f t="array" ref="L33">IF(ISBLANK(Display!P38),NULL,Display!P38)</f>
        <v/>
      </c>
      <c r="M33" s="14">
        <f t="array" ref="M33">IF(ISBLANK(Display!Q38),NULL,Display!Q38)</f>
        <v/>
      </c>
      <c r="N33" s="14">
        <f t="array" ref="N33">IF(ISBLANK(Display!R38),NULL,Display!R38)</f>
        <v/>
      </c>
      <c r="O33" s="14">
        <f>IF(ISBLANK(A33),"",MAX($F33:$N33))</f>
        <v/>
      </c>
      <c r="P33" s="45">
        <f>IF(ISBLANK(Display!I38),"",Display!I38)</f>
        <v/>
      </c>
      <c r="S33" s="24" t="inlineStr">
        <is>
          <t>D(R)</t>
        </is>
      </c>
      <c r="T33" s="36">
        <f>Z19</f>
        <v/>
      </c>
      <c r="U33" s="45">
        <f>IFERROR(VLOOKUP($T33,$A$2:$P$500,3,FALSE),"")</f>
        <v/>
      </c>
      <c r="V33" s="45">
        <f>IFERROR(VLOOKUP($T33,$A$2:$P$500,4,FALSE)&amp;" / "&amp;VLOOKUP($T33,$A$2:$P$500,5,FALSE),"")</f>
        <v/>
      </c>
      <c r="W33" s="23">
        <f>IFERROR(VLOOKUP(T33,$A$2:$P$500,14,FALSE),"")</f>
        <v/>
      </c>
      <c r="Y33" s="30" t="inlineStr">
        <is>
          <t>D(R)</t>
        </is>
      </c>
      <c r="Z33" s="21">
        <f>$T19</f>
        <v/>
      </c>
      <c r="AA33" s="45">
        <f>IFERROR(VLOOKUP($Z33,$A$2:$P$500,3,FALSE),"")</f>
        <v/>
      </c>
      <c r="AB33" s="45">
        <f>IFERROR(VLOOKUP($Z33,$A$2:$P$500,4,FALSE)&amp;" / "&amp;VLOOKUP($Z33,$A$2:$P$500,5,FALSE),"")</f>
        <v/>
      </c>
      <c r="AC33" s="23">
        <f>IFERROR(VLOOKUP(Z33,$A$2:$P$500,14,FALSE),"")</f>
        <v/>
      </c>
      <c r="AE33" s="30" t="inlineStr">
        <is>
          <t>D(R)</t>
        </is>
      </c>
      <c r="AF33" s="21">
        <f>$T19</f>
        <v/>
      </c>
      <c r="AG33" s="45">
        <f>IFERROR(VLOOKUP($AF33,$A$2:$P$500,3,FALSE),"")</f>
        <v/>
      </c>
      <c r="AH33" s="45">
        <f>IFERROR(VLOOKUP($AF33,$A$2:$P$500,4,FALSE)&amp;" / "&amp;VLOOKUP($AF33,$A$2:$P$500,5,FALSE),"")</f>
        <v/>
      </c>
      <c r="AI33" s="23">
        <f>IFERROR(VLOOKUP($AF33,$A$2:$P$500,14,FALSE),"")</f>
        <v/>
      </c>
    </row>
    <row r="34">
      <c r="A34">
        <f>IF(ISBLANK(Display!A50),,Display!A50)</f>
        <v/>
      </c>
      <c r="B34" s="45">
        <f>IF($C34&gt;0,Display!B50,)</f>
        <v/>
      </c>
      <c r="C34" s="45">
        <f>IF(ISBLANK(Display!C50),"",Display!C50)</f>
        <v/>
      </c>
      <c r="D34" s="45">
        <f>IF(ISBLANK(Display!D50),"",Display!D50)</f>
        <v/>
      </c>
      <c r="E34" s="45">
        <f>IF(ISBLANK(Display!E50),"",Display!E50)</f>
        <v/>
      </c>
      <c r="F34" s="14">
        <f t="array" ref="F34">IF(ISBLANK(Display!J50),NULL,Display!J50)</f>
        <v/>
      </c>
      <c r="G34" s="14">
        <f t="array" ref="G34">IF(ISBLANK(Display!K50),NULL,Display!K50)</f>
        <v/>
      </c>
      <c r="H34" s="14">
        <f t="array" ref="H34">IF(ISBLANK(Display!L50),NULL,Display!L50)</f>
        <v/>
      </c>
      <c r="I34" s="14">
        <f t="array" ref="I34">IF(ISBLANK(Display!M50),NULL,Display!M50)</f>
        <v/>
      </c>
      <c r="J34" s="14">
        <f t="array" ref="J34">IF(ISBLANK(Display!N50),NULL,Display!N50)</f>
        <v/>
      </c>
      <c r="K34" s="14">
        <f t="array" ref="K34">IF(ISBLANK(Display!O50),NULL,Display!O50)</f>
        <v/>
      </c>
      <c r="L34" s="14">
        <f t="array" ref="L34">IF(ISBLANK(Display!P50),NULL,Display!P50)</f>
        <v/>
      </c>
      <c r="M34" s="14">
        <f t="array" ref="M34">IF(ISBLANK(Display!Q50),NULL,Display!Q50)</f>
        <v/>
      </c>
      <c r="N34" s="14">
        <f t="array" ref="N34">IF(ISBLANK(Display!R50),NULL,Display!R50)</f>
        <v/>
      </c>
      <c r="O34" s="14">
        <f>IF(ISBLANK(A34),"",MAX($F34:$N34))</f>
        <v/>
      </c>
      <c r="P34" s="45">
        <f>IF(ISBLANK(Display!I50),"",Display!I50)</f>
        <v/>
      </c>
      <c r="S34" s="30" t="inlineStr">
        <is>
          <t>D(C)</t>
        </is>
      </c>
      <c r="T34" s="21">
        <f>T20</f>
        <v/>
      </c>
      <c r="U34" s="45">
        <f>IFERROR(VLOOKUP($T34,$A$2:$P$500,3,FALSE),"")</f>
        <v/>
      </c>
      <c r="V34" s="45">
        <f>IFERROR(VLOOKUP($T34,$A$2:$P$500,4,FALSE)&amp;" / "&amp;VLOOKUP($T34,$A$2:$P$500,5,FALSE),"")</f>
        <v/>
      </c>
      <c r="W34" s="23">
        <f>IFERROR(VLOOKUP(T34,$A$2:$P$500,14,FALSE),"")</f>
        <v/>
      </c>
      <c r="Y34" s="24" t="inlineStr">
        <is>
          <t>D(C)</t>
        </is>
      </c>
      <c r="Z34" s="37">
        <f>$Z20</f>
        <v/>
      </c>
      <c r="AA34" s="45">
        <f>IFERROR(VLOOKUP($Z34,$A$2:$P$500,3,FALSE),"")</f>
        <v/>
      </c>
      <c r="AB34" s="45">
        <f>IFERROR(VLOOKUP($Z34,$A$2:$P$500,4,FALSE)&amp;" / "&amp;VLOOKUP($Z34,$A$2:$P$500,5,FALSE),"")</f>
        <v/>
      </c>
      <c r="AC34" s="23">
        <f>IFERROR(VLOOKUP(Z34,$A$2:$P$500,14,FALSE),"")</f>
        <v/>
      </c>
      <c r="AE34" s="30" t="inlineStr">
        <is>
          <t>D(C)</t>
        </is>
      </c>
      <c r="AF34" s="21">
        <f>$T20</f>
        <v/>
      </c>
      <c r="AG34" s="45">
        <f>IFERROR(VLOOKUP($AF34,$A$2:$P$500,3,FALSE),"")</f>
        <v/>
      </c>
      <c r="AH34" s="45">
        <f>IFERROR(VLOOKUP($AF34,$A$2:$P$500,4,FALSE)&amp;" / "&amp;VLOOKUP($AF34,$A$2:$P$500,5,FALSE),"")</f>
        <v/>
      </c>
      <c r="AI34" s="23">
        <f>IFERROR(VLOOKUP($AF34,$A$2:$P$500,14,FALSE),"")</f>
        <v/>
      </c>
    </row>
    <row r="35" ht="15" customHeight="1" s="46" thickBot="1">
      <c r="A35">
        <f>IF(ISBLANK(Display!A35),,Display!A35)</f>
        <v/>
      </c>
      <c r="B35" s="45">
        <f>IF($C35&gt;0,Display!B35,)</f>
        <v/>
      </c>
      <c r="C35" s="45">
        <f>IF(ISBLANK(Display!C35),"",Display!C35)</f>
        <v/>
      </c>
      <c r="D35" s="45">
        <f>IF(ISBLANK(Display!D35),"",Display!D35)</f>
        <v/>
      </c>
      <c r="E35" s="45">
        <f>IF(ISBLANK(Display!E35),"",Display!E35)</f>
        <v/>
      </c>
      <c r="F35" s="14">
        <f t="array" ref="F35">IF(ISBLANK(Display!J35),NULL,Display!J35)</f>
        <v/>
      </c>
      <c r="G35" s="14">
        <f t="array" ref="G35">IF(ISBLANK(Display!K35),NULL,Display!K35)</f>
        <v/>
      </c>
      <c r="H35" s="14">
        <f t="array" ref="H35">IF(ISBLANK(Display!L35),NULL,Display!L35)</f>
        <v/>
      </c>
      <c r="I35" s="14">
        <f t="array" ref="I35">IF(ISBLANK(Display!M35),NULL,Display!M35)</f>
        <v/>
      </c>
      <c r="J35" s="14">
        <f t="array" ref="J35">IF(ISBLANK(Display!N35),NULL,Display!N35)</f>
        <v/>
      </c>
      <c r="K35" s="14">
        <f t="array" ref="K35">IF(ISBLANK(Display!O35),NULL,Display!O35)</f>
        <v/>
      </c>
      <c r="L35" s="14">
        <f t="array" ref="L35">IF(ISBLANK(Display!P35),NULL,Display!P35)</f>
        <v/>
      </c>
      <c r="M35" s="14">
        <f t="array" ref="M35">IF(ISBLANK(Display!Q35),NULL,Display!Q35)</f>
        <v/>
      </c>
      <c r="N35" s="14">
        <f t="array" ref="N35">IF(ISBLANK(Display!R35),NULL,Display!R35)</f>
        <v/>
      </c>
      <c r="O35" s="14">
        <f>IF(ISBLANK(A35),"",MAX($F35:$N35))</f>
        <v/>
      </c>
      <c r="P35" s="45">
        <f>IF(ISBLANK(Display!I35),"",Display!I35)</f>
        <v/>
      </c>
      <c r="S35" s="30" t="inlineStr">
        <is>
          <t>D(C)</t>
        </is>
      </c>
      <c r="T35" s="21">
        <f>T21</f>
        <v/>
      </c>
      <c r="U35" s="45">
        <f>IFERROR(VLOOKUP($T35,$A$2:$P$500,3,FALSE),"")</f>
        <v/>
      </c>
      <c r="V35" s="45">
        <f>IFERROR(VLOOKUP($T35,$A$2:$P$500,4,FALSE)&amp;" / "&amp;VLOOKUP($T35,$A$2:$P$500,5,FALSE),"")</f>
        <v/>
      </c>
      <c r="W35" s="23">
        <f>IFERROR(VLOOKUP(T35,$A$2:$P$500,14,FALSE),"")</f>
        <v/>
      </c>
      <c r="Y35" s="24" t="inlineStr">
        <is>
          <t>D(C)</t>
        </is>
      </c>
      <c r="Z35" s="38">
        <f>$Z21</f>
        <v/>
      </c>
      <c r="AA35" s="45">
        <f>IFERROR(VLOOKUP($Z35,$A$2:$P$500,3,FALSE),"")</f>
        <v/>
      </c>
      <c r="AB35" s="45">
        <f>IFERROR(VLOOKUP($Z35,$A$2:$P$500,4,FALSE)&amp;" / "&amp;VLOOKUP($Z35,$A$2:$P$500,5,FALSE),"")</f>
        <v/>
      </c>
      <c r="AC35" s="23">
        <f>IFERROR(VLOOKUP(Z35,$A$2:$P$500,14,FALSE),"")</f>
        <v/>
      </c>
      <c r="AE35" s="30" t="inlineStr">
        <is>
          <t>D(C)</t>
        </is>
      </c>
      <c r="AF35" s="21">
        <f>$T21</f>
        <v/>
      </c>
      <c r="AG35" s="45">
        <f>IFERROR(VLOOKUP($AF35,$A$2:$P$500,3,FALSE),"")</f>
        <v/>
      </c>
      <c r="AH35" s="45">
        <f>IFERROR(VLOOKUP($AF35,$A$2:$P$500,4,FALSE)&amp;" / "&amp;VLOOKUP($AF35,$A$2:$P$500,5,FALSE),"")</f>
        <v/>
      </c>
      <c r="AI35" s="23">
        <f>IFERROR(VLOOKUP($AF35,$A$2:$P$500,14,FALSE),"")</f>
        <v/>
      </c>
    </row>
    <row r="36" ht="15" customHeight="1" s="46" thickBot="1">
      <c r="A36">
        <f>IF(ISBLANK(Display!A57),,Display!A57)</f>
        <v/>
      </c>
      <c r="B36" s="45">
        <f>IF($C36&gt;0,Display!B57,)</f>
        <v/>
      </c>
      <c r="C36" s="45">
        <f>IF(ISBLANK(Display!C57),"",Display!C57)</f>
        <v/>
      </c>
      <c r="D36" s="45">
        <f>IF(ISBLANK(Display!D57),"",Display!D57)</f>
        <v/>
      </c>
      <c r="E36" s="45">
        <f>IF(ISBLANK(Display!E57),"",Display!E57)</f>
        <v/>
      </c>
      <c r="F36" s="14">
        <f t="array" ref="F36">IF(ISBLANK(Display!J57),NULL,Display!J57)</f>
        <v/>
      </c>
      <c r="G36" s="14">
        <f t="array" ref="G36">IF(ISBLANK(Display!K57),NULL,Display!K57)</f>
        <v/>
      </c>
      <c r="H36" s="14">
        <f t="array" ref="H36">IF(ISBLANK(Display!L57),NULL,Display!L57)</f>
        <v/>
      </c>
      <c r="I36" s="14">
        <f t="array" ref="I36">IF(ISBLANK(Display!M57),NULL,Display!M57)</f>
        <v/>
      </c>
      <c r="J36" s="14">
        <f t="array" ref="J36">IF(ISBLANK(Display!N57),NULL,Display!N57)</f>
        <v/>
      </c>
      <c r="K36" s="14">
        <f t="array" ref="K36">IF(ISBLANK(Display!O57),NULL,Display!O57)</f>
        <v/>
      </c>
      <c r="L36" s="14">
        <f t="array" ref="L36">IF(ISBLANK(Display!P57),NULL,Display!P57)</f>
        <v/>
      </c>
      <c r="M36" s="14">
        <f t="array" ref="M36">IF(ISBLANK(Display!Q57),NULL,Display!Q57)</f>
        <v/>
      </c>
      <c r="N36" s="14">
        <f t="array" ref="N36">IF(ISBLANK(Display!R57),NULL,Display!R57)</f>
        <v/>
      </c>
      <c r="O36" s="14">
        <f>IF(ISBLANK(A36),"",MAX($F36:$N36))</f>
        <v/>
      </c>
      <c r="P36" s="45">
        <f>IF(ISBLANK(Display!I57),"",Display!I57)</f>
        <v/>
      </c>
      <c r="S36" s="24" t="inlineStr">
        <is>
          <t>D(L)</t>
        </is>
      </c>
      <c r="T36" s="36">
        <f>Z22</f>
        <v/>
      </c>
      <c r="U36" s="45">
        <f>IFERROR(VLOOKUP($T36,$A$2:$P$500,3,FALSE),"")</f>
        <v/>
      </c>
      <c r="V36" s="45">
        <f>IFERROR(VLOOKUP($T36,$A$2:$P$500,4,FALSE)&amp;" / "&amp;VLOOKUP($T36,$A$2:$P$500,5,FALSE),"")</f>
        <v/>
      </c>
      <c r="W36" s="23">
        <f>IFERROR(VLOOKUP(T36,$A$2:$P$500,14,FALSE),"")</f>
        <v/>
      </c>
      <c r="Y36" s="30" t="inlineStr">
        <is>
          <t>D(L)</t>
        </is>
      </c>
      <c r="Z36" s="21">
        <f>$T22</f>
        <v/>
      </c>
      <c r="AA36" s="45">
        <f>IFERROR(VLOOKUP($Z36,$A$2:$P$500,3,FALSE),"")</f>
        <v/>
      </c>
      <c r="AB36" s="45">
        <f>IFERROR(VLOOKUP($Z36,$A$2:$P$500,4,FALSE)&amp;" / "&amp;VLOOKUP($Z36,$A$2:$P$500,5,FALSE),"")</f>
        <v/>
      </c>
      <c r="AC36" s="23">
        <f>IFERROR(VLOOKUP(Z36,$A$2:$P$500,14,FALSE),"")</f>
        <v/>
      </c>
      <c r="AE36" s="30" t="inlineStr">
        <is>
          <t>D(L)</t>
        </is>
      </c>
      <c r="AF36" s="21">
        <f>$T22</f>
        <v/>
      </c>
      <c r="AG36" s="45">
        <f>IFERROR(VLOOKUP($AF36,$A$2:$P$500,3,FALSE),"")</f>
        <v/>
      </c>
      <c r="AH36" s="45">
        <f>IFERROR(VLOOKUP($AF36,$A$2:$P$500,4,FALSE)&amp;" / "&amp;VLOOKUP($AF36,$A$2:$P$500,5,FALSE),"")</f>
        <v/>
      </c>
      <c r="AI36" s="23">
        <f>IFERROR(VLOOKUP($AF36,$A$2:$P$500,14,FALSE),"")</f>
        <v/>
      </c>
    </row>
    <row r="37">
      <c r="A37">
        <f>IF(ISBLANK(Display!A10),,Display!A10)</f>
        <v/>
      </c>
      <c r="B37" s="45">
        <f>IF($C37&gt;0,Display!B10,)</f>
        <v/>
      </c>
      <c r="C37" s="45">
        <f>IF(ISBLANK(Display!C10),"",Display!C10)</f>
        <v/>
      </c>
      <c r="D37" s="45">
        <f>IF(ISBLANK(Display!D10),"",Display!D10)</f>
        <v/>
      </c>
      <c r="E37" s="45">
        <f>IF(ISBLANK(Display!E10),"",Display!E10)</f>
        <v/>
      </c>
      <c r="F37" s="14">
        <f t="array" ref="F37">IF(ISBLANK(Display!J10),NULL,Display!J10)</f>
        <v/>
      </c>
      <c r="G37" s="14">
        <f t="array" ref="G37">IF(ISBLANK(Display!K10),NULL,Display!K10)</f>
        <v/>
      </c>
      <c r="H37" s="14">
        <f t="array" ref="H37">IF(ISBLANK(Display!L10),NULL,Display!L10)</f>
        <v/>
      </c>
      <c r="I37" s="14">
        <f t="array" ref="I37">IF(ISBLANK(Display!M10),NULL,Display!M10)</f>
        <v/>
      </c>
      <c r="J37" s="14">
        <f t="array" ref="J37">IF(ISBLANK(Display!N10),NULL,Display!N10)</f>
        <v/>
      </c>
      <c r="K37" s="14">
        <f t="array" ref="K37">IF(ISBLANK(Display!O10),NULL,Display!O10)</f>
        <v/>
      </c>
      <c r="L37" s="14">
        <f t="array" ref="L37">IF(ISBLANK(Display!P10),NULL,Display!P10)</f>
        <v/>
      </c>
      <c r="M37" s="14">
        <f t="array" ref="M37">IF(ISBLANK(Display!Q10),NULL,Display!Q10)</f>
        <v/>
      </c>
      <c r="N37" s="14">
        <f t="array" ref="N37">IF(ISBLANK(Display!R10),NULL,Display!R10)</f>
        <v/>
      </c>
      <c r="O37" s="14">
        <f>IF(ISBLANK(A37),"",MAX($F37:$N37))</f>
        <v/>
      </c>
      <c r="P37" s="45">
        <f>IF(ISBLANK(Display!I10),"",Display!I10)</f>
        <v/>
      </c>
      <c r="S37" s="30" t="inlineStr">
        <is>
          <t>DM - DLP</t>
        </is>
      </c>
      <c r="T37" s="21">
        <f>T23</f>
        <v/>
      </c>
      <c r="U37" s="45">
        <f>IFERROR(VLOOKUP($T37,$A$2:$P$500,3,FALSE),"")</f>
        <v/>
      </c>
      <c r="V37" s="45">
        <f>IFERROR(VLOOKUP($T37,$A$2:$P$500,4,FALSE)&amp;" / "&amp;VLOOKUP($T37,$A$2:$P$500,5,FALSE),"")</f>
        <v/>
      </c>
      <c r="W37" s="23">
        <f>IFERROR(VLOOKUP(T37,$A$2:$P$500,14,FALSE),"")</f>
        <v/>
      </c>
      <c r="Y37" s="30" t="inlineStr">
        <is>
          <t>DM - DLP</t>
        </is>
      </c>
      <c r="Z37" s="21">
        <f>$T23</f>
        <v/>
      </c>
      <c r="AA37" s="45">
        <f>IFERROR(VLOOKUP($Z37,$A$2:$P$500,3,FALSE),"")</f>
        <v/>
      </c>
      <c r="AB37" s="45">
        <f>IFERROR(VLOOKUP($Z37,$A$2:$P$500,4,FALSE)&amp;" / "&amp;VLOOKUP($Z37,$A$2:$P$500,5,FALSE),"")</f>
        <v/>
      </c>
      <c r="AC37" s="23">
        <f>IFERROR(VLOOKUP(Z37,$A$2:$P$500,14,FALSE),"")</f>
        <v/>
      </c>
      <c r="AE37" s="24" t="inlineStr">
        <is>
          <t>DM - DLP</t>
        </is>
      </c>
      <c r="AF37" s="37">
        <f>$Z23</f>
        <v/>
      </c>
      <c r="AG37" s="45">
        <f>IFERROR(VLOOKUP($AF37,$A$2:$P$500,3,FALSE),"")</f>
        <v/>
      </c>
      <c r="AH37" s="45">
        <f>IFERROR(VLOOKUP($AF37,$A$2:$P$500,4,FALSE)&amp;" / "&amp;VLOOKUP($AF37,$A$2:$P$500,5,FALSE),"")</f>
        <v/>
      </c>
      <c r="AI37" s="23">
        <f>IFERROR(VLOOKUP($AF37,$A$2:$P$500,14,FALSE),"")</f>
        <v/>
      </c>
    </row>
    <row r="38" ht="15" customHeight="1" s="46" thickBot="1">
      <c r="A38">
        <f>IF(ISBLANK(Display!A31),,Display!A31)</f>
        <v/>
      </c>
      <c r="B38" s="45">
        <f>IF($C38&gt;0,Display!B31,)</f>
        <v/>
      </c>
      <c r="C38" s="45">
        <f>IF(ISBLANK(Display!C31),"",Display!C31)</f>
        <v/>
      </c>
      <c r="D38" s="45">
        <f>IF(ISBLANK(Display!D31),"",Display!D31)</f>
        <v/>
      </c>
      <c r="E38" s="45">
        <f>IF(ISBLANK(Display!E31),"",Display!E31)</f>
        <v/>
      </c>
      <c r="F38" s="14">
        <f t="array" ref="F38">IF(ISBLANK(Display!J31),NULL,Display!J31)</f>
        <v/>
      </c>
      <c r="G38" s="14">
        <f t="array" ref="G38">IF(ISBLANK(Display!K31),NULL,Display!K31)</f>
        <v/>
      </c>
      <c r="H38" s="14">
        <f t="array" ref="H38">IF(ISBLANK(Display!L31),NULL,Display!L31)</f>
        <v/>
      </c>
      <c r="I38" s="14">
        <f t="array" ref="I38">IF(ISBLANK(Display!M31),NULL,Display!M31)</f>
        <v/>
      </c>
      <c r="J38" s="14">
        <f t="array" ref="J38">IF(ISBLANK(Display!N31),NULL,Display!N31)</f>
        <v/>
      </c>
      <c r="K38" s="14">
        <f t="array" ref="K38">IF(ISBLANK(Display!O31),NULL,Display!O31)</f>
        <v/>
      </c>
      <c r="L38" s="14">
        <f t="array" ref="L38">IF(ISBLANK(Display!P31),NULL,Display!P31)</f>
        <v/>
      </c>
      <c r="M38" s="14">
        <f t="array" ref="M38">IF(ISBLANK(Display!Q31),NULL,Display!Q31)</f>
        <v/>
      </c>
      <c r="N38" s="14">
        <f t="array" ref="N38">IF(ISBLANK(Display!R31),NULL,Display!R31)</f>
        <v/>
      </c>
      <c r="O38" s="14">
        <f>IF(ISBLANK(A38),"",MAX($F38:$N38))</f>
        <v/>
      </c>
      <c r="P38" s="45">
        <f>IF(ISBLANK(Display!I31),"",Display!I31)</f>
        <v/>
      </c>
      <c r="S38" s="30" t="inlineStr">
        <is>
          <t>DM - DM</t>
        </is>
      </c>
      <c r="T38" s="21">
        <f>T24</f>
        <v/>
      </c>
      <c r="U38" s="45">
        <f>IFERROR(VLOOKUP($T38,$A$2:$P$500,3,FALSE),"")</f>
        <v/>
      </c>
      <c r="V38" s="45">
        <f>IFERROR(VLOOKUP($T38,$A$2:$P$500,4,FALSE)&amp;" / "&amp;VLOOKUP($T38,$A$2:$P$500,5,FALSE),"")</f>
        <v/>
      </c>
      <c r="W38" s="23">
        <f>IFERROR(VLOOKUP(T38,$A$2:$P$500,14,FALSE),"")</f>
        <v/>
      </c>
      <c r="Y38" s="30" t="inlineStr">
        <is>
          <t>DM - DM</t>
        </is>
      </c>
      <c r="Z38" s="21">
        <f>$T24</f>
        <v/>
      </c>
      <c r="AA38" s="45">
        <f>IFERROR(VLOOKUP($Z38,$A$2:$P$500,3,FALSE),"")</f>
        <v/>
      </c>
      <c r="AB38" s="45">
        <f>IFERROR(VLOOKUP($Z38,$A$2:$P$500,4,FALSE)&amp;" / "&amp;VLOOKUP($Z38,$A$2:$P$500,5,FALSE),"")</f>
        <v/>
      </c>
      <c r="AC38" s="23">
        <f>IFERROR(VLOOKUP(Z38,$A$2:$P$500,14,FALSE),"")</f>
        <v/>
      </c>
      <c r="AE38" s="24" t="inlineStr">
        <is>
          <t>DM - DM</t>
        </is>
      </c>
      <c r="AF38" s="38">
        <f>$Z24</f>
        <v/>
      </c>
      <c r="AG38" s="45">
        <f>IFERROR(VLOOKUP($AF38,$A$2:$P$500,3,FALSE),"")</f>
        <v/>
      </c>
      <c r="AH38" s="45">
        <f>IFERROR(VLOOKUP($AF38,$A$2:$P$500,4,FALSE)&amp;" / "&amp;VLOOKUP($AF38,$A$2:$P$500,5,FALSE),"")</f>
        <v/>
      </c>
      <c r="AI38" s="23">
        <f>IFERROR(VLOOKUP($AF38,$A$2:$P$500,14,FALSE),"")</f>
        <v/>
      </c>
    </row>
    <row r="39" ht="15" customHeight="1" s="46" thickBot="1">
      <c r="A39">
        <f>IF(ISBLANK(Display!A37),,Display!A37)</f>
        <v/>
      </c>
      <c r="B39" s="45">
        <f>IF($C39&gt;0,Display!B37,)</f>
        <v/>
      </c>
      <c r="C39" s="45">
        <f>IF(ISBLANK(Display!C37),"",Display!C37)</f>
        <v/>
      </c>
      <c r="D39" s="45">
        <f>IF(ISBLANK(Display!D37),"",Display!D37)</f>
        <v/>
      </c>
      <c r="E39" s="45">
        <f>IF(ISBLANK(Display!E37),"",Display!E37)</f>
        <v/>
      </c>
      <c r="F39" s="14">
        <f t="array" ref="F39">IF(ISBLANK(Display!J37),NULL,Display!J37)</f>
        <v/>
      </c>
      <c r="G39" s="14">
        <f t="array" ref="G39">IF(ISBLANK(Display!K37),NULL,Display!K37)</f>
        <v/>
      </c>
      <c r="H39" s="14">
        <f t="array" ref="H39">IF(ISBLANK(Display!L37),NULL,Display!L37)</f>
        <v/>
      </c>
      <c r="I39" s="14">
        <f t="array" ref="I39">IF(ISBLANK(Display!M37),NULL,Display!M37)</f>
        <v/>
      </c>
      <c r="J39" s="14">
        <f t="array" ref="J39">IF(ISBLANK(Display!N37),NULL,Display!N37)</f>
        <v/>
      </c>
      <c r="K39" s="14">
        <f t="array" ref="K39">IF(ISBLANK(Display!O37),NULL,Display!O37)</f>
        <v/>
      </c>
      <c r="L39" s="14">
        <f t="array" ref="L39">IF(ISBLANK(Display!P37),NULL,Display!P37)</f>
        <v/>
      </c>
      <c r="M39" s="14">
        <f t="array" ref="M39">IF(ISBLANK(Display!Q37),NULL,Display!Q37)</f>
        <v/>
      </c>
      <c r="N39" s="14">
        <f t="array" ref="N39">IF(ISBLANK(Display!R37),NULL,Display!R37)</f>
        <v/>
      </c>
      <c r="O39" s="14">
        <f>IF(ISBLANK(A39),"",MAX($F39:$N39))</f>
        <v/>
      </c>
      <c r="P39" s="45">
        <f>IF(ISBLANK(Display!I37),"",Display!I37)</f>
        <v/>
      </c>
      <c r="S39" s="24" t="inlineStr">
        <is>
          <t>AM(R)</t>
        </is>
      </c>
      <c r="T39" s="36">
        <f>Z25</f>
        <v/>
      </c>
      <c r="U39" s="45">
        <f>IFERROR(VLOOKUP($T39,$A$2:$P$500,3,FALSE),"")</f>
        <v/>
      </c>
      <c r="V39" s="45">
        <f>IFERROR(VLOOKUP($T39,$A$2:$P$500,4,FALSE)&amp;" / "&amp;VLOOKUP($T39,$A$2:$P$500,5,FALSE),"")</f>
        <v/>
      </c>
      <c r="W39" s="23">
        <f>IFERROR(VLOOKUP(T39,$A$2:$P$500,14,FALSE),"")</f>
        <v/>
      </c>
      <c r="Y39" s="30" t="inlineStr">
        <is>
          <t>AM(R)</t>
        </is>
      </c>
      <c r="Z39" s="21">
        <f>$T25</f>
        <v/>
      </c>
      <c r="AA39" s="45">
        <f>IFERROR(VLOOKUP($Z39,$A$2:$P$500,3,FALSE),"")</f>
        <v/>
      </c>
      <c r="AB39" s="45">
        <f>IFERROR(VLOOKUP($Z39,$A$2:$P$500,4,FALSE)&amp;" / "&amp;VLOOKUP($Z39,$A$2:$P$500,5,FALSE),"")</f>
        <v/>
      </c>
      <c r="AC39" s="23">
        <f>IFERROR(VLOOKUP(Z39,$A$2:$P$500,14,FALSE),"")</f>
        <v/>
      </c>
      <c r="AE39" s="30" t="inlineStr">
        <is>
          <t>AM(R)</t>
        </is>
      </c>
      <c r="AF39" s="21">
        <f>$T25</f>
        <v/>
      </c>
      <c r="AG39" s="45">
        <f>IFERROR(VLOOKUP($AF39,$A$2:$P$500,3,FALSE),"")</f>
        <v/>
      </c>
      <c r="AH39" s="45">
        <f>IFERROR(VLOOKUP($AF39,$A$2:$P$500,4,FALSE)&amp;" / "&amp;VLOOKUP($AF39,$A$2:$P$500,5,FALSE),"")</f>
        <v/>
      </c>
      <c r="AI39" s="23">
        <f>IFERROR(VLOOKUP($AF39,$A$2:$P$500,14,FALSE),"")</f>
        <v/>
      </c>
    </row>
    <row r="40" ht="15" customHeight="1" s="46" thickBot="1">
      <c r="A40">
        <f>IF(ISBLANK(Display!A26),,Display!A26)</f>
        <v/>
      </c>
      <c r="B40" s="45">
        <f>IF($C40&gt;0,Display!B26,)</f>
        <v/>
      </c>
      <c r="C40" s="45">
        <f>IF(ISBLANK(Display!C26),"",Display!C26)</f>
        <v/>
      </c>
      <c r="D40" s="45">
        <f>IF(ISBLANK(Display!D26),"",Display!D26)</f>
        <v/>
      </c>
      <c r="E40" s="45">
        <f>IF(ISBLANK(Display!E26),"",Display!E26)</f>
        <v/>
      </c>
      <c r="F40" s="14">
        <f t="array" ref="F40">IF(ISBLANK(Display!J26),NULL,Display!J26)</f>
        <v/>
      </c>
      <c r="G40" s="14">
        <f t="array" ref="G40">IF(ISBLANK(Display!K26),NULL,Display!K26)</f>
        <v/>
      </c>
      <c r="H40" s="14">
        <f t="array" ref="H40">IF(ISBLANK(Display!L26),NULL,Display!L26)</f>
        <v/>
      </c>
      <c r="I40" s="14">
        <f t="array" ref="I40">IF(ISBLANK(Display!M26),NULL,Display!M26)</f>
        <v/>
      </c>
      <c r="J40" s="14">
        <f t="array" ref="J40">IF(ISBLANK(Display!N26),NULL,Display!N26)</f>
        <v/>
      </c>
      <c r="K40" s="14">
        <f t="array" ref="K40">IF(ISBLANK(Display!O26),NULL,Display!O26)</f>
        <v/>
      </c>
      <c r="L40" s="14">
        <f t="array" ref="L40">IF(ISBLANK(Display!P26),NULL,Display!P26)</f>
        <v/>
      </c>
      <c r="M40" s="14">
        <f t="array" ref="M40">IF(ISBLANK(Display!Q26),NULL,Display!Q26)</f>
        <v/>
      </c>
      <c r="N40" s="14">
        <f t="array" ref="N40">IF(ISBLANK(Display!R26),NULL,Display!R26)</f>
        <v/>
      </c>
      <c r="O40" s="14">
        <f>IF(ISBLANK(A40),"",MAX($F40:$N40))</f>
        <v/>
      </c>
      <c r="P40" s="45">
        <f>IF(ISBLANK(Display!I26),"",Display!I26)</f>
        <v/>
      </c>
      <c r="S40" s="30" t="inlineStr">
        <is>
          <t>AM(C)</t>
        </is>
      </c>
      <c r="T40" s="21">
        <f>T26</f>
        <v/>
      </c>
      <c r="U40" s="45">
        <f>IFERROR(VLOOKUP($T40,$A$2:$P$500,3,FALSE),"")</f>
        <v/>
      </c>
      <c r="V40" s="45">
        <f>IFERROR(VLOOKUP($T40,$A$2:$P$500,4,FALSE)&amp;" / "&amp;VLOOKUP($T40,$A$2:$P$500,5,FALSE),"")</f>
        <v/>
      </c>
      <c r="W40" s="23">
        <f>IFERROR(VLOOKUP(T40,$A$2:$P$500,14,FALSE),"")</f>
        <v/>
      </c>
      <c r="Y40" s="30" t="inlineStr">
        <is>
          <t>AM(C)</t>
        </is>
      </c>
      <c r="Z40" s="21">
        <f>$T26</f>
        <v/>
      </c>
      <c r="AA40" s="45">
        <f>IFERROR(VLOOKUP($Z40,$A$2:$P$500,3,FALSE),"")</f>
        <v/>
      </c>
      <c r="AB40" s="45">
        <f>IFERROR(VLOOKUP($Z40,$A$2:$P$500,4,FALSE)&amp;" / "&amp;VLOOKUP($Z40,$A$2:$P$500,5,FALSE),"")</f>
        <v/>
      </c>
      <c r="AC40" s="23">
        <f>IFERROR(VLOOKUP(Z40,$A$2:$P$500,14,FALSE),"")</f>
        <v/>
      </c>
      <c r="AE40" s="24" t="inlineStr">
        <is>
          <t>AM(C)</t>
        </is>
      </c>
      <c r="AF40" s="36">
        <f>$Z26</f>
        <v/>
      </c>
      <c r="AG40" s="45">
        <f>IFERROR(VLOOKUP($AF40,$A$2:$P$500,3,FALSE),"")</f>
        <v/>
      </c>
      <c r="AH40" s="45">
        <f>IFERROR(VLOOKUP($AF40,$A$2:$P$500,4,FALSE)&amp;" / "&amp;VLOOKUP($AF40,$A$2:$P$500,5,FALSE),"")</f>
        <v/>
      </c>
      <c r="AI40" s="23">
        <f>IFERROR(VLOOKUP($AF40,$A$2:$P$500,14,FALSE),"")</f>
        <v/>
      </c>
    </row>
    <row r="41" ht="15" customHeight="1" s="46" thickBot="1">
      <c r="A41">
        <f>IF(ISBLANK(Display!A59),,Display!A59)</f>
        <v/>
      </c>
      <c r="B41" s="45">
        <f>IF($C41&gt;0,Display!B59,)</f>
        <v/>
      </c>
      <c r="C41" s="45">
        <f>IF(ISBLANK(Display!C59),"",Display!C59)</f>
        <v/>
      </c>
      <c r="D41" s="45">
        <f>IF(ISBLANK(Display!D59),"",Display!D59)</f>
        <v/>
      </c>
      <c r="E41" s="45">
        <f>IF(ISBLANK(Display!E59),"",Display!E59)</f>
        <v/>
      </c>
      <c r="F41" s="14">
        <f t="array" ref="F41">IF(ISBLANK(Display!J59),NULL,Display!J59)</f>
        <v/>
      </c>
      <c r="G41" s="14">
        <f t="array" ref="G41">IF(ISBLANK(Display!K59),NULL,Display!K59)</f>
        <v/>
      </c>
      <c r="H41" s="14">
        <f t="array" ref="H41">IF(ISBLANK(Display!L59),NULL,Display!L59)</f>
        <v/>
      </c>
      <c r="I41" s="14">
        <f t="array" ref="I41">IF(ISBLANK(Display!M59),NULL,Display!M59)</f>
        <v/>
      </c>
      <c r="J41" s="14">
        <f t="array" ref="J41">IF(ISBLANK(Display!N59),NULL,Display!N59)</f>
        <v/>
      </c>
      <c r="K41" s="14">
        <f t="array" ref="K41">IF(ISBLANK(Display!O59),NULL,Display!O59)</f>
        <v/>
      </c>
      <c r="L41" s="14">
        <f t="array" ref="L41">IF(ISBLANK(Display!P59),NULL,Display!P59)</f>
        <v/>
      </c>
      <c r="M41" s="14">
        <f t="array" ref="M41">IF(ISBLANK(Display!Q59),NULL,Display!Q59)</f>
        <v/>
      </c>
      <c r="N41" s="14">
        <f t="array" ref="N41">IF(ISBLANK(Display!R59),NULL,Display!R59)</f>
        <v/>
      </c>
      <c r="O41" s="14">
        <f>IF(ISBLANK(A41),"",MAX($F41:$N41))</f>
        <v/>
      </c>
      <c r="P41" s="45">
        <f>IF(ISBLANK(Display!I59),"",Display!I59)</f>
        <v/>
      </c>
      <c r="S41" s="24" t="inlineStr">
        <is>
          <t>AM(L)</t>
        </is>
      </c>
      <c r="T41" s="36">
        <f>Z27</f>
        <v/>
      </c>
      <c r="U41" s="45">
        <f>IFERROR(VLOOKUP($T41,$A$2:$P$500,3,FALSE),"")</f>
        <v/>
      </c>
      <c r="V41" s="45">
        <f>IFERROR(VLOOKUP($T41,$A$2:$P$500,4,FALSE)&amp;" / "&amp;VLOOKUP($T41,$A$2:$P$500,5,FALSE),"")</f>
        <v/>
      </c>
      <c r="W41" s="23">
        <f>IFERROR(VLOOKUP(T41,$A$2:$P$500,14,FALSE),"")</f>
        <v/>
      </c>
      <c r="Y41" s="30" t="inlineStr">
        <is>
          <t>AM(L)</t>
        </is>
      </c>
      <c r="Z41" s="21">
        <f>$T27</f>
        <v/>
      </c>
      <c r="AA41" s="45">
        <f>IFERROR(VLOOKUP($Z41,$A$2:$P$500,3,FALSE),"")</f>
        <v/>
      </c>
      <c r="AB41" s="45">
        <f>IFERROR(VLOOKUP($Z41,$A$2:$P$500,4,FALSE)&amp;" / "&amp;VLOOKUP($Z41,$A$2:$P$500,5,FALSE),"")</f>
        <v/>
      </c>
      <c r="AC41" s="23">
        <f>IFERROR(VLOOKUP(Z41,$A$2:$P$500,14,FALSE),"")</f>
        <v/>
      </c>
      <c r="AE41" s="30" t="inlineStr">
        <is>
          <t>AM(L)</t>
        </is>
      </c>
      <c r="AF41" s="21">
        <f>$T27</f>
        <v/>
      </c>
      <c r="AG41" s="45">
        <f>IFERROR(VLOOKUP($AF41,$A$2:$P$500,3,FALSE),"")</f>
        <v/>
      </c>
      <c r="AH41" s="45">
        <f>IFERROR(VLOOKUP($AF41,$A$2:$P$500,4,FALSE)&amp;" / "&amp;VLOOKUP($AF41,$A$2:$P$500,5,FALSE),"")</f>
        <v/>
      </c>
      <c r="AI41" s="23">
        <f>IFERROR(VLOOKUP($AF41,$A$2:$P$500,14,FALSE),"")</f>
        <v/>
      </c>
    </row>
    <row r="42" ht="15" customHeight="1" s="46" thickBot="1">
      <c r="A42">
        <f>IF(ISBLANK(Display!A17),,Display!A17)</f>
        <v/>
      </c>
      <c r="B42" s="45">
        <f>IF($C42&gt;0,Display!B17,)</f>
        <v/>
      </c>
      <c r="C42" s="45">
        <f>IF(ISBLANK(Display!C17),"",Display!C17)</f>
        <v/>
      </c>
      <c r="D42" s="45">
        <f>IF(ISBLANK(Display!D17),"",Display!D17)</f>
        <v/>
      </c>
      <c r="E42" s="45">
        <f>IF(ISBLANK(Display!E17),"",Display!E17)</f>
        <v/>
      </c>
      <c r="F42" s="14">
        <f t="array" ref="F42">IF(ISBLANK(Display!J17),NULL,Display!J17)</f>
        <v/>
      </c>
      <c r="G42" s="14">
        <f t="array" ref="G42">IF(ISBLANK(Display!K17),NULL,Display!K17)</f>
        <v/>
      </c>
      <c r="H42" s="14">
        <f t="array" ref="H42">IF(ISBLANK(Display!L17),NULL,Display!L17)</f>
        <v/>
      </c>
      <c r="I42" s="14">
        <f t="array" ref="I42">IF(ISBLANK(Display!M17),NULL,Display!M17)</f>
        <v/>
      </c>
      <c r="J42" s="14">
        <f t="array" ref="J42">IF(ISBLANK(Display!N17),NULL,Display!N17)</f>
        <v/>
      </c>
      <c r="K42" s="14">
        <f t="array" ref="K42">IF(ISBLANK(Display!O17),NULL,Display!O17)</f>
        <v/>
      </c>
      <c r="L42" s="14">
        <f t="array" ref="L42">IF(ISBLANK(Display!P17),NULL,Display!P17)</f>
        <v/>
      </c>
      <c r="M42" s="14">
        <f t="array" ref="M42">IF(ISBLANK(Display!Q17),NULL,Display!Q17)</f>
        <v/>
      </c>
      <c r="N42" s="14">
        <f t="array" ref="N42">IF(ISBLANK(Display!R17),NULL,Display!R17)</f>
        <v/>
      </c>
      <c r="O42" s="14">
        <f>IF(ISBLANK(A42),"",MAX($F42:$N42))</f>
        <v/>
      </c>
      <c r="P42" s="45">
        <f>IF(ISBLANK(Display!I17),"",Display!I17)</f>
        <v/>
      </c>
      <c r="S42" s="31" t="inlineStr">
        <is>
          <t>ST(C)</t>
        </is>
      </c>
      <c r="T42" s="26">
        <f>T28</f>
        <v/>
      </c>
      <c r="U42" s="27">
        <f>IFERROR(VLOOKUP($T42,$A$2:$P$500,3,FALSE),"")</f>
        <v/>
      </c>
      <c r="V42" s="27">
        <f>IFERROR(VLOOKUP($T42,$A$2:$P$500,4,FALSE)&amp;" / "&amp;VLOOKUP($T42,$A$2:$P$500,5,FALSE),"")</f>
        <v/>
      </c>
      <c r="W42" s="28">
        <f>IFERROR(VLOOKUP(T42,$A$2:$P$500,14,FALSE),"")</f>
        <v/>
      </c>
      <c r="Y42" s="25" t="inlineStr">
        <is>
          <t>ST(C)</t>
        </is>
      </c>
      <c r="Z42" s="36">
        <f>$Z28</f>
        <v/>
      </c>
      <c r="AA42" s="27">
        <f>IFERROR(VLOOKUP($Z42,$A$2:$P$500,3,FALSE),"")</f>
        <v/>
      </c>
      <c r="AB42" s="27">
        <f>IFERROR(VLOOKUP($Z42,$A$2:$P$500,4,FALSE)&amp;" / "&amp;VLOOKUP($Z42,$A$2:$P$500,5,FALSE),"")</f>
        <v/>
      </c>
      <c r="AC42" s="28">
        <f>IFERROR(VLOOKUP(Z42,$A$2:$P$500,14,FALSE),"")</f>
        <v/>
      </c>
      <c r="AE42" s="31" t="inlineStr">
        <is>
          <t>ST(C)</t>
        </is>
      </c>
      <c r="AF42" s="26">
        <f>$T28</f>
        <v/>
      </c>
      <c r="AG42" s="27">
        <f>IFERROR(VLOOKUP($AF42,$A$2:$P$500,3,FALSE),"")</f>
        <v/>
      </c>
      <c r="AH42" s="27">
        <f>IFERROR(VLOOKUP($AF42,$A$2:$P$500,4,FALSE)&amp;" / "&amp;VLOOKUP($AF42,$A$2:$P$500,5,FALSE),"")</f>
        <v/>
      </c>
      <c r="AI42" s="28">
        <f>IFERROR(VLOOKUP($AF42,$A$2:$P$500,14,FALSE),"")</f>
        <v/>
      </c>
    </row>
    <row r="43">
      <c r="A43">
        <f>IF(ISBLANK(Display!A46),,Display!A46)</f>
        <v/>
      </c>
      <c r="B43" s="45">
        <f>IF($C43&gt;0,Display!B46,)</f>
        <v/>
      </c>
      <c r="C43" s="45">
        <f>IF(ISBLANK(Display!C46),"",Display!C46)</f>
        <v/>
      </c>
      <c r="D43" s="45">
        <f>IF(ISBLANK(Display!D46),"",Display!D46)</f>
        <v/>
      </c>
      <c r="E43" s="45">
        <f>IF(ISBLANK(Display!E46),"",Display!E46)</f>
        <v/>
      </c>
      <c r="F43" s="14">
        <f t="array" ref="F43">IF(ISBLANK(Display!J46),NULL,Display!J46)</f>
        <v/>
      </c>
      <c r="G43" s="14">
        <f t="array" ref="G43">IF(ISBLANK(Display!K46),NULL,Display!K46)</f>
        <v/>
      </c>
      <c r="H43" s="14">
        <f t="array" ref="H43">IF(ISBLANK(Display!L46),NULL,Display!L46)</f>
        <v/>
      </c>
      <c r="I43" s="14">
        <f t="array" ref="I43">IF(ISBLANK(Display!M46),NULL,Display!M46)</f>
        <v/>
      </c>
      <c r="J43" s="14">
        <f t="array" ref="J43">IF(ISBLANK(Display!N46),NULL,Display!N46)</f>
        <v/>
      </c>
      <c r="K43" s="14">
        <f t="array" ref="K43">IF(ISBLANK(Display!O46),NULL,Display!O46)</f>
        <v/>
      </c>
      <c r="L43" s="14">
        <f t="array" ref="L43">IF(ISBLANK(Display!P46),NULL,Display!P46)</f>
        <v/>
      </c>
      <c r="M43" s="14">
        <f t="array" ref="M43">IF(ISBLANK(Display!Q46),NULL,Display!Q46)</f>
        <v/>
      </c>
      <c r="N43" s="14">
        <f t="array" ref="N43">IF(ISBLANK(Display!R46),NULL,Display!R46)</f>
        <v/>
      </c>
      <c r="O43" s="14">
        <f>IF(ISBLANK(A43),"",MAX($F43:$N43))</f>
        <v/>
      </c>
      <c r="P43" s="45">
        <f>IF(ISBLANK(Display!I46),"",Display!I46)</f>
        <v/>
      </c>
    </row>
    <row r="44">
      <c r="A44">
        <f>IF(ISBLANK(Display!A55),,Display!A55)</f>
        <v/>
      </c>
      <c r="B44" s="45">
        <f>IF($C44&gt;0,Display!B55,)</f>
        <v/>
      </c>
      <c r="C44" s="45">
        <f>IF(ISBLANK(Display!C55),"",Display!C55)</f>
        <v/>
      </c>
      <c r="D44" s="45">
        <f>IF(ISBLANK(Display!D55),"",Display!D55)</f>
        <v/>
      </c>
      <c r="E44" s="45">
        <f>IF(ISBLANK(Display!E55),"",Display!E55)</f>
        <v/>
      </c>
      <c r="F44" s="14">
        <f t="array" ref="F44">IF(ISBLANK(Display!J55),NULL,Display!J55)</f>
        <v/>
      </c>
      <c r="G44" s="14">
        <f t="array" ref="G44">IF(ISBLANK(Display!K55),NULL,Display!K55)</f>
        <v/>
      </c>
      <c r="H44" s="14">
        <f t="array" ref="H44">IF(ISBLANK(Display!L55),NULL,Display!L55)</f>
        <v/>
      </c>
      <c r="I44" s="14">
        <f t="array" ref="I44">IF(ISBLANK(Display!M55),NULL,Display!M55)</f>
        <v/>
      </c>
      <c r="J44" s="14">
        <f t="array" ref="J44">IF(ISBLANK(Display!N55),NULL,Display!N55)</f>
        <v/>
      </c>
      <c r="K44" s="14">
        <f t="array" ref="K44">IF(ISBLANK(Display!O55),NULL,Display!O55)</f>
        <v/>
      </c>
      <c r="L44" s="14">
        <f t="array" ref="L44">IF(ISBLANK(Display!P55),NULL,Display!P55)</f>
        <v/>
      </c>
      <c r="M44" s="14">
        <f t="array" ref="M44">IF(ISBLANK(Display!Q55),NULL,Display!Q55)</f>
        <v/>
      </c>
      <c r="N44" s="14">
        <f t="array" ref="N44">IF(ISBLANK(Display!R55),NULL,Display!R55)</f>
        <v/>
      </c>
      <c r="O44" s="14">
        <f>IF(ISBLANK(A44),"",MAX($F44:$N44))</f>
        <v/>
      </c>
      <c r="P44" s="45">
        <f>IF(ISBLANK(Display!I55),"",Display!I55)</f>
        <v/>
      </c>
    </row>
    <row r="45">
      <c r="A45">
        <f>IF(ISBLANK(Display!A67),,Display!A67)</f>
        <v/>
      </c>
      <c r="B45" s="45">
        <f>IF($C45&gt;0,Display!B67,)</f>
        <v/>
      </c>
      <c r="C45" s="45">
        <f>IF(ISBLANK(Display!C67),"",Display!C67)</f>
        <v/>
      </c>
      <c r="D45" s="45">
        <f>IF(ISBLANK(Display!D67),"",Display!D67)</f>
        <v/>
      </c>
      <c r="E45" s="45">
        <f>IF(ISBLANK(Display!E67),"",Display!E67)</f>
        <v/>
      </c>
      <c r="F45" s="14">
        <f t="array" ref="F45">IF(ISBLANK(Display!J67),NULL,Display!J67)</f>
        <v/>
      </c>
      <c r="G45" s="14">
        <f t="array" ref="G45">IF(ISBLANK(Display!K67),NULL,Display!K67)</f>
        <v/>
      </c>
      <c r="H45" s="14">
        <f t="array" ref="H45">IF(ISBLANK(Display!L67),NULL,Display!L67)</f>
        <v/>
      </c>
      <c r="I45" s="14">
        <f t="array" ref="I45">IF(ISBLANK(Display!M67),NULL,Display!M67)</f>
        <v/>
      </c>
      <c r="J45" s="14">
        <f t="array" ref="J45">IF(ISBLANK(Display!N67),NULL,Display!N67)</f>
        <v/>
      </c>
      <c r="K45" s="14">
        <f t="array" ref="K45">IF(ISBLANK(Display!O67),NULL,Display!O67)</f>
        <v/>
      </c>
      <c r="L45" s="14">
        <f t="array" ref="L45">IF(ISBLANK(Display!P67),NULL,Display!P67)</f>
        <v/>
      </c>
      <c r="M45" s="14">
        <f t="array" ref="M45">IF(ISBLANK(Display!Q67),NULL,Display!Q67)</f>
        <v/>
      </c>
      <c r="N45" s="14">
        <f t="array" ref="N45">IF(ISBLANK(Display!R67),NULL,Display!R67)</f>
        <v/>
      </c>
      <c r="O45" s="14">
        <f>IF(ISBLANK(A45),"",MAX($F45:$N45))</f>
        <v/>
      </c>
      <c r="P45" s="45">
        <f>IF(ISBLANK(Display!I67),"",Display!I67)</f>
        <v/>
      </c>
    </row>
    <row r="46">
      <c r="A46">
        <f>IF(ISBLANK(Display!A33),,Display!A33)</f>
        <v/>
      </c>
      <c r="B46" s="45">
        <f>IF($C46&gt;0,Display!B33,)</f>
        <v/>
      </c>
      <c r="C46" s="45">
        <f>IF(ISBLANK(Display!C33),"",Display!C33)</f>
        <v/>
      </c>
      <c r="D46" s="45">
        <f>IF(ISBLANK(Display!D33),"",Display!D33)</f>
        <v/>
      </c>
      <c r="E46" s="45">
        <f>IF(ISBLANK(Display!E33),"",Display!E33)</f>
        <v/>
      </c>
      <c r="F46" s="14">
        <f t="array" ref="F46">IF(ISBLANK(Display!J33),NULL,Display!J33)</f>
        <v/>
      </c>
      <c r="G46" s="14">
        <f t="array" ref="G46">IF(ISBLANK(Display!K33),NULL,Display!K33)</f>
        <v/>
      </c>
      <c r="H46" s="14">
        <f t="array" ref="H46">IF(ISBLANK(Display!L33),NULL,Display!L33)</f>
        <v/>
      </c>
      <c r="I46" s="14">
        <f t="array" ref="I46">IF(ISBLANK(Display!M33),NULL,Display!M33)</f>
        <v/>
      </c>
      <c r="J46" s="14">
        <f t="array" ref="J46">IF(ISBLANK(Display!N33),NULL,Display!N33)</f>
        <v/>
      </c>
      <c r="K46" s="14">
        <f t="array" ref="K46">IF(ISBLANK(Display!O33),NULL,Display!O33)</f>
        <v/>
      </c>
      <c r="L46" s="14">
        <f t="array" ref="L46">IF(ISBLANK(Display!P33),NULL,Display!P33)</f>
        <v/>
      </c>
      <c r="M46" s="14">
        <f t="array" ref="M46">IF(ISBLANK(Display!Q33),NULL,Display!Q33)</f>
        <v/>
      </c>
      <c r="N46" s="14">
        <f t="array" ref="N46">IF(ISBLANK(Display!R33),NULL,Display!R33)</f>
        <v/>
      </c>
      <c r="O46" s="14">
        <f>IF(ISBLANK(A46),"",MAX($F46:$N46))</f>
        <v/>
      </c>
      <c r="P46" s="45">
        <f>IF(ISBLANK(Display!I33),"",Display!I33)</f>
        <v/>
      </c>
    </row>
    <row r="47">
      <c r="A47">
        <f>IF(ISBLANK(Display!A8),,Display!A8)</f>
        <v/>
      </c>
      <c r="B47" s="45">
        <f>IF($C47&gt;0,Display!B8,)</f>
        <v/>
      </c>
      <c r="C47" s="45">
        <f>IF(ISBLANK(Display!C8),"",Display!C8)</f>
        <v/>
      </c>
      <c r="D47" s="45">
        <f>IF(ISBLANK(Display!D8),"",Display!D8)</f>
        <v/>
      </c>
      <c r="E47" s="45">
        <f>IF(ISBLANK(Display!E8),"",Display!E8)</f>
        <v/>
      </c>
      <c r="F47" s="14">
        <f t="array" ref="F47">IF(ISBLANK(Display!J8),NULL,Display!J8)</f>
        <v/>
      </c>
      <c r="G47" s="14">
        <f t="array" ref="G47">IF(ISBLANK(Display!K8),NULL,Display!K8)</f>
        <v/>
      </c>
      <c r="H47" s="14">
        <f t="array" ref="H47">IF(ISBLANK(Display!L8),NULL,Display!L8)</f>
        <v/>
      </c>
      <c r="I47" s="14">
        <f t="array" ref="I47">IF(ISBLANK(Display!M8),NULL,Display!M8)</f>
        <v/>
      </c>
      <c r="J47" s="14">
        <f t="array" ref="J47">IF(ISBLANK(Display!N8),NULL,Display!N8)</f>
        <v/>
      </c>
      <c r="K47" s="14">
        <f t="array" ref="K47">IF(ISBLANK(Display!O8),NULL,Display!O8)</f>
        <v/>
      </c>
      <c r="L47" s="14">
        <f t="array" ref="L47">IF(ISBLANK(Display!P8),NULL,Display!P8)</f>
        <v/>
      </c>
      <c r="M47" s="14">
        <f t="array" ref="M47">IF(ISBLANK(Display!Q8),NULL,Display!Q8)</f>
        <v/>
      </c>
      <c r="N47" s="14">
        <f t="array" ref="N47">IF(ISBLANK(Display!R8),NULL,Display!R8)</f>
        <v/>
      </c>
      <c r="O47" s="14">
        <f>IF(ISBLANK(A47),"",MAX($F47:$N47))</f>
        <v/>
      </c>
      <c r="P47" s="45">
        <f>IF(ISBLANK(Display!I8),"",Display!I8)</f>
        <v/>
      </c>
    </row>
    <row r="48">
      <c r="A48">
        <f>IF(ISBLANK(Display!A43),,Display!A43)</f>
        <v/>
      </c>
      <c r="B48" s="45">
        <f>IF($C48&gt;0,Display!B43,)</f>
        <v/>
      </c>
      <c r="C48" s="45">
        <f>IF(ISBLANK(Display!C43),"",Display!C43)</f>
        <v/>
      </c>
      <c r="D48" s="45">
        <f>IF(ISBLANK(Display!D43),"",Display!D43)</f>
        <v/>
      </c>
      <c r="E48" s="45">
        <f>IF(ISBLANK(Display!E43),"",Display!E43)</f>
        <v/>
      </c>
      <c r="F48" s="14">
        <f t="array" ref="F48">IF(ISBLANK(Display!J43),NULL,Display!J43)</f>
        <v/>
      </c>
      <c r="G48" s="14">
        <f t="array" ref="G48">IF(ISBLANK(Display!K43),NULL,Display!K43)</f>
        <v/>
      </c>
      <c r="H48" s="14">
        <f t="array" ref="H48">IF(ISBLANK(Display!L43),NULL,Display!L43)</f>
        <v/>
      </c>
      <c r="I48" s="14">
        <f t="array" ref="I48">IF(ISBLANK(Display!M43),NULL,Display!M43)</f>
        <v/>
      </c>
      <c r="J48" s="14">
        <f t="array" ref="J48">IF(ISBLANK(Display!N43),NULL,Display!N43)</f>
        <v/>
      </c>
      <c r="K48" s="14">
        <f t="array" ref="K48">IF(ISBLANK(Display!O43),NULL,Display!O43)</f>
        <v/>
      </c>
      <c r="L48" s="14">
        <f t="array" ref="L48">IF(ISBLANK(Display!P43),NULL,Display!P43)</f>
        <v/>
      </c>
      <c r="M48" s="14">
        <f t="array" ref="M48">IF(ISBLANK(Display!Q43),NULL,Display!Q43)</f>
        <v/>
      </c>
      <c r="N48" s="14">
        <f t="array" ref="N48">IF(ISBLANK(Display!R43),NULL,Display!R43)</f>
        <v/>
      </c>
      <c r="O48" s="14">
        <f>IF(ISBLANK(A48),"",MAX($F48:$N48))</f>
        <v/>
      </c>
      <c r="P48" s="45">
        <f>IF(ISBLANK(Display!I43),"",Display!I43)</f>
        <v/>
      </c>
    </row>
    <row r="49">
      <c r="A49">
        <f>IF(ISBLANK(Display!A34),,Display!A34)</f>
        <v/>
      </c>
      <c r="B49" s="45">
        <f>IF($C49&gt;0,Display!B34,)</f>
        <v/>
      </c>
      <c r="C49" s="45">
        <f>IF(ISBLANK(Display!C34),"",Display!C34)</f>
        <v/>
      </c>
      <c r="D49" s="45">
        <f>IF(ISBLANK(Display!D34),"",Display!D34)</f>
        <v/>
      </c>
      <c r="E49" s="45">
        <f>IF(ISBLANK(Display!E34),"",Display!E34)</f>
        <v/>
      </c>
      <c r="F49" s="14">
        <f t="array" ref="F49">IF(ISBLANK(Display!J34),NULL,Display!J34)</f>
        <v/>
      </c>
      <c r="G49" s="14">
        <f t="array" ref="G49">IF(ISBLANK(Display!K34),NULL,Display!K34)</f>
        <v/>
      </c>
      <c r="H49" s="14">
        <f t="array" ref="H49">IF(ISBLANK(Display!L34),NULL,Display!L34)</f>
        <v/>
      </c>
      <c r="I49" s="14">
        <f t="array" ref="I49">IF(ISBLANK(Display!M34),NULL,Display!M34)</f>
        <v/>
      </c>
      <c r="J49" s="14">
        <f t="array" ref="J49">IF(ISBLANK(Display!N34),NULL,Display!N34)</f>
        <v/>
      </c>
      <c r="K49" s="14">
        <f t="array" ref="K49">IF(ISBLANK(Display!O34),NULL,Display!O34)</f>
        <v/>
      </c>
      <c r="L49" s="14">
        <f t="array" ref="L49">IF(ISBLANK(Display!P34),NULL,Display!P34)</f>
        <v/>
      </c>
      <c r="M49" s="14">
        <f t="array" ref="M49">IF(ISBLANK(Display!Q34),NULL,Display!Q34)</f>
        <v/>
      </c>
      <c r="N49" s="14">
        <f t="array" ref="N49">IF(ISBLANK(Display!R34),NULL,Display!R34)</f>
        <v/>
      </c>
      <c r="O49" s="14">
        <f>IF(ISBLANK(A49),"",MAX($F49:$N49))</f>
        <v/>
      </c>
      <c r="P49" s="45">
        <f>IF(ISBLANK(Display!I34),"",Display!I34)</f>
        <v/>
      </c>
    </row>
    <row r="50">
      <c r="A50">
        <f>IF(ISBLANK(Display!A71),,Display!A71)</f>
        <v/>
      </c>
      <c r="B50" s="45">
        <f>IF($C50&gt;0,Display!B71,)</f>
        <v/>
      </c>
      <c r="C50" s="45">
        <f>IF(ISBLANK(Display!C71),"",Display!C71)</f>
        <v/>
      </c>
      <c r="D50" s="45">
        <f>IF(ISBLANK(Display!D71),"",Display!D71)</f>
        <v/>
      </c>
      <c r="E50" s="45">
        <f>IF(ISBLANK(Display!E71),"",Display!E71)</f>
        <v/>
      </c>
      <c r="F50" s="14">
        <f t="array" ref="F50">IF(ISBLANK(Display!J71),NULL,Display!J71)</f>
        <v/>
      </c>
      <c r="G50" s="14">
        <f t="array" ref="G50">IF(ISBLANK(Display!K71),NULL,Display!K71)</f>
        <v/>
      </c>
      <c r="H50" s="14">
        <f t="array" ref="H50">IF(ISBLANK(Display!L71),NULL,Display!L71)</f>
        <v/>
      </c>
      <c r="I50" s="14">
        <f t="array" ref="I50">IF(ISBLANK(Display!M71),NULL,Display!M71)</f>
        <v/>
      </c>
      <c r="J50" s="14">
        <f t="array" ref="J50">IF(ISBLANK(Display!N71),NULL,Display!N71)</f>
        <v/>
      </c>
      <c r="K50" s="14">
        <f t="array" ref="K50">IF(ISBLANK(Display!O71),NULL,Display!O71)</f>
        <v/>
      </c>
      <c r="L50" s="14">
        <f t="array" ref="L50">IF(ISBLANK(Display!P71),NULL,Display!P71)</f>
        <v/>
      </c>
      <c r="M50" s="14">
        <f t="array" ref="M50">IF(ISBLANK(Display!Q71),NULL,Display!Q71)</f>
        <v/>
      </c>
      <c r="N50" s="14">
        <f t="array" ref="N50">IF(ISBLANK(Display!R71),NULL,Display!R71)</f>
        <v/>
      </c>
      <c r="O50" s="14">
        <f>IF(ISBLANK(A50),"",MAX($F50:$N50))</f>
        <v/>
      </c>
      <c r="P50" s="45">
        <f>IF(ISBLANK(Display!I71),"",Display!I71)</f>
        <v/>
      </c>
    </row>
    <row r="51">
      <c r="A51">
        <f>IF(ISBLANK(Display!A39),,Display!A39)</f>
        <v/>
      </c>
      <c r="B51" s="45">
        <f>IF($C51&gt;0,Display!B39,)</f>
        <v/>
      </c>
      <c r="C51" s="45">
        <f>IF(ISBLANK(Display!C39),"",Display!C39)</f>
        <v/>
      </c>
      <c r="D51" s="45">
        <f>IF(ISBLANK(Display!D39),"",Display!D39)</f>
        <v/>
      </c>
      <c r="E51" s="45">
        <f>IF(ISBLANK(Display!E39),"",Display!E39)</f>
        <v/>
      </c>
      <c r="F51" s="14">
        <f t="array" ref="F51">IF(ISBLANK(Display!J39),NULL,Display!J39)</f>
        <v/>
      </c>
      <c r="G51" s="14">
        <f t="array" ref="G51">IF(ISBLANK(Display!K39),NULL,Display!K39)</f>
        <v/>
      </c>
      <c r="H51" s="14">
        <f t="array" ref="H51">IF(ISBLANK(Display!L39),NULL,Display!L39)</f>
        <v/>
      </c>
      <c r="I51" s="14">
        <f t="array" ref="I51">IF(ISBLANK(Display!M39),NULL,Display!M39)</f>
        <v/>
      </c>
      <c r="J51" s="14">
        <f t="array" ref="J51">IF(ISBLANK(Display!N39),NULL,Display!N39)</f>
        <v/>
      </c>
      <c r="K51" s="14">
        <f t="array" ref="K51">IF(ISBLANK(Display!O39),NULL,Display!O39)</f>
        <v/>
      </c>
      <c r="L51" s="14">
        <f t="array" ref="L51">IF(ISBLANK(Display!P39),NULL,Display!P39)</f>
        <v/>
      </c>
      <c r="M51" s="14">
        <f t="array" ref="M51">IF(ISBLANK(Display!Q39),NULL,Display!Q39)</f>
        <v/>
      </c>
      <c r="N51" s="14">
        <f t="array" ref="N51">IF(ISBLANK(Display!R39),NULL,Display!R39)</f>
        <v/>
      </c>
      <c r="O51" s="14">
        <f>IF(ISBLANK(A51),"",MAX($F51:$N51))</f>
        <v/>
      </c>
      <c r="P51" s="45">
        <f>IF(ISBLANK(Display!I39),"",Display!I39)</f>
        <v/>
      </c>
    </row>
    <row r="52">
      <c r="A52">
        <f>IF(ISBLANK(Display!A18),,Display!A18)</f>
        <v/>
      </c>
      <c r="B52" s="45">
        <f>IF($C52&gt;0,Display!B18,)</f>
        <v/>
      </c>
      <c r="C52" s="45">
        <f>IF(ISBLANK(Display!C18),"",Display!C18)</f>
        <v/>
      </c>
      <c r="D52" s="45">
        <f>IF(ISBLANK(Display!D18),"",Display!D18)</f>
        <v/>
      </c>
      <c r="E52" s="45">
        <f>IF(ISBLANK(Display!E18),"",Display!E18)</f>
        <v/>
      </c>
      <c r="F52" s="14">
        <f t="array" ref="F52">IF(ISBLANK(Display!J18),NULL,Display!J18)</f>
        <v/>
      </c>
      <c r="G52" s="14">
        <f t="array" ref="G52">IF(ISBLANK(Display!K18),NULL,Display!K18)</f>
        <v/>
      </c>
      <c r="H52" s="14">
        <f t="array" ref="H52">IF(ISBLANK(Display!L18),NULL,Display!L18)</f>
        <v/>
      </c>
      <c r="I52" s="14">
        <f t="array" ref="I52">IF(ISBLANK(Display!M18),NULL,Display!M18)</f>
        <v/>
      </c>
      <c r="J52" s="14">
        <f t="array" ref="J52">IF(ISBLANK(Display!N18),NULL,Display!N18)</f>
        <v/>
      </c>
      <c r="K52" s="14">
        <f t="array" ref="K52">IF(ISBLANK(Display!O18),NULL,Display!O18)</f>
        <v/>
      </c>
      <c r="L52" s="14">
        <f t="array" ref="L52">IF(ISBLANK(Display!P18),NULL,Display!P18)</f>
        <v/>
      </c>
      <c r="M52" s="14">
        <f t="array" ref="M52">IF(ISBLANK(Display!Q18),NULL,Display!Q18)</f>
        <v/>
      </c>
      <c r="N52" s="14">
        <f t="array" ref="N52">IF(ISBLANK(Display!R18),NULL,Display!R18)</f>
        <v/>
      </c>
      <c r="O52" s="14">
        <f>IF(ISBLANK(A52),"",MAX($F52:$N52))</f>
        <v/>
      </c>
      <c r="P52" s="45">
        <f>IF(ISBLANK(Display!I18),"",Display!I18)</f>
        <v/>
      </c>
    </row>
    <row r="53">
      <c r="A53">
        <f>IF(ISBLANK(Display!A52),,Display!A52)</f>
        <v/>
      </c>
      <c r="B53" s="45">
        <f>IF($C53&gt;0,Display!B52,)</f>
        <v/>
      </c>
      <c r="C53" s="45">
        <f>IF(ISBLANK(Display!C52),"",Display!C52)</f>
        <v/>
      </c>
      <c r="D53" s="45">
        <f>IF(ISBLANK(Display!D52),"",Display!D52)</f>
        <v/>
      </c>
      <c r="E53" s="45">
        <f>IF(ISBLANK(Display!E52),"",Display!E52)</f>
        <v/>
      </c>
      <c r="F53" s="14">
        <f t="array" ref="F53">IF(ISBLANK(Display!J52),NULL,Display!J52)</f>
        <v/>
      </c>
      <c r="G53" s="14">
        <f t="array" ref="G53">IF(ISBLANK(Display!K52),NULL,Display!K52)</f>
        <v/>
      </c>
      <c r="H53" s="14">
        <f t="array" ref="H53">IF(ISBLANK(Display!L52),NULL,Display!L52)</f>
        <v/>
      </c>
      <c r="I53" s="14">
        <f t="array" ref="I53">IF(ISBLANK(Display!M52),NULL,Display!M52)</f>
        <v/>
      </c>
      <c r="J53" s="14">
        <f t="array" ref="J53">IF(ISBLANK(Display!N52),NULL,Display!N52)</f>
        <v/>
      </c>
      <c r="K53" s="14">
        <f t="array" ref="K53">IF(ISBLANK(Display!O52),NULL,Display!O52)</f>
        <v/>
      </c>
      <c r="L53" s="14">
        <f t="array" ref="L53">IF(ISBLANK(Display!P52),NULL,Display!P52)</f>
        <v/>
      </c>
      <c r="M53" s="14">
        <f t="array" ref="M53">IF(ISBLANK(Display!Q52),NULL,Display!Q52)</f>
        <v/>
      </c>
      <c r="N53" s="14">
        <f t="array" ref="N53">IF(ISBLANK(Display!R52),NULL,Display!R52)</f>
        <v/>
      </c>
      <c r="O53" s="14">
        <f>IF(ISBLANK(A53),"",MAX($F53:$N53))</f>
        <v/>
      </c>
      <c r="P53" s="45">
        <f>IF(ISBLANK(Display!I52),"",Display!I52)</f>
        <v/>
      </c>
    </row>
    <row r="54">
      <c r="A54">
        <f>IF(ISBLANK(Display!A61),,Display!A61)</f>
        <v/>
      </c>
      <c r="B54" s="45">
        <f>IF($C54&gt;0,Display!B61,)</f>
        <v/>
      </c>
      <c r="C54" s="45">
        <f>IF(ISBLANK(Display!C61),"",Display!C61)</f>
        <v/>
      </c>
      <c r="D54" s="45">
        <f>IF(ISBLANK(Display!D61),"",Display!D61)</f>
        <v/>
      </c>
      <c r="E54" s="45">
        <f>IF(ISBLANK(Display!E61),"",Display!E61)</f>
        <v/>
      </c>
      <c r="F54" s="14">
        <f t="array" ref="F54">IF(ISBLANK(Display!J61),NULL,Display!J61)</f>
        <v/>
      </c>
      <c r="G54" s="14">
        <f t="array" ref="G54">IF(ISBLANK(Display!K61),NULL,Display!K61)</f>
        <v/>
      </c>
      <c r="H54" s="14">
        <f t="array" ref="H54">IF(ISBLANK(Display!L61),NULL,Display!L61)</f>
        <v/>
      </c>
      <c r="I54" s="14">
        <f t="array" ref="I54">IF(ISBLANK(Display!M61),NULL,Display!M61)</f>
        <v/>
      </c>
      <c r="J54" s="14">
        <f t="array" ref="J54">IF(ISBLANK(Display!N61),NULL,Display!N61)</f>
        <v/>
      </c>
      <c r="K54" s="14">
        <f t="array" ref="K54">IF(ISBLANK(Display!O61),NULL,Display!O61)</f>
        <v/>
      </c>
      <c r="L54" s="14">
        <f t="array" ref="L54">IF(ISBLANK(Display!P61),NULL,Display!P61)</f>
        <v/>
      </c>
      <c r="M54" s="14">
        <f t="array" ref="M54">IF(ISBLANK(Display!Q61),NULL,Display!Q61)</f>
        <v/>
      </c>
      <c r="N54" s="14">
        <f t="array" ref="N54">IF(ISBLANK(Display!R61),NULL,Display!R61)</f>
        <v/>
      </c>
      <c r="O54" s="14">
        <f>IF(ISBLANK(A54),"",MAX($F54:$N54))</f>
        <v/>
      </c>
      <c r="P54" s="45">
        <f>IF(ISBLANK(Display!I61),"",Display!I61)</f>
        <v/>
      </c>
    </row>
    <row r="55">
      <c r="A55">
        <f>IF(ISBLANK(Display!A42),,Display!A42)</f>
        <v/>
      </c>
      <c r="B55" s="45">
        <f>IF($C55&gt;0,Display!B42,)</f>
        <v/>
      </c>
      <c r="C55" s="45">
        <f>IF(ISBLANK(Display!C42),"",Display!C42)</f>
        <v/>
      </c>
      <c r="D55" s="45">
        <f>IF(ISBLANK(Display!D42),"",Display!D42)</f>
        <v/>
      </c>
      <c r="E55" s="45">
        <f>IF(ISBLANK(Display!E42),"",Display!E42)</f>
        <v/>
      </c>
      <c r="F55" s="14">
        <f t="array" ref="F55">IF(ISBLANK(Display!J42),NULL,Display!J42)</f>
        <v/>
      </c>
      <c r="G55" s="14">
        <f t="array" ref="G55">IF(ISBLANK(Display!K42),NULL,Display!K42)</f>
        <v/>
      </c>
      <c r="H55" s="14">
        <f t="array" ref="H55">IF(ISBLANK(Display!L42),NULL,Display!L42)</f>
        <v/>
      </c>
      <c r="I55" s="14">
        <f t="array" ref="I55">IF(ISBLANK(Display!M42),NULL,Display!M42)</f>
        <v/>
      </c>
      <c r="J55" s="14">
        <f t="array" ref="J55">IF(ISBLANK(Display!N42),NULL,Display!N42)</f>
        <v/>
      </c>
      <c r="K55" s="14">
        <f t="array" ref="K55">IF(ISBLANK(Display!O42),NULL,Display!O42)</f>
        <v/>
      </c>
      <c r="L55" s="14">
        <f t="array" ref="L55">IF(ISBLANK(Display!P42),NULL,Display!P42)</f>
        <v/>
      </c>
      <c r="M55" s="14">
        <f t="array" ref="M55">IF(ISBLANK(Display!Q42),NULL,Display!Q42)</f>
        <v/>
      </c>
      <c r="N55" s="14">
        <f t="array" ref="N55">IF(ISBLANK(Display!R42),NULL,Display!R42)</f>
        <v/>
      </c>
      <c r="O55" s="14">
        <f>IF(ISBLANK(A55),"",MAX($F55:$N55))</f>
        <v/>
      </c>
      <c r="P55" s="45">
        <f>IF(ISBLANK(Display!I42),"",Display!I42)</f>
        <v/>
      </c>
    </row>
    <row r="56">
      <c r="A56">
        <f>IF(ISBLANK(Display!A40),,Display!A40)</f>
        <v/>
      </c>
      <c r="B56" s="45">
        <f>IF($C56&gt;0,Display!B40,)</f>
        <v/>
      </c>
      <c r="C56" s="45">
        <f>IF(ISBLANK(Display!C40),"",Display!C40)</f>
        <v/>
      </c>
      <c r="D56" s="45">
        <f>IF(ISBLANK(Display!D40),"",Display!D40)</f>
        <v/>
      </c>
      <c r="E56" s="45">
        <f>IF(ISBLANK(Display!E40),"",Display!E40)</f>
        <v/>
      </c>
      <c r="F56" s="14">
        <f t="array" ref="F56">IF(ISBLANK(Display!J40),NULL,Display!J40)</f>
        <v/>
      </c>
      <c r="G56" s="14">
        <f t="array" ref="G56">IF(ISBLANK(Display!K40),NULL,Display!K40)</f>
        <v/>
      </c>
      <c r="H56" s="14">
        <f t="array" ref="H56">IF(ISBLANK(Display!L40),NULL,Display!L40)</f>
        <v/>
      </c>
      <c r="I56" s="14">
        <f t="array" ref="I56">IF(ISBLANK(Display!M40),NULL,Display!M40)</f>
        <v/>
      </c>
      <c r="J56" s="14">
        <f t="array" ref="J56">IF(ISBLANK(Display!N40),NULL,Display!N40)</f>
        <v/>
      </c>
      <c r="K56" s="14">
        <f t="array" ref="K56">IF(ISBLANK(Display!O40),NULL,Display!O40)</f>
        <v/>
      </c>
      <c r="L56" s="14">
        <f t="array" ref="L56">IF(ISBLANK(Display!P40),NULL,Display!P40)</f>
        <v/>
      </c>
      <c r="M56" s="14">
        <f t="array" ref="M56">IF(ISBLANK(Display!Q40),NULL,Display!Q40)</f>
        <v/>
      </c>
      <c r="N56" s="14">
        <f t="array" ref="N56">IF(ISBLANK(Display!R40),NULL,Display!R40)</f>
        <v/>
      </c>
      <c r="O56" s="14">
        <f>IF(ISBLANK(A56),"",MAX($F56:$N56))</f>
        <v/>
      </c>
      <c r="P56" s="45">
        <f>IF(ISBLANK(Display!I40),"",Display!I40)</f>
        <v/>
      </c>
    </row>
    <row r="57">
      <c r="A57">
        <f>IF(ISBLANK(Display!A9),,Display!A9)</f>
        <v/>
      </c>
      <c r="B57" s="45">
        <f>IF($C57&gt;0,Display!B9,)</f>
        <v/>
      </c>
      <c r="C57" s="45">
        <f>IF(ISBLANK(Display!C9),"",Display!C9)</f>
        <v/>
      </c>
      <c r="D57" s="45">
        <f>IF(ISBLANK(Display!D9),"",Display!D9)</f>
        <v/>
      </c>
      <c r="E57" s="45">
        <f>IF(ISBLANK(Display!E9),"",Display!E9)</f>
        <v/>
      </c>
      <c r="F57" s="14">
        <f t="array" ref="F57">IF(ISBLANK(Display!J9),NULL,Display!J9)</f>
        <v/>
      </c>
      <c r="G57" s="14">
        <f t="array" ref="G57">IF(ISBLANK(Display!K9),NULL,Display!K9)</f>
        <v/>
      </c>
      <c r="H57" s="14">
        <f t="array" ref="H57">IF(ISBLANK(Display!L9),NULL,Display!L9)</f>
        <v/>
      </c>
      <c r="I57" s="14">
        <f t="array" ref="I57">IF(ISBLANK(Display!M9),NULL,Display!M9)</f>
        <v/>
      </c>
      <c r="J57" s="14">
        <f t="array" ref="J57">IF(ISBLANK(Display!N9),NULL,Display!N9)</f>
        <v/>
      </c>
      <c r="K57" s="14">
        <f t="array" ref="K57">IF(ISBLANK(Display!O9),NULL,Display!O9)</f>
        <v/>
      </c>
      <c r="L57" s="14">
        <f t="array" ref="L57">IF(ISBLANK(Display!P9),NULL,Display!P9)</f>
        <v/>
      </c>
      <c r="M57" s="14">
        <f t="array" ref="M57">IF(ISBLANK(Display!Q9),NULL,Display!Q9)</f>
        <v/>
      </c>
      <c r="N57" s="14">
        <f t="array" ref="N57">IF(ISBLANK(Display!R9),NULL,Display!R9)</f>
        <v/>
      </c>
      <c r="O57" s="14">
        <f>IF(ISBLANK(A57),"",MAX($F57:$N57))</f>
        <v/>
      </c>
      <c r="P57" s="45">
        <f>IF(ISBLANK(Display!I9),"",Display!I9)</f>
        <v/>
      </c>
    </row>
    <row r="58">
      <c r="A58">
        <f>IF(ISBLANK(Display!A54),,Display!A54)</f>
        <v/>
      </c>
      <c r="B58" s="45">
        <f>IF($C58&gt;0,Display!B54,)</f>
        <v/>
      </c>
      <c r="C58" s="45">
        <f>IF(ISBLANK(Display!C54),"",Display!C54)</f>
        <v/>
      </c>
      <c r="D58" s="45">
        <f>IF(ISBLANK(Display!D54),"",Display!D54)</f>
        <v/>
      </c>
      <c r="E58" s="45">
        <f>IF(ISBLANK(Display!E54),"",Display!E54)</f>
        <v/>
      </c>
      <c r="F58" s="14">
        <f t="array" ref="F58">IF(ISBLANK(Display!J54),NULL,Display!J54)</f>
        <v/>
      </c>
      <c r="G58" s="14">
        <f t="array" ref="G58">IF(ISBLANK(Display!K54),NULL,Display!K54)</f>
        <v/>
      </c>
      <c r="H58" s="14">
        <f t="array" ref="H58">IF(ISBLANK(Display!L54),NULL,Display!L54)</f>
        <v/>
      </c>
      <c r="I58" s="14">
        <f t="array" ref="I58">IF(ISBLANK(Display!M54),NULL,Display!M54)</f>
        <v/>
      </c>
      <c r="J58" s="14">
        <f t="array" ref="J58">IF(ISBLANK(Display!N54),NULL,Display!N54)</f>
        <v/>
      </c>
      <c r="K58" s="14">
        <f t="array" ref="K58">IF(ISBLANK(Display!O54),NULL,Display!O54)</f>
        <v/>
      </c>
      <c r="L58" s="14">
        <f t="array" ref="L58">IF(ISBLANK(Display!P54),NULL,Display!P54)</f>
        <v/>
      </c>
      <c r="M58" s="14">
        <f t="array" ref="M58">IF(ISBLANK(Display!Q54),NULL,Display!Q54)</f>
        <v/>
      </c>
      <c r="N58" s="14">
        <f t="array" ref="N58">IF(ISBLANK(Display!R54),NULL,Display!R54)</f>
        <v/>
      </c>
      <c r="O58" s="14">
        <f>IF(ISBLANK(A58),"",MAX($F58:$N58))</f>
        <v/>
      </c>
      <c r="P58" s="45">
        <f>IF(ISBLANK(Display!I54),"",Display!I54)</f>
        <v/>
      </c>
    </row>
    <row r="59">
      <c r="A59">
        <f>IF(ISBLANK(Display!A70),,Display!A70)</f>
        <v/>
      </c>
      <c r="B59" s="45">
        <f>IF($C59&gt;0,Display!B70,)</f>
        <v/>
      </c>
      <c r="C59" s="45">
        <f>IF(ISBLANK(Display!C70),"",Display!C70)</f>
        <v/>
      </c>
      <c r="D59" s="45">
        <f>IF(ISBLANK(Display!D70),"",Display!D70)</f>
        <v/>
      </c>
      <c r="E59" s="45">
        <f>IF(ISBLANK(Display!E70),"",Display!E70)</f>
        <v/>
      </c>
      <c r="F59" s="14">
        <f t="array" ref="F59">IF(ISBLANK(Display!J70),NULL,Display!J70)</f>
        <v/>
      </c>
      <c r="G59" s="14">
        <f t="array" ref="G59">IF(ISBLANK(Display!K70),NULL,Display!K70)</f>
        <v/>
      </c>
      <c r="H59" s="14">
        <f t="array" ref="H59">IF(ISBLANK(Display!L70),NULL,Display!L70)</f>
        <v/>
      </c>
      <c r="I59" s="14">
        <f t="array" ref="I59">IF(ISBLANK(Display!M70),NULL,Display!M70)</f>
        <v/>
      </c>
      <c r="J59" s="14">
        <f t="array" ref="J59">IF(ISBLANK(Display!N70),NULL,Display!N70)</f>
        <v/>
      </c>
      <c r="K59" s="14">
        <f t="array" ref="K59">IF(ISBLANK(Display!O70),NULL,Display!O70)</f>
        <v/>
      </c>
      <c r="L59" s="14">
        <f t="array" ref="L59">IF(ISBLANK(Display!P70),NULL,Display!P70)</f>
        <v/>
      </c>
      <c r="M59" s="14">
        <f t="array" ref="M59">IF(ISBLANK(Display!Q70),NULL,Display!Q70)</f>
        <v/>
      </c>
      <c r="N59" s="14">
        <f t="array" ref="N59">IF(ISBLANK(Display!R70),NULL,Display!R70)</f>
        <v/>
      </c>
      <c r="O59" s="14">
        <f>IF(ISBLANK(A59),"",MAX($F59:$N59))</f>
        <v/>
      </c>
      <c r="P59" s="45">
        <f>IF(ISBLANK(Display!I70),"",Display!I70)</f>
        <v/>
      </c>
    </row>
    <row r="60">
      <c r="A60">
        <f>IF(ISBLANK(Display!A66),,Display!A66)</f>
        <v/>
      </c>
      <c r="B60" s="45">
        <f>IF($C60&gt;0,Display!B66,)</f>
        <v/>
      </c>
      <c r="C60" s="45">
        <f>IF(ISBLANK(Display!C66),"",Display!C66)</f>
        <v/>
      </c>
      <c r="D60" s="45">
        <f>IF(ISBLANK(Display!D66),"",Display!D66)</f>
        <v/>
      </c>
      <c r="E60" s="45">
        <f>IF(ISBLANK(Display!E66),"",Display!E66)</f>
        <v/>
      </c>
      <c r="F60" s="14">
        <f t="array" ref="F60">IF(ISBLANK(Display!J66),NULL,Display!J66)</f>
        <v/>
      </c>
      <c r="G60" s="14">
        <f t="array" ref="G60">IF(ISBLANK(Display!K66),NULL,Display!K66)</f>
        <v/>
      </c>
      <c r="H60" s="14">
        <f t="array" ref="H60">IF(ISBLANK(Display!L66),NULL,Display!L66)</f>
        <v/>
      </c>
      <c r="I60" s="14">
        <f t="array" ref="I60">IF(ISBLANK(Display!M66),NULL,Display!M66)</f>
        <v/>
      </c>
      <c r="J60" s="14">
        <f t="array" ref="J60">IF(ISBLANK(Display!N66),NULL,Display!N66)</f>
        <v/>
      </c>
      <c r="K60" s="14">
        <f t="array" ref="K60">IF(ISBLANK(Display!O66),NULL,Display!O66)</f>
        <v/>
      </c>
      <c r="L60" s="14">
        <f t="array" ref="L60">IF(ISBLANK(Display!P66),NULL,Display!P66)</f>
        <v/>
      </c>
      <c r="M60" s="14">
        <f t="array" ref="M60">IF(ISBLANK(Display!Q66),NULL,Display!Q66)</f>
        <v/>
      </c>
      <c r="N60" s="14">
        <f t="array" ref="N60">IF(ISBLANK(Display!R66),NULL,Display!R66)</f>
        <v/>
      </c>
      <c r="O60" s="14">
        <f>IF(ISBLANK(A60),"",MAX($F60:$N60))</f>
        <v/>
      </c>
      <c r="P60" s="45">
        <f>IF(ISBLANK(Display!I66),"",Display!I66)</f>
        <v/>
      </c>
    </row>
    <row r="61">
      <c r="A61">
        <f>IF(ISBLANK(Display!A48),,Display!A48)</f>
        <v/>
      </c>
      <c r="B61" s="45">
        <f>IF($C61&gt;0,Display!B48,)</f>
        <v/>
      </c>
      <c r="C61" s="45">
        <f>IF(ISBLANK(Display!C48),"",Display!C48)</f>
        <v/>
      </c>
      <c r="D61" s="45">
        <f>IF(ISBLANK(Display!D48),"",Display!D48)</f>
        <v/>
      </c>
      <c r="E61" s="45">
        <f>IF(ISBLANK(Display!E48),"",Display!E48)</f>
        <v/>
      </c>
      <c r="F61" s="14">
        <f t="array" ref="F61">IF(ISBLANK(Display!J48),NULL,Display!J48)</f>
        <v/>
      </c>
      <c r="G61" s="14">
        <f t="array" ref="G61">IF(ISBLANK(Display!K48),NULL,Display!K48)</f>
        <v/>
      </c>
      <c r="H61" s="14">
        <f t="array" ref="H61">IF(ISBLANK(Display!L48),NULL,Display!L48)</f>
        <v/>
      </c>
      <c r="I61" s="14">
        <f t="array" ref="I61">IF(ISBLANK(Display!M48),NULL,Display!M48)</f>
        <v/>
      </c>
      <c r="J61" s="14">
        <f t="array" ref="J61">IF(ISBLANK(Display!N48),NULL,Display!N48)</f>
        <v/>
      </c>
      <c r="K61" s="14">
        <f t="array" ref="K61">IF(ISBLANK(Display!O48),NULL,Display!O48)</f>
        <v/>
      </c>
      <c r="L61" s="14">
        <f t="array" ref="L61">IF(ISBLANK(Display!P48),NULL,Display!P48)</f>
        <v/>
      </c>
      <c r="M61" s="14">
        <f t="array" ref="M61">IF(ISBLANK(Display!Q48),NULL,Display!Q48)</f>
        <v/>
      </c>
      <c r="N61" s="14">
        <f t="array" ref="N61">IF(ISBLANK(Display!R48),NULL,Display!R48)</f>
        <v/>
      </c>
      <c r="O61" s="14">
        <f>IF(ISBLANK(A61),"",MAX($F61:$N61))</f>
        <v/>
      </c>
      <c r="P61" s="45">
        <f>IF(ISBLANK(Display!I48),"",Display!I48)</f>
        <v/>
      </c>
    </row>
    <row r="62">
      <c r="A62">
        <f>IF(ISBLANK(Display!A72),,Display!A72)</f>
        <v/>
      </c>
      <c r="B62" s="45">
        <f>IF($C62&gt;0,Display!B72,)</f>
        <v/>
      </c>
      <c r="C62" s="45">
        <f>IF(ISBLANK(Display!C72),"",Display!C72)</f>
        <v/>
      </c>
      <c r="D62" s="45">
        <f>IF(ISBLANK(Display!D72),"",Display!D72)</f>
        <v/>
      </c>
      <c r="E62" s="45">
        <f>IF(ISBLANK(Display!E72),"",Display!E72)</f>
        <v/>
      </c>
      <c r="F62" s="14">
        <f t="array" ref="F62">IF(ISBLANK(Display!J72),NULL,Display!J72)</f>
        <v/>
      </c>
      <c r="G62" s="14">
        <f t="array" ref="G62">IF(ISBLANK(Display!K72),NULL,Display!K72)</f>
        <v/>
      </c>
      <c r="H62" s="14">
        <f t="array" ref="H62">IF(ISBLANK(Display!L72),NULL,Display!L72)</f>
        <v/>
      </c>
      <c r="I62" s="14">
        <f t="array" ref="I62">IF(ISBLANK(Display!M72),NULL,Display!M72)</f>
        <v/>
      </c>
      <c r="J62" s="14">
        <f t="array" ref="J62">IF(ISBLANK(Display!N72),NULL,Display!N72)</f>
        <v/>
      </c>
      <c r="K62" s="14">
        <f t="array" ref="K62">IF(ISBLANK(Display!O72),NULL,Display!O72)</f>
        <v/>
      </c>
      <c r="L62" s="14">
        <f t="array" ref="L62">IF(ISBLANK(Display!P72),NULL,Display!P72)</f>
        <v/>
      </c>
      <c r="M62" s="14">
        <f t="array" ref="M62">IF(ISBLANK(Display!Q72),NULL,Display!Q72)</f>
        <v/>
      </c>
      <c r="N62" s="14">
        <f t="array" ref="N62">IF(ISBLANK(Display!R72),NULL,Display!R72)</f>
        <v/>
      </c>
      <c r="O62" s="14">
        <f>IF(ISBLANK(A62),"",MAX($F62:$N62))</f>
        <v/>
      </c>
      <c r="P62" s="45">
        <f>IF(ISBLANK(Display!I72),"",Display!I72)</f>
        <v/>
      </c>
    </row>
    <row r="63">
      <c r="A63">
        <f>IF(ISBLANK(Display!A7),,Display!A7)</f>
        <v/>
      </c>
      <c r="B63" s="45">
        <f>IF($C63&gt;0,Display!B7,)</f>
        <v/>
      </c>
      <c r="C63" s="45">
        <f>IF(ISBLANK(Display!C7),"",Display!C7)</f>
        <v/>
      </c>
      <c r="D63" s="45">
        <f>IF(ISBLANK(Display!D7),"",Display!D7)</f>
        <v/>
      </c>
      <c r="E63" s="45">
        <f>IF(ISBLANK(Display!E7),"",Display!E7)</f>
        <v/>
      </c>
      <c r="F63" s="14">
        <f t="array" ref="F63">IF(ISBLANK(Display!J7),NULL,Display!J7)</f>
        <v/>
      </c>
      <c r="G63" s="14">
        <f t="array" ref="G63">IF(ISBLANK(Display!K7),NULL,Display!K7)</f>
        <v/>
      </c>
      <c r="H63" s="14">
        <f t="array" ref="H63">IF(ISBLANK(Display!L7),NULL,Display!L7)</f>
        <v/>
      </c>
      <c r="I63" s="14">
        <f t="array" ref="I63">IF(ISBLANK(Display!M7),NULL,Display!M7)</f>
        <v/>
      </c>
      <c r="J63" s="14">
        <f t="array" ref="J63">IF(ISBLANK(Display!N7),NULL,Display!N7)</f>
        <v/>
      </c>
      <c r="K63" s="14">
        <f t="array" ref="K63">IF(ISBLANK(Display!O7),NULL,Display!O7)</f>
        <v/>
      </c>
      <c r="L63" s="14">
        <f t="array" ref="L63">IF(ISBLANK(Display!P7),NULL,Display!P7)</f>
        <v/>
      </c>
      <c r="M63" s="14">
        <f t="array" ref="M63">IF(ISBLANK(Display!Q7),NULL,Display!Q7)</f>
        <v/>
      </c>
      <c r="N63" s="14">
        <f t="array" ref="N63">IF(ISBLANK(Display!R7),NULL,Display!R7)</f>
        <v/>
      </c>
      <c r="O63" s="14">
        <f>IF(ISBLANK(A63),"",MAX($F63:$N63))</f>
        <v/>
      </c>
      <c r="P63" s="45">
        <f>IF(ISBLANK(Display!I7),"",Display!I7)</f>
        <v/>
      </c>
    </row>
    <row r="64">
      <c r="A64">
        <f>IF(ISBLANK(Display!A60),,Display!A60)</f>
        <v/>
      </c>
      <c r="B64" s="45">
        <f>IF($C64&gt;0,Display!B60,)</f>
        <v/>
      </c>
      <c r="C64" s="45">
        <f>IF(ISBLANK(Display!C60),"",Display!C60)</f>
        <v/>
      </c>
      <c r="D64" s="45">
        <f>IF(ISBLANK(Display!D60),"",Display!D60)</f>
        <v/>
      </c>
      <c r="E64" s="45">
        <f>IF(ISBLANK(Display!E60),"",Display!E60)</f>
        <v/>
      </c>
      <c r="F64" s="14">
        <f t="array" ref="F64">IF(ISBLANK(Display!J60),NULL,Display!J60)</f>
        <v/>
      </c>
      <c r="G64" s="14">
        <f t="array" ref="G64">IF(ISBLANK(Display!K60),NULL,Display!K60)</f>
        <v/>
      </c>
      <c r="H64" s="14">
        <f t="array" ref="H64">IF(ISBLANK(Display!L60),NULL,Display!L60)</f>
        <v/>
      </c>
      <c r="I64" s="14">
        <f t="array" ref="I64">IF(ISBLANK(Display!M60),NULL,Display!M60)</f>
        <v/>
      </c>
      <c r="J64" s="14">
        <f t="array" ref="J64">IF(ISBLANK(Display!N60),NULL,Display!N60)</f>
        <v/>
      </c>
      <c r="K64" s="14">
        <f t="array" ref="K64">IF(ISBLANK(Display!O60),NULL,Display!O60)</f>
        <v/>
      </c>
      <c r="L64" s="14">
        <f t="array" ref="L64">IF(ISBLANK(Display!P60),NULL,Display!P60)</f>
        <v/>
      </c>
      <c r="M64" s="14">
        <f t="array" ref="M64">IF(ISBLANK(Display!Q60),NULL,Display!Q60)</f>
        <v/>
      </c>
      <c r="N64" s="14">
        <f t="array" ref="N64">IF(ISBLANK(Display!R60),NULL,Display!R60)</f>
        <v/>
      </c>
      <c r="O64" s="14">
        <f>IF(ISBLANK(A64),"",MAX($F64:$N64))</f>
        <v/>
      </c>
      <c r="P64" s="45">
        <f>IF(ISBLANK(Display!I60),"",Display!I60)</f>
        <v/>
      </c>
    </row>
    <row r="65">
      <c r="A65">
        <f>IF(ISBLANK(Display!A56),,Display!A56)</f>
        <v/>
      </c>
      <c r="B65" s="45">
        <f>IF($C65&gt;0,Display!B56,)</f>
        <v/>
      </c>
      <c r="C65" s="45">
        <f>IF(ISBLANK(Display!C56),"",Display!C56)</f>
        <v/>
      </c>
      <c r="D65" s="45">
        <f>IF(ISBLANK(Display!D56),"",Display!D56)</f>
        <v/>
      </c>
      <c r="E65" s="45">
        <f>IF(ISBLANK(Display!E56),"",Display!E56)</f>
        <v/>
      </c>
      <c r="F65" s="14">
        <f t="array" ref="F65">IF(ISBLANK(Display!J56),NULL,Display!J56)</f>
        <v/>
      </c>
      <c r="G65" s="14">
        <f t="array" ref="G65">IF(ISBLANK(Display!K56),NULL,Display!K56)</f>
        <v/>
      </c>
      <c r="H65" s="14">
        <f t="array" ref="H65">IF(ISBLANK(Display!L56),NULL,Display!L56)</f>
        <v/>
      </c>
      <c r="I65" s="14">
        <f t="array" ref="I65">IF(ISBLANK(Display!M56),NULL,Display!M56)</f>
        <v/>
      </c>
      <c r="J65" s="14">
        <f t="array" ref="J65">IF(ISBLANK(Display!N56),NULL,Display!N56)</f>
        <v/>
      </c>
      <c r="K65" s="14">
        <f t="array" ref="K65">IF(ISBLANK(Display!O56),NULL,Display!O56)</f>
        <v/>
      </c>
      <c r="L65" s="14">
        <f t="array" ref="L65">IF(ISBLANK(Display!P56),NULL,Display!P56)</f>
        <v/>
      </c>
      <c r="M65" s="14">
        <f t="array" ref="M65">IF(ISBLANK(Display!Q56),NULL,Display!Q56)</f>
        <v/>
      </c>
      <c r="N65" s="14">
        <f t="array" ref="N65">IF(ISBLANK(Display!R56),NULL,Display!R56)</f>
        <v/>
      </c>
      <c r="O65" s="14">
        <f>IF(ISBLANK(A65),"",MAX($F65:$N65))</f>
        <v/>
      </c>
      <c r="P65" s="45">
        <f>IF(ISBLANK(Display!I56),"",Display!I56)</f>
        <v/>
      </c>
    </row>
    <row r="66">
      <c r="A66">
        <f>IF(ISBLANK(Display!A65),,Display!A65)</f>
        <v/>
      </c>
      <c r="B66" s="45">
        <f>IF($C66&gt;0,Display!B65,)</f>
        <v/>
      </c>
      <c r="C66" s="45">
        <f>IF(ISBLANK(Display!C65),"",Display!C65)</f>
        <v/>
      </c>
      <c r="D66" s="45">
        <f>IF(ISBLANK(Display!D65),"",Display!D65)</f>
        <v/>
      </c>
      <c r="E66" s="45">
        <f>IF(ISBLANK(Display!E65),"",Display!E65)</f>
        <v/>
      </c>
      <c r="F66" s="14">
        <f t="array" ref="F66">IF(ISBLANK(Display!J65),NULL,Display!J65)</f>
        <v/>
      </c>
      <c r="G66" s="14">
        <f t="array" ref="G66">IF(ISBLANK(Display!K65),NULL,Display!K65)</f>
        <v/>
      </c>
      <c r="H66" s="14">
        <f t="array" ref="H66">IF(ISBLANK(Display!L65),NULL,Display!L65)</f>
        <v/>
      </c>
      <c r="I66" s="14">
        <f t="array" ref="I66">IF(ISBLANK(Display!M65),NULL,Display!M65)</f>
        <v/>
      </c>
      <c r="J66" s="14">
        <f t="array" ref="J66">IF(ISBLANK(Display!N65),NULL,Display!N65)</f>
        <v/>
      </c>
      <c r="K66" s="14">
        <f t="array" ref="K66">IF(ISBLANK(Display!O65),NULL,Display!O65)</f>
        <v/>
      </c>
      <c r="L66" s="14">
        <f t="array" ref="L66">IF(ISBLANK(Display!P65),NULL,Display!P65)</f>
        <v/>
      </c>
      <c r="M66" s="14">
        <f t="array" ref="M66">IF(ISBLANK(Display!Q65),NULL,Display!Q65)</f>
        <v/>
      </c>
      <c r="N66" s="14">
        <f t="array" ref="N66">IF(ISBLANK(Display!R65),NULL,Display!R65)</f>
        <v/>
      </c>
      <c r="O66" s="14">
        <f>IF(ISBLANK(A66),"",MAX($F66:$N66))</f>
        <v/>
      </c>
      <c r="P66" s="45">
        <f>IF(ISBLANK(Display!I65),"",Display!I65)</f>
        <v/>
      </c>
    </row>
    <row r="67">
      <c r="A67">
        <f>IF(ISBLANK(Display!A45),,Display!A45)</f>
        <v/>
      </c>
      <c r="B67" s="45">
        <f>IF($C67&gt;0,Display!B45,)</f>
        <v/>
      </c>
      <c r="C67" s="45">
        <f>IF(ISBLANK(Display!C45),"",Display!C45)</f>
        <v/>
      </c>
      <c r="D67" s="45">
        <f>IF(ISBLANK(Display!D45),"",Display!D45)</f>
        <v/>
      </c>
      <c r="E67" s="45">
        <f>IF(ISBLANK(Display!E45),"",Display!E45)</f>
        <v/>
      </c>
      <c r="F67" s="14">
        <f t="array" ref="F67">IF(ISBLANK(Display!J45),NULL,Display!J45)</f>
        <v/>
      </c>
      <c r="G67" s="14">
        <f t="array" ref="G67">IF(ISBLANK(Display!K45),NULL,Display!K45)</f>
        <v/>
      </c>
      <c r="H67" s="14">
        <f t="array" ref="H67">IF(ISBLANK(Display!L45),NULL,Display!L45)</f>
        <v/>
      </c>
      <c r="I67" s="14">
        <f t="array" ref="I67">IF(ISBLANK(Display!M45),NULL,Display!M45)</f>
        <v/>
      </c>
      <c r="J67" s="14">
        <f t="array" ref="J67">IF(ISBLANK(Display!N45),NULL,Display!N45)</f>
        <v/>
      </c>
      <c r="K67" s="14">
        <f t="array" ref="K67">IF(ISBLANK(Display!O45),NULL,Display!O45)</f>
        <v/>
      </c>
      <c r="L67" s="14">
        <f t="array" ref="L67">IF(ISBLANK(Display!P45),NULL,Display!P45)</f>
        <v/>
      </c>
      <c r="M67" s="14">
        <f t="array" ref="M67">IF(ISBLANK(Display!Q45),NULL,Display!Q45)</f>
        <v/>
      </c>
      <c r="N67" s="14">
        <f t="array" ref="N67">IF(ISBLANK(Display!R45),NULL,Display!R45)</f>
        <v/>
      </c>
      <c r="O67" s="14">
        <f>IF(ISBLANK(A67),"",MAX($F67:$N67))</f>
        <v/>
      </c>
      <c r="P67" s="45">
        <f>IF(ISBLANK(Display!I45),"",Display!I45)</f>
        <v/>
      </c>
    </row>
    <row r="68">
      <c r="A68">
        <f>IF(ISBLANK(Display!A32),,Display!A32)</f>
        <v/>
      </c>
      <c r="B68" s="45">
        <f>IF($C68&gt;0,Display!B32,)</f>
        <v/>
      </c>
      <c r="C68" s="45">
        <f>IF(ISBLANK(Display!C32),"",Display!C32)</f>
        <v/>
      </c>
      <c r="D68" s="45">
        <f>IF(ISBLANK(Display!D32),"",Display!D32)</f>
        <v/>
      </c>
      <c r="E68" s="45">
        <f>IF(ISBLANK(Display!E32),"",Display!E32)</f>
        <v/>
      </c>
      <c r="F68" s="14">
        <f t="array" ref="F68">IF(ISBLANK(Display!J32),NULL,Display!J32)</f>
        <v/>
      </c>
      <c r="G68" s="14">
        <f t="array" ref="G68">IF(ISBLANK(Display!K32),NULL,Display!K32)</f>
        <v/>
      </c>
      <c r="H68" s="14">
        <f t="array" ref="H68">IF(ISBLANK(Display!L32),NULL,Display!L32)</f>
        <v/>
      </c>
      <c r="I68" s="14">
        <f t="array" ref="I68">IF(ISBLANK(Display!M32),NULL,Display!M32)</f>
        <v/>
      </c>
      <c r="J68" s="14">
        <f t="array" ref="J68">IF(ISBLANK(Display!N32),NULL,Display!N32)</f>
        <v/>
      </c>
      <c r="K68" s="14">
        <f t="array" ref="K68">IF(ISBLANK(Display!O32),NULL,Display!O32)</f>
        <v/>
      </c>
      <c r="L68" s="14">
        <f t="array" ref="L68">IF(ISBLANK(Display!P32),NULL,Display!P32)</f>
        <v/>
      </c>
      <c r="M68" s="14">
        <f t="array" ref="M68">IF(ISBLANK(Display!Q32),NULL,Display!Q32)</f>
        <v/>
      </c>
      <c r="N68" s="14">
        <f t="array" ref="N68">IF(ISBLANK(Display!R32),NULL,Display!R32)</f>
        <v/>
      </c>
      <c r="O68" s="14">
        <f>IF(ISBLANK(A68),"",MAX($F68:$N68))</f>
        <v/>
      </c>
      <c r="P68" s="45">
        <f>IF(ISBLANK(Display!I32),"",Display!I32)</f>
        <v/>
      </c>
    </row>
    <row r="69">
      <c r="A69">
        <f>IF(ISBLANK(Display!A29),,Display!A29)</f>
        <v/>
      </c>
      <c r="B69" s="45">
        <f>IF($C69&gt;0,Display!B29,)</f>
        <v/>
      </c>
      <c r="C69" s="45">
        <f>IF(ISBLANK(Display!C29),"",Display!C29)</f>
        <v/>
      </c>
      <c r="D69" s="45">
        <f>IF(ISBLANK(Display!D29),"",Display!D29)</f>
        <v/>
      </c>
      <c r="E69" s="45">
        <f>IF(ISBLANK(Display!E29),"",Display!E29)</f>
        <v/>
      </c>
      <c r="F69" s="14">
        <f t="array" ref="F69">IF(ISBLANK(Display!J29),NULL,Display!J29)</f>
        <v/>
      </c>
      <c r="G69" s="14">
        <f t="array" ref="G69">IF(ISBLANK(Display!K29),NULL,Display!K29)</f>
        <v/>
      </c>
      <c r="H69" s="14">
        <f t="array" ref="H69">IF(ISBLANK(Display!L29),NULL,Display!L29)</f>
        <v/>
      </c>
      <c r="I69" s="14">
        <f t="array" ref="I69">IF(ISBLANK(Display!M29),NULL,Display!M29)</f>
        <v/>
      </c>
      <c r="J69" s="14">
        <f t="array" ref="J69">IF(ISBLANK(Display!N29),NULL,Display!N29)</f>
        <v/>
      </c>
      <c r="K69" s="14">
        <f t="array" ref="K69">IF(ISBLANK(Display!O29),NULL,Display!O29)</f>
        <v/>
      </c>
      <c r="L69" s="14">
        <f t="array" ref="L69">IF(ISBLANK(Display!P29),NULL,Display!P29)</f>
        <v/>
      </c>
      <c r="M69" s="14">
        <f t="array" ref="M69">IF(ISBLANK(Display!Q29),NULL,Display!Q29)</f>
        <v/>
      </c>
      <c r="N69" s="14">
        <f t="array" ref="N69">IF(ISBLANK(Display!R29),NULL,Display!R29)</f>
        <v/>
      </c>
      <c r="O69" s="14">
        <f>IF(ISBLANK(A69),"",MAX($F69:$N69))</f>
        <v/>
      </c>
      <c r="P69" s="45">
        <f>IF(ISBLANK(Display!I29),"",Display!I29)</f>
        <v/>
      </c>
    </row>
    <row r="70">
      <c r="A70">
        <f>IF(ISBLANK(Display!A47),,Display!A47)</f>
        <v/>
      </c>
      <c r="B70" s="45">
        <f>IF($C70&gt;0,Display!B47,)</f>
        <v/>
      </c>
      <c r="C70" s="45">
        <f>IF(ISBLANK(Display!C47),"",Display!C47)</f>
        <v/>
      </c>
      <c r="D70" s="45">
        <f>IF(ISBLANK(Display!D47),"",Display!D47)</f>
        <v/>
      </c>
      <c r="E70" s="45">
        <f>IF(ISBLANK(Display!E47),"",Display!E47)</f>
        <v/>
      </c>
      <c r="F70" s="14">
        <f t="array" ref="F70">IF(ISBLANK(Display!J47),NULL,Display!J47)</f>
        <v/>
      </c>
      <c r="G70" s="14">
        <f t="array" ref="G70">IF(ISBLANK(Display!K47),NULL,Display!K47)</f>
        <v/>
      </c>
      <c r="H70" s="14">
        <f t="array" ref="H70">IF(ISBLANK(Display!L47),NULL,Display!L47)</f>
        <v/>
      </c>
      <c r="I70" s="14">
        <f t="array" ref="I70">IF(ISBLANK(Display!M47),NULL,Display!M47)</f>
        <v/>
      </c>
      <c r="J70" s="14">
        <f t="array" ref="J70">IF(ISBLANK(Display!N47),NULL,Display!N47)</f>
        <v/>
      </c>
      <c r="K70" s="14">
        <f t="array" ref="K70">IF(ISBLANK(Display!O47),NULL,Display!O47)</f>
        <v/>
      </c>
      <c r="L70" s="14">
        <f t="array" ref="L70">IF(ISBLANK(Display!P47),NULL,Display!P47)</f>
        <v/>
      </c>
      <c r="M70" s="14">
        <f t="array" ref="M70">IF(ISBLANK(Display!Q47),NULL,Display!Q47)</f>
        <v/>
      </c>
      <c r="N70" s="14">
        <f t="array" ref="N70">IF(ISBLANK(Display!R47),NULL,Display!R47)</f>
        <v/>
      </c>
      <c r="O70" s="14">
        <f>IF(ISBLANK(A70),"",MAX($F70:$N70))</f>
        <v/>
      </c>
      <c r="P70" s="45">
        <f>IF(ISBLANK(Display!I47),"",Display!I47)</f>
        <v/>
      </c>
    </row>
    <row r="71">
      <c r="A71">
        <f>IF(ISBLANK(Display!A62),,Display!A62)</f>
        <v/>
      </c>
      <c r="B71" s="45">
        <f>IF($C71&gt;0,Display!B62,)</f>
        <v/>
      </c>
      <c r="C71" s="45">
        <f>IF(ISBLANK(Display!C62),"",Display!C62)</f>
        <v/>
      </c>
      <c r="D71" s="45">
        <f>IF(ISBLANK(Display!D62),"",Display!D62)</f>
        <v/>
      </c>
      <c r="E71" s="45">
        <f>IF(ISBLANK(Display!E62),"",Display!E62)</f>
        <v/>
      </c>
      <c r="F71" s="14">
        <f t="array" ref="F71">IF(ISBLANK(Display!J62),NULL,Display!J62)</f>
        <v/>
      </c>
      <c r="G71" s="14">
        <f t="array" ref="G71">IF(ISBLANK(Display!K62),NULL,Display!K62)</f>
        <v/>
      </c>
      <c r="H71" s="14">
        <f t="array" ref="H71">IF(ISBLANK(Display!L62),NULL,Display!L62)</f>
        <v/>
      </c>
      <c r="I71" s="14">
        <f t="array" ref="I71">IF(ISBLANK(Display!M62),NULL,Display!M62)</f>
        <v/>
      </c>
      <c r="J71" s="14">
        <f t="array" ref="J71">IF(ISBLANK(Display!N62),NULL,Display!N62)</f>
        <v/>
      </c>
      <c r="K71" s="14">
        <f t="array" ref="K71">IF(ISBLANK(Display!O62),NULL,Display!O62)</f>
        <v/>
      </c>
      <c r="L71" s="14">
        <f t="array" ref="L71">IF(ISBLANK(Display!P62),NULL,Display!P62)</f>
        <v/>
      </c>
      <c r="M71" s="14">
        <f t="array" ref="M71">IF(ISBLANK(Display!Q62),NULL,Display!Q62)</f>
        <v/>
      </c>
      <c r="N71" s="14">
        <f t="array" ref="N71">IF(ISBLANK(Display!R62),NULL,Display!R62)</f>
        <v/>
      </c>
      <c r="O71" s="14">
        <f>IF(ISBLANK(A71),"",MAX($F71:$N71))</f>
        <v/>
      </c>
      <c r="P71" s="45">
        <f>IF(ISBLANK(Display!I62),"",Display!I62)</f>
        <v/>
      </c>
    </row>
    <row r="72">
      <c r="A72">
        <f>IF(ISBLANK(Display!A49),,Display!A49)</f>
        <v/>
      </c>
      <c r="B72" s="45">
        <f>IF($C72&gt;0,Display!B49,)</f>
        <v/>
      </c>
      <c r="C72" s="45">
        <f>IF(ISBLANK(Display!C49),"",Display!C49)</f>
        <v/>
      </c>
      <c r="D72" s="45">
        <f>IF(ISBLANK(Display!D49),"",Display!D49)</f>
        <v/>
      </c>
      <c r="E72" s="45">
        <f>IF(ISBLANK(Display!E49),"",Display!E49)</f>
        <v/>
      </c>
      <c r="F72" s="14">
        <f t="array" ref="F72">IF(ISBLANK(Display!J49),NULL,Display!J49)</f>
        <v/>
      </c>
      <c r="G72" s="14">
        <f t="array" ref="G72">IF(ISBLANK(Display!K49),NULL,Display!K49)</f>
        <v/>
      </c>
      <c r="H72" s="14">
        <f t="array" ref="H72">IF(ISBLANK(Display!L49),NULL,Display!L49)</f>
        <v/>
      </c>
      <c r="I72" s="14">
        <f t="array" ref="I72">IF(ISBLANK(Display!M49),NULL,Display!M49)</f>
        <v/>
      </c>
      <c r="J72" s="14">
        <f t="array" ref="J72">IF(ISBLANK(Display!N49),NULL,Display!N49)</f>
        <v/>
      </c>
      <c r="K72" s="14">
        <f t="array" ref="K72">IF(ISBLANK(Display!O49),NULL,Display!O49)</f>
        <v/>
      </c>
      <c r="L72" s="14">
        <f t="array" ref="L72">IF(ISBLANK(Display!P49),NULL,Display!P49)</f>
        <v/>
      </c>
      <c r="M72" s="14">
        <f t="array" ref="M72">IF(ISBLANK(Display!Q49),NULL,Display!Q49)</f>
        <v/>
      </c>
      <c r="N72" s="14">
        <f t="array" ref="N72">IF(ISBLANK(Display!R49),NULL,Display!R49)</f>
        <v/>
      </c>
      <c r="O72" s="14">
        <f>IF(ISBLANK(A72),"",MAX($F72:$N72))</f>
        <v/>
      </c>
      <c r="P72" s="45">
        <f>IF(ISBLANK(Display!I49),"",Display!I49)</f>
        <v/>
      </c>
    </row>
    <row r="73">
      <c r="A73">
        <f>IF(ISBLANK(Display!A74),,Display!A74)</f>
        <v/>
      </c>
      <c r="B73" s="45">
        <f>IF($C73&gt;0,Display!B74,)</f>
        <v/>
      </c>
      <c r="C73" s="45">
        <f>IF(ISBLANK(Display!C74),"",Display!C74)</f>
        <v/>
      </c>
      <c r="D73" s="45">
        <f>IF(ISBLANK(Display!D74),"",Display!D74)</f>
        <v/>
      </c>
      <c r="E73" s="45">
        <f>IF(ISBLANK(Display!E74),"",Display!E74)</f>
        <v/>
      </c>
      <c r="F73" s="14">
        <f t="array" ref="F73">IF(ISBLANK(Display!J74),NULL,Display!J74)</f>
        <v/>
      </c>
      <c r="G73" s="14">
        <f t="array" ref="G73">IF(ISBLANK(Display!K74),NULL,Display!K74)</f>
        <v/>
      </c>
      <c r="H73" s="14">
        <f t="array" ref="H73">IF(ISBLANK(Display!L74),NULL,Display!L74)</f>
        <v/>
      </c>
      <c r="I73" s="14">
        <f t="array" ref="I73">IF(ISBLANK(Display!M74),NULL,Display!M74)</f>
        <v/>
      </c>
      <c r="J73" s="14">
        <f t="array" ref="J73">IF(ISBLANK(Display!N74),NULL,Display!N74)</f>
        <v/>
      </c>
      <c r="K73" s="14">
        <f t="array" ref="K73">IF(ISBLANK(Display!O74),NULL,Display!O74)</f>
        <v/>
      </c>
      <c r="L73" s="14">
        <f t="array" ref="L73">IF(ISBLANK(Display!P74),NULL,Display!P74)</f>
        <v/>
      </c>
      <c r="M73" s="14">
        <f t="array" ref="M73">IF(ISBLANK(Display!Q74),NULL,Display!Q74)</f>
        <v/>
      </c>
      <c r="N73" s="14">
        <f t="array" ref="N73">IF(ISBLANK(Display!R74),NULL,Display!R74)</f>
        <v/>
      </c>
      <c r="O73" s="14">
        <f>IF(ISBLANK(A73),"",MAX($F73:$N73))</f>
        <v/>
      </c>
      <c r="P73" s="45">
        <f>IF(ISBLANK(Display!I74),"",Display!I74)</f>
        <v/>
      </c>
    </row>
    <row r="74">
      <c r="A74">
        <f>IF(ISBLANK(Display!A75),,Display!A75)</f>
        <v/>
      </c>
      <c r="B74" s="45">
        <f>IF($C74&gt;0,Display!B75,)</f>
        <v/>
      </c>
      <c r="C74" s="45">
        <f>IF(ISBLANK(Display!C75),"",Display!C75)</f>
        <v/>
      </c>
      <c r="D74" s="45">
        <f>IF(ISBLANK(Display!D75),"",Display!D75)</f>
        <v/>
      </c>
      <c r="E74" s="45">
        <f>IF(ISBLANK(Display!E75),"",Display!E75)</f>
        <v/>
      </c>
      <c r="F74" s="14">
        <f t="array" ref="F74">IF(ISBLANK(Display!J75),NULL,Display!J75)</f>
        <v/>
      </c>
      <c r="G74" s="14">
        <f t="array" ref="G74">IF(ISBLANK(Display!K75),NULL,Display!K75)</f>
        <v/>
      </c>
      <c r="H74" s="14">
        <f t="array" ref="H74">IF(ISBLANK(Display!L75),NULL,Display!L75)</f>
        <v/>
      </c>
      <c r="I74" s="14">
        <f t="array" ref="I74">IF(ISBLANK(Display!M75),NULL,Display!M75)</f>
        <v/>
      </c>
      <c r="J74" s="14">
        <f t="array" ref="J74">IF(ISBLANK(Display!N75),NULL,Display!N75)</f>
        <v/>
      </c>
      <c r="K74" s="14">
        <f t="array" ref="K74">IF(ISBLANK(Display!O75),NULL,Display!O75)</f>
        <v/>
      </c>
      <c r="L74" s="14">
        <f t="array" ref="L74">IF(ISBLANK(Display!P75),NULL,Display!P75)</f>
        <v/>
      </c>
      <c r="M74" s="14">
        <f t="array" ref="M74">IF(ISBLANK(Display!Q75),NULL,Display!Q75)</f>
        <v/>
      </c>
      <c r="N74" s="14">
        <f t="array" ref="N74">IF(ISBLANK(Display!R75),NULL,Display!R75)</f>
        <v/>
      </c>
      <c r="O74" s="14">
        <f>IF(ISBLANK(A74),"",MAX($F74:$N74))</f>
        <v/>
      </c>
      <c r="P74" s="45">
        <f>IF(ISBLANK(Display!I75),"",Display!I75)</f>
        <v/>
      </c>
    </row>
    <row r="75">
      <c r="A75">
        <f>IF(ISBLANK(Display!A76),,Display!A76)</f>
        <v/>
      </c>
      <c r="B75" s="45">
        <f>IF($C75&gt;0,Display!B76,)</f>
        <v/>
      </c>
      <c r="C75" s="45">
        <f>IF(ISBLANK(Display!C76),"",Display!C76)</f>
        <v/>
      </c>
      <c r="D75" s="45">
        <f>IF(ISBLANK(Display!D76),"",Display!D76)</f>
        <v/>
      </c>
      <c r="E75" s="45">
        <f>IF(ISBLANK(Display!E76),"",Display!E76)</f>
        <v/>
      </c>
      <c r="F75" s="14">
        <f t="array" ref="F75">IF(ISBLANK(Display!J76),NULL,Display!J76)</f>
        <v/>
      </c>
      <c r="G75" s="14">
        <f t="array" ref="G75">IF(ISBLANK(Display!K76),NULL,Display!K76)</f>
        <v/>
      </c>
      <c r="H75" s="14">
        <f t="array" ref="H75">IF(ISBLANK(Display!L76),NULL,Display!L76)</f>
        <v/>
      </c>
      <c r="I75" s="14">
        <f t="array" ref="I75">IF(ISBLANK(Display!M76),NULL,Display!M76)</f>
        <v/>
      </c>
      <c r="J75" s="14">
        <f t="array" ref="J75">IF(ISBLANK(Display!N76),NULL,Display!N76)</f>
        <v/>
      </c>
      <c r="K75" s="14">
        <f t="array" ref="K75">IF(ISBLANK(Display!O76),NULL,Display!O76)</f>
        <v/>
      </c>
      <c r="L75" s="14">
        <f t="array" ref="L75">IF(ISBLANK(Display!P76),NULL,Display!P76)</f>
        <v/>
      </c>
      <c r="M75" s="14">
        <f t="array" ref="M75">IF(ISBLANK(Display!Q76),NULL,Display!Q76)</f>
        <v/>
      </c>
      <c r="N75" s="14">
        <f t="array" ref="N75">IF(ISBLANK(Display!R76),NULL,Display!R76)</f>
        <v/>
      </c>
      <c r="O75" s="14">
        <f>IF(ISBLANK(A75),"",MAX($F75:$N75))</f>
        <v/>
      </c>
      <c r="P75" s="45">
        <f>IF(ISBLANK(Display!I76),"",Display!I76)</f>
        <v/>
      </c>
    </row>
    <row r="76">
      <c r="A76">
        <f>IF(ISBLANK(Display!A77),,Display!A77)</f>
        <v/>
      </c>
      <c r="B76" s="45">
        <f>IF($C76&gt;0,Display!B77,)</f>
        <v/>
      </c>
      <c r="C76" s="45">
        <f>IF(ISBLANK(Display!C77),"",Display!C77)</f>
        <v/>
      </c>
      <c r="D76" s="45">
        <f>IF(ISBLANK(Display!D77),"",Display!D77)</f>
        <v/>
      </c>
      <c r="E76" s="45">
        <f>IF(ISBLANK(Display!E77),"",Display!E77)</f>
        <v/>
      </c>
      <c r="F76" s="14">
        <f t="array" ref="F76">IF(ISBLANK(Display!J77),NULL,Display!J77)</f>
        <v/>
      </c>
      <c r="G76" s="14">
        <f t="array" ref="G76">IF(ISBLANK(Display!K77),NULL,Display!K77)</f>
        <v/>
      </c>
      <c r="H76" s="14">
        <f t="array" ref="H76">IF(ISBLANK(Display!L77),NULL,Display!L77)</f>
        <v/>
      </c>
      <c r="I76" s="14">
        <f t="array" ref="I76">IF(ISBLANK(Display!M77),NULL,Display!M77)</f>
        <v/>
      </c>
      <c r="J76" s="14">
        <f t="array" ref="J76">IF(ISBLANK(Display!N77),NULL,Display!N77)</f>
        <v/>
      </c>
      <c r="K76" s="14">
        <f t="array" ref="K76">IF(ISBLANK(Display!O77),NULL,Display!O77)</f>
        <v/>
      </c>
      <c r="L76" s="14">
        <f t="array" ref="L76">IF(ISBLANK(Display!P77),NULL,Display!P77)</f>
        <v/>
      </c>
      <c r="M76" s="14">
        <f t="array" ref="M76">IF(ISBLANK(Display!Q77),NULL,Display!Q77)</f>
        <v/>
      </c>
      <c r="N76" s="14">
        <f t="array" ref="N76">IF(ISBLANK(Display!R77),NULL,Display!R77)</f>
        <v/>
      </c>
      <c r="O76" s="14">
        <f>IF(ISBLANK(A76),"",MAX($F76:$N76))</f>
        <v/>
      </c>
      <c r="P76" s="45">
        <f>IF(ISBLANK(Display!I77),"",Display!I77)</f>
        <v/>
      </c>
    </row>
    <row r="77">
      <c r="A77">
        <f>IF(ISBLANK(Display!A78),,Display!A78)</f>
        <v/>
      </c>
      <c r="B77" s="45">
        <f>IF($C77&gt;0,Display!B78,)</f>
        <v/>
      </c>
      <c r="C77" s="45">
        <f>IF(ISBLANK(Display!C78),"",Display!C78)</f>
        <v/>
      </c>
      <c r="D77" s="45">
        <f>IF(ISBLANK(Display!D78),"",Display!D78)</f>
        <v/>
      </c>
      <c r="E77" s="45">
        <f>IF(ISBLANK(Display!E78),"",Display!E78)</f>
        <v/>
      </c>
      <c r="F77" s="14">
        <f t="array" ref="F77">IF(ISBLANK(Display!J78),NULL,Display!J78)</f>
        <v/>
      </c>
      <c r="G77" s="14">
        <f t="array" ref="G77">IF(ISBLANK(Display!K78),NULL,Display!K78)</f>
        <v/>
      </c>
      <c r="H77" s="14">
        <f t="array" ref="H77">IF(ISBLANK(Display!L78),NULL,Display!L78)</f>
        <v/>
      </c>
      <c r="I77" s="14">
        <f t="array" ref="I77">IF(ISBLANK(Display!M78),NULL,Display!M78)</f>
        <v/>
      </c>
      <c r="J77" s="14">
        <f t="array" ref="J77">IF(ISBLANK(Display!N78),NULL,Display!N78)</f>
        <v/>
      </c>
      <c r="K77" s="14">
        <f t="array" ref="K77">IF(ISBLANK(Display!O78),NULL,Display!O78)</f>
        <v/>
      </c>
      <c r="L77" s="14">
        <f t="array" ref="L77">IF(ISBLANK(Display!P78),NULL,Display!P78)</f>
        <v/>
      </c>
      <c r="M77" s="14">
        <f t="array" ref="M77">IF(ISBLANK(Display!Q78),NULL,Display!Q78)</f>
        <v/>
      </c>
      <c r="N77" s="14">
        <f t="array" ref="N77">IF(ISBLANK(Display!R78),NULL,Display!R78)</f>
        <v/>
      </c>
      <c r="O77" s="14">
        <f>IF(ISBLANK(A77),"",MAX($F77:$N77))</f>
        <v/>
      </c>
      <c r="P77" s="45">
        <f>IF(ISBLANK(Display!I78),"",Display!I78)</f>
        <v/>
      </c>
    </row>
    <row r="78">
      <c r="A78">
        <f>IF(ISBLANK(Display!A79),,Display!A79)</f>
        <v/>
      </c>
      <c r="B78" s="45">
        <f>IF($C78&gt;0,Display!B79,)</f>
        <v/>
      </c>
      <c r="C78" s="45">
        <f>IF(ISBLANK(Display!C79),"",Display!C79)</f>
        <v/>
      </c>
      <c r="D78" s="45">
        <f>IF(ISBLANK(Display!D79),"",Display!D79)</f>
        <v/>
      </c>
      <c r="E78" s="45">
        <f>IF(ISBLANK(Display!E79),"",Display!E79)</f>
        <v/>
      </c>
      <c r="F78" s="14">
        <f t="array" ref="F78">IF(ISBLANK(Display!J79),NULL,Display!J79)</f>
        <v/>
      </c>
      <c r="G78" s="14">
        <f t="array" ref="G78">IF(ISBLANK(Display!K79),NULL,Display!K79)</f>
        <v/>
      </c>
      <c r="H78" s="14">
        <f t="array" ref="H78">IF(ISBLANK(Display!L79),NULL,Display!L79)</f>
        <v/>
      </c>
      <c r="I78" s="14">
        <f t="array" ref="I78">IF(ISBLANK(Display!M79),NULL,Display!M79)</f>
        <v/>
      </c>
      <c r="J78" s="14">
        <f t="array" ref="J78">IF(ISBLANK(Display!N79),NULL,Display!N79)</f>
        <v/>
      </c>
      <c r="K78" s="14">
        <f t="array" ref="K78">IF(ISBLANK(Display!O79),NULL,Display!O79)</f>
        <v/>
      </c>
      <c r="L78" s="14">
        <f t="array" ref="L78">IF(ISBLANK(Display!P79),NULL,Display!P79)</f>
        <v/>
      </c>
      <c r="M78" s="14">
        <f t="array" ref="M78">IF(ISBLANK(Display!Q79),NULL,Display!Q79)</f>
        <v/>
      </c>
      <c r="N78" s="14">
        <f t="array" ref="N78">IF(ISBLANK(Display!R79),NULL,Display!R79)</f>
        <v/>
      </c>
      <c r="O78" s="14">
        <f>IF(ISBLANK(A78),"",MAX($F78:$N78))</f>
        <v/>
      </c>
      <c r="P78" s="45">
        <f>IF(ISBLANK(Display!I79),"",Display!I79)</f>
        <v/>
      </c>
    </row>
    <row r="79">
      <c r="A79">
        <f>IF(ISBLANK(Display!A80),,Display!A80)</f>
        <v/>
      </c>
      <c r="B79" s="45">
        <f>IF($C79&gt;0,Display!B80,)</f>
        <v/>
      </c>
      <c r="C79" s="45">
        <f>IF(ISBLANK(Display!C80),"",Display!C80)</f>
        <v/>
      </c>
      <c r="D79" s="45">
        <f>IF(ISBLANK(Display!D80),"",Display!D80)</f>
        <v/>
      </c>
      <c r="E79" s="45">
        <f>IF(ISBLANK(Display!E80),"",Display!E80)</f>
        <v/>
      </c>
      <c r="F79" s="14">
        <f t="array" ref="F79">IF(ISBLANK(Display!J80),NULL,Display!J80)</f>
        <v/>
      </c>
      <c r="G79" s="14">
        <f t="array" ref="G79">IF(ISBLANK(Display!K80),NULL,Display!K80)</f>
        <v/>
      </c>
      <c r="H79" s="14">
        <f t="array" ref="H79">IF(ISBLANK(Display!L80),NULL,Display!L80)</f>
        <v/>
      </c>
      <c r="I79" s="14">
        <f t="array" ref="I79">IF(ISBLANK(Display!M80),NULL,Display!M80)</f>
        <v/>
      </c>
      <c r="J79" s="14">
        <f t="array" ref="J79">IF(ISBLANK(Display!N80),NULL,Display!N80)</f>
        <v/>
      </c>
      <c r="K79" s="14">
        <f t="array" ref="K79">IF(ISBLANK(Display!O80),NULL,Display!O80)</f>
        <v/>
      </c>
      <c r="L79" s="14">
        <f t="array" ref="L79">IF(ISBLANK(Display!P80),NULL,Display!P80)</f>
        <v/>
      </c>
      <c r="M79" s="14">
        <f t="array" ref="M79">IF(ISBLANK(Display!Q80),NULL,Display!Q80)</f>
        <v/>
      </c>
      <c r="N79" s="14">
        <f t="array" ref="N79">IF(ISBLANK(Display!R80),NULL,Display!R80)</f>
        <v/>
      </c>
      <c r="O79" s="14">
        <f>IF(ISBLANK(A79),"",MAX($F79:$N79))</f>
        <v/>
      </c>
      <c r="P79" s="45">
        <f>IF(ISBLANK(Display!I80),"",Display!I80)</f>
        <v/>
      </c>
    </row>
    <row r="80">
      <c r="A80">
        <f>IF(ISBLANK(Display!A81),,Display!A81)</f>
        <v/>
      </c>
      <c r="B80" s="45">
        <f>IF($C80&gt;0,Display!B81,)</f>
        <v/>
      </c>
      <c r="C80" s="45">
        <f>IF(ISBLANK(Display!C81),"",Display!C81)</f>
        <v/>
      </c>
      <c r="D80" s="45">
        <f>IF(ISBLANK(Display!D81),"",Display!D81)</f>
        <v/>
      </c>
      <c r="E80" s="45">
        <f>IF(ISBLANK(Display!E81),"",Display!E81)</f>
        <v/>
      </c>
      <c r="F80" s="14">
        <f t="array" ref="F80">IF(ISBLANK(Display!J81),NULL,Display!J81)</f>
        <v/>
      </c>
      <c r="G80" s="14">
        <f t="array" ref="G80">IF(ISBLANK(Display!K81),NULL,Display!K81)</f>
        <v/>
      </c>
      <c r="H80" s="14">
        <f t="array" ref="H80">IF(ISBLANK(Display!L81),NULL,Display!L81)</f>
        <v/>
      </c>
      <c r="I80" s="14">
        <f t="array" ref="I80">IF(ISBLANK(Display!M81),NULL,Display!M81)</f>
        <v/>
      </c>
      <c r="J80" s="14">
        <f t="array" ref="J80">IF(ISBLANK(Display!N81),NULL,Display!N81)</f>
        <v/>
      </c>
      <c r="K80" s="14">
        <f t="array" ref="K80">IF(ISBLANK(Display!O81),NULL,Display!O81)</f>
        <v/>
      </c>
      <c r="L80" s="14">
        <f t="array" ref="L80">IF(ISBLANK(Display!P81),NULL,Display!P81)</f>
        <v/>
      </c>
      <c r="M80" s="14">
        <f t="array" ref="M80">IF(ISBLANK(Display!Q81),NULL,Display!Q81)</f>
        <v/>
      </c>
      <c r="N80" s="14">
        <f t="array" ref="N80">IF(ISBLANK(Display!R81),NULL,Display!R81)</f>
        <v/>
      </c>
      <c r="O80" s="14">
        <f>IF(ISBLANK(A80),"",MAX($F80:$N80))</f>
        <v/>
      </c>
      <c r="P80" s="45">
        <f>IF(ISBLANK(Display!I81),"",Display!I81)</f>
        <v/>
      </c>
    </row>
    <row r="81">
      <c r="A81">
        <f>IF(ISBLANK(Display!A82),,Display!A82)</f>
        <v/>
      </c>
      <c r="B81" s="45">
        <f>IF($C81&gt;0,Display!B82,)</f>
        <v/>
      </c>
      <c r="C81" s="45">
        <f>IF(ISBLANK(Display!C82),"",Display!C82)</f>
        <v/>
      </c>
      <c r="D81" s="45">
        <f>IF(ISBLANK(Display!D82),"",Display!D82)</f>
        <v/>
      </c>
      <c r="E81" s="45">
        <f>IF(ISBLANK(Display!E82),"",Display!E82)</f>
        <v/>
      </c>
      <c r="F81" s="14">
        <f t="array" ref="F81">IF(ISBLANK(Display!J82),NULL,Display!J82)</f>
        <v/>
      </c>
      <c r="G81" s="14">
        <f t="array" ref="G81">IF(ISBLANK(Display!K82),NULL,Display!K82)</f>
        <v/>
      </c>
      <c r="H81" s="14">
        <f t="array" ref="H81">IF(ISBLANK(Display!L82),NULL,Display!L82)</f>
        <v/>
      </c>
      <c r="I81" s="14">
        <f t="array" ref="I81">IF(ISBLANK(Display!M82),NULL,Display!M82)</f>
        <v/>
      </c>
      <c r="J81" s="14">
        <f t="array" ref="J81">IF(ISBLANK(Display!N82),NULL,Display!N82)</f>
        <v/>
      </c>
      <c r="K81" s="14">
        <f t="array" ref="K81">IF(ISBLANK(Display!O82),NULL,Display!O82)</f>
        <v/>
      </c>
      <c r="L81" s="14">
        <f t="array" ref="L81">IF(ISBLANK(Display!P82),NULL,Display!P82)</f>
        <v/>
      </c>
      <c r="M81" s="14">
        <f t="array" ref="M81">IF(ISBLANK(Display!Q82),NULL,Display!Q82)</f>
        <v/>
      </c>
      <c r="N81" s="14">
        <f t="array" ref="N81">IF(ISBLANK(Display!R82),NULL,Display!R82)</f>
        <v/>
      </c>
      <c r="O81" s="14">
        <f>IF(ISBLANK(A81),"",MAX($F81:$N81))</f>
        <v/>
      </c>
      <c r="P81" s="45">
        <f>IF(ISBLANK(Display!I82),"",Display!I82)</f>
        <v/>
      </c>
    </row>
    <row r="82">
      <c r="A82">
        <f>IF(ISBLANK(Display!A83),,Display!A83)</f>
        <v/>
      </c>
      <c r="B82" s="45">
        <f>IF($C82&gt;0,Display!B83,)</f>
        <v/>
      </c>
      <c r="C82" s="45">
        <f>IF(ISBLANK(Display!C83),"",Display!C83)</f>
        <v/>
      </c>
      <c r="D82" s="45">
        <f>IF(ISBLANK(Display!D83),"",Display!D83)</f>
        <v/>
      </c>
      <c r="E82" s="45">
        <f>IF(ISBLANK(Display!E83),"",Display!E83)</f>
        <v/>
      </c>
      <c r="F82" s="14">
        <f t="array" ref="F82">IF(ISBLANK(Display!J83),NULL,Display!J83)</f>
        <v/>
      </c>
      <c r="G82" s="14">
        <f t="array" ref="G82">IF(ISBLANK(Display!K83),NULL,Display!K83)</f>
        <v/>
      </c>
      <c r="H82" s="14">
        <f t="array" ref="H82">IF(ISBLANK(Display!L83),NULL,Display!L83)</f>
        <v/>
      </c>
      <c r="I82" s="14">
        <f t="array" ref="I82">IF(ISBLANK(Display!M83),NULL,Display!M83)</f>
        <v/>
      </c>
      <c r="J82" s="14">
        <f t="array" ref="J82">IF(ISBLANK(Display!N83),NULL,Display!N83)</f>
        <v/>
      </c>
      <c r="K82" s="14">
        <f t="array" ref="K82">IF(ISBLANK(Display!O83),NULL,Display!O83)</f>
        <v/>
      </c>
      <c r="L82" s="14">
        <f t="array" ref="L82">IF(ISBLANK(Display!P83),NULL,Display!P83)</f>
        <v/>
      </c>
      <c r="M82" s="14">
        <f t="array" ref="M82">IF(ISBLANK(Display!Q83),NULL,Display!Q83)</f>
        <v/>
      </c>
      <c r="N82" s="14">
        <f t="array" ref="N82">IF(ISBLANK(Display!R83),NULL,Display!R83)</f>
        <v/>
      </c>
      <c r="O82" s="14">
        <f>IF(ISBLANK(A82),"",MAX($F82:$N82))</f>
        <v/>
      </c>
      <c r="P82" s="45">
        <f>IF(ISBLANK(Display!I83),"",Display!I83)</f>
        <v/>
      </c>
    </row>
    <row r="83">
      <c r="A83">
        <f>IF(ISBLANK(Display!A84),,Display!A84)</f>
        <v/>
      </c>
      <c r="B83" s="45">
        <f>IF($C83&gt;0,Display!B84,)</f>
        <v/>
      </c>
      <c r="C83" s="45">
        <f>IF(ISBLANK(Display!C84),"",Display!C84)</f>
        <v/>
      </c>
      <c r="D83" s="45">
        <f>IF(ISBLANK(Display!D84),"",Display!D84)</f>
        <v/>
      </c>
      <c r="E83" s="45">
        <f>IF(ISBLANK(Display!E84),"",Display!E84)</f>
        <v/>
      </c>
      <c r="F83" s="14">
        <f t="array" ref="F83">IF(ISBLANK(Display!J84),NULL,Display!J84)</f>
        <v/>
      </c>
      <c r="G83" s="14">
        <f t="array" ref="G83">IF(ISBLANK(Display!K84),NULL,Display!K84)</f>
        <v/>
      </c>
      <c r="H83" s="14">
        <f t="array" ref="H83">IF(ISBLANK(Display!L84),NULL,Display!L84)</f>
        <v/>
      </c>
      <c r="I83" s="14">
        <f t="array" ref="I83">IF(ISBLANK(Display!M84),NULL,Display!M84)</f>
        <v/>
      </c>
      <c r="J83" s="14">
        <f t="array" ref="J83">IF(ISBLANK(Display!N84),NULL,Display!N84)</f>
        <v/>
      </c>
      <c r="K83" s="14">
        <f t="array" ref="K83">IF(ISBLANK(Display!O84),NULL,Display!O84)</f>
        <v/>
      </c>
      <c r="L83" s="14">
        <f t="array" ref="L83">IF(ISBLANK(Display!P84),NULL,Display!P84)</f>
        <v/>
      </c>
      <c r="M83" s="14">
        <f t="array" ref="M83">IF(ISBLANK(Display!Q84),NULL,Display!Q84)</f>
        <v/>
      </c>
      <c r="N83" s="14">
        <f t="array" ref="N83">IF(ISBLANK(Display!R84),NULL,Display!R84)</f>
        <v/>
      </c>
      <c r="O83" s="14">
        <f>IF(ISBLANK(A83),"",MAX($F83:$N83))</f>
        <v/>
      </c>
      <c r="P83" s="45">
        <f>IF(ISBLANK(Display!I84),"",Display!I84)</f>
        <v/>
      </c>
    </row>
    <row r="84">
      <c r="A84">
        <f>IF(ISBLANK(Display!A85),,Display!A85)</f>
        <v/>
      </c>
      <c r="B84" s="45">
        <f>IF($C84&gt;0,Display!B85,)</f>
        <v/>
      </c>
      <c r="C84" s="45">
        <f>IF(ISBLANK(Display!C85),"",Display!C85)</f>
        <v/>
      </c>
      <c r="D84" s="45">
        <f>IF(ISBLANK(Display!D85),"",Display!D85)</f>
        <v/>
      </c>
      <c r="E84" s="45">
        <f>IF(ISBLANK(Display!E85),"",Display!E85)</f>
        <v/>
      </c>
      <c r="F84" s="14">
        <f t="array" ref="F84">IF(ISBLANK(Display!J85),NULL,Display!J85)</f>
        <v/>
      </c>
      <c r="G84" s="14">
        <f t="array" ref="G84">IF(ISBLANK(Display!K85),NULL,Display!K85)</f>
        <v/>
      </c>
      <c r="H84" s="14">
        <f t="array" ref="H84">IF(ISBLANK(Display!L85),NULL,Display!L85)</f>
        <v/>
      </c>
      <c r="I84" s="14">
        <f t="array" ref="I84">IF(ISBLANK(Display!M85),NULL,Display!M85)</f>
        <v/>
      </c>
      <c r="J84" s="14">
        <f t="array" ref="J84">IF(ISBLANK(Display!N85),NULL,Display!N85)</f>
        <v/>
      </c>
      <c r="K84" s="14">
        <f t="array" ref="K84">IF(ISBLANK(Display!O85),NULL,Display!O85)</f>
        <v/>
      </c>
      <c r="L84" s="14">
        <f t="array" ref="L84">IF(ISBLANK(Display!P85),NULL,Display!P85)</f>
        <v/>
      </c>
      <c r="M84" s="14">
        <f t="array" ref="M84">IF(ISBLANK(Display!Q85),NULL,Display!Q85)</f>
        <v/>
      </c>
      <c r="N84" s="14">
        <f t="array" ref="N84">IF(ISBLANK(Display!R85),NULL,Display!R85)</f>
        <v/>
      </c>
      <c r="O84" s="14">
        <f>IF(ISBLANK(A84),"",MAX($F84:$N84))</f>
        <v/>
      </c>
      <c r="P84" s="45">
        <f>IF(ISBLANK(Display!I85),"",Display!I85)</f>
        <v/>
      </c>
    </row>
    <row r="85">
      <c r="A85">
        <f>IF(ISBLANK(Display!A86),,Display!A86)</f>
        <v/>
      </c>
      <c r="B85" s="45">
        <f>IF($C85&gt;0,Display!B86,)</f>
        <v/>
      </c>
      <c r="C85" s="45">
        <f>IF(ISBLANK(Display!C86),"",Display!C86)</f>
        <v/>
      </c>
      <c r="D85" s="45">
        <f>IF(ISBLANK(Display!D86),"",Display!D86)</f>
        <v/>
      </c>
      <c r="E85" s="45">
        <f>IF(ISBLANK(Display!E86),"",Display!E86)</f>
        <v/>
      </c>
      <c r="F85" s="14">
        <f t="array" ref="F85">IF(ISBLANK(Display!J86),NULL,Display!J86)</f>
        <v/>
      </c>
      <c r="G85" s="14">
        <f t="array" ref="G85">IF(ISBLANK(Display!K86),NULL,Display!K86)</f>
        <v/>
      </c>
      <c r="H85" s="14">
        <f t="array" ref="H85">IF(ISBLANK(Display!L86),NULL,Display!L86)</f>
        <v/>
      </c>
      <c r="I85" s="14">
        <f t="array" ref="I85">IF(ISBLANK(Display!M86),NULL,Display!M86)</f>
        <v/>
      </c>
      <c r="J85" s="14">
        <f t="array" ref="J85">IF(ISBLANK(Display!N86),NULL,Display!N86)</f>
        <v/>
      </c>
      <c r="K85" s="14">
        <f t="array" ref="K85">IF(ISBLANK(Display!O86),NULL,Display!O86)</f>
        <v/>
      </c>
      <c r="L85" s="14">
        <f t="array" ref="L85">IF(ISBLANK(Display!P86),NULL,Display!P86)</f>
        <v/>
      </c>
      <c r="M85" s="14">
        <f t="array" ref="M85">IF(ISBLANK(Display!Q86),NULL,Display!Q86)</f>
        <v/>
      </c>
      <c r="N85" s="14">
        <f t="array" ref="N85">IF(ISBLANK(Display!R86),NULL,Display!R86)</f>
        <v/>
      </c>
      <c r="O85" s="14">
        <f>IF(ISBLANK(A85),"",MAX($F85:$N85))</f>
        <v/>
      </c>
      <c r="P85" s="45">
        <f>IF(ISBLANK(Display!I86),"",Display!I86)</f>
        <v/>
      </c>
    </row>
    <row r="86">
      <c r="A86">
        <f>IF(ISBLANK(Display!A87),,Display!A87)</f>
        <v/>
      </c>
      <c r="B86" s="45">
        <f>IF($C86&gt;0,Display!B87,)</f>
        <v/>
      </c>
      <c r="C86" s="45">
        <f>IF(ISBLANK(Display!C87),"",Display!C87)</f>
        <v/>
      </c>
      <c r="D86" s="45">
        <f>IF(ISBLANK(Display!D87),"",Display!D87)</f>
        <v/>
      </c>
      <c r="E86" s="45">
        <f>IF(ISBLANK(Display!E87),"",Display!E87)</f>
        <v/>
      </c>
      <c r="F86" s="14">
        <f t="array" ref="F86">IF(ISBLANK(Display!J87),NULL,Display!J87)</f>
        <v/>
      </c>
      <c r="G86" s="14">
        <f t="array" ref="G86">IF(ISBLANK(Display!K87),NULL,Display!K87)</f>
        <v/>
      </c>
      <c r="H86" s="14">
        <f t="array" ref="H86">IF(ISBLANK(Display!L87),NULL,Display!L87)</f>
        <v/>
      </c>
      <c r="I86" s="14">
        <f t="array" ref="I86">IF(ISBLANK(Display!M87),NULL,Display!M87)</f>
        <v/>
      </c>
      <c r="J86" s="14">
        <f t="array" ref="J86">IF(ISBLANK(Display!N87),NULL,Display!N87)</f>
        <v/>
      </c>
      <c r="K86" s="14">
        <f t="array" ref="K86">IF(ISBLANK(Display!O87),NULL,Display!O87)</f>
        <v/>
      </c>
      <c r="L86" s="14">
        <f t="array" ref="L86">IF(ISBLANK(Display!P87),NULL,Display!P87)</f>
        <v/>
      </c>
      <c r="M86" s="14">
        <f t="array" ref="M86">IF(ISBLANK(Display!Q87),NULL,Display!Q87)</f>
        <v/>
      </c>
      <c r="N86" s="14">
        <f t="array" ref="N86">IF(ISBLANK(Display!R87),NULL,Display!R87)</f>
        <v/>
      </c>
      <c r="O86" s="14">
        <f>IF(ISBLANK(A86),"",MAX($F86:$N86))</f>
        <v/>
      </c>
      <c r="P86" s="45">
        <f>IF(ISBLANK(Display!I87),"",Display!I87)</f>
        <v/>
      </c>
    </row>
    <row r="87">
      <c r="A87">
        <f>IF(ISBLANK(Display!A88),,Display!A88)</f>
        <v/>
      </c>
      <c r="B87" s="45">
        <f>IF($C87&gt;0,Display!B88,)</f>
        <v/>
      </c>
      <c r="C87" s="45">
        <f>IF(ISBLANK(Display!C88),"",Display!C88)</f>
        <v/>
      </c>
      <c r="D87" s="45">
        <f>IF(ISBLANK(Display!D88),"",Display!D88)</f>
        <v/>
      </c>
      <c r="E87" s="45">
        <f>IF(ISBLANK(Display!E88),"",Display!E88)</f>
        <v/>
      </c>
      <c r="F87" s="14">
        <f t="array" ref="F87">IF(ISBLANK(Display!J88),NULL,Display!J88)</f>
        <v/>
      </c>
      <c r="G87" s="14">
        <f t="array" ref="G87">IF(ISBLANK(Display!K88),NULL,Display!K88)</f>
        <v/>
      </c>
      <c r="H87" s="14">
        <f t="array" ref="H87">IF(ISBLANK(Display!L88),NULL,Display!L88)</f>
        <v/>
      </c>
      <c r="I87" s="14">
        <f t="array" ref="I87">IF(ISBLANK(Display!M88),NULL,Display!M88)</f>
        <v/>
      </c>
      <c r="J87" s="14">
        <f t="array" ref="J87">IF(ISBLANK(Display!N88),NULL,Display!N88)</f>
        <v/>
      </c>
      <c r="K87" s="14">
        <f t="array" ref="K87">IF(ISBLANK(Display!O88),NULL,Display!O88)</f>
        <v/>
      </c>
      <c r="L87" s="14">
        <f t="array" ref="L87">IF(ISBLANK(Display!P88),NULL,Display!P88)</f>
        <v/>
      </c>
      <c r="M87" s="14">
        <f t="array" ref="M87">IF(ISBLANK(Display!Q88),NULL,Display!Q88)</f>
        <v/>
      </c>
      <c r="N87" s="14">
        <f t="array" ref="N87">IF(ISBLANK(Display!R88),NULL,Display!R88)</f>
        <v/>
      </c>
      <c r="O87" s="14">
        <f>IF(ISBLANK(A87),"",MAX($F87:$N87))</f>
        <v/>
      </c>
      <c r="P87" s="45">
        <f>IF(ISBLANK(Display!I88),"",Display!I88)</f>
        <v/>
      </c>
    </row>
    <row r="88">
      <c r="A88">
        <f>IF(ISBLANK(Display!A89),,Display!A89)</f>
        <v/>
      </c>
      <c r="B88" s="45">
        <f>IF($C88&gt;0,Display!B89,)</f>
        <v/>
      </c>
      <c r="C88" s="45">
        <f>IF(ISBLANK(Display!C89),"",Display!C89)</f>
        <v/>
      </c>
      <c r="D88" s="45">
        <f>IF(ISBLANK(Display!D89),"",Display!D89)</f>
        <v/>
      </c>
      <c r="E88" s="45">
        <f>IF(ISBLANK(Display!E89),"",Display!E89)</f>
        <v/>
      </c>
      <c r="F88" s="14">
        <f t="array" ref="F88">IF(ISBLANK(Display!J89),NULL,Display!J89)</f>
        <v/>
      </c>
      <c r="G88" s="14">
        <f t="array" ref="G88">IF(ISBLANK(Display!K89),NULL,Display!K89)</f>
        <v/>
      </c>
      <c r="H88" s="14">
        <f t="array" ref="H88">IF(ISBLANK(Display!L89),NULL,Display!L89)</f>
        <v/>
      </c>
      <c r="I88" s="14">
        <f t="array" ref="I88">IF(ISBLANK(Display!M89),NULL,Display!M89)</f>
        <v/>
      </c>
      <c r="J88" s="14">
        <f t="array" ref="J88">IF(ISBLANK(Display!N89),NULL,Display!N89)</f>
        <v/>
      </c>
      <c r="K88" s="14">
        <f t="array" ref="K88">IF(ISBLANK(Display!O89),NULL,Display!O89)</f>
        <v/>
      </c>
      <c r="L88" s="14">
        <f t="array" ref="L88">IF(ISBLANK(Display!P89),NULL,Display!P89)</f>
        <v/>
      </c>
      <c r="M88" s="14">
        <f t="array" ref="M88">IF(ISBLANK(Display!Q89),NULL,Display!Q89)</f>
        <v/>
      </c>
      <c r="N88" s="14">
        <f t="array" ref="N88">IF(ISBLANK(Display!R89),NULL,Display!R89)</f>
        <v/>
      </c>
      <c r="O88" s="14">
        <f>IF(ISBLANK(A88),"",MAX($F88:$N88))</f>
        <v/>
      </c>
      <c r="P88" s="45">
        <f>IF(ISBLANK(Display!I89),"",Display!I89)</f>
        <v/>
      </c>
    </row>
    <row r="89">
      <c r="A89">
        <f>IF(ISBLANK(Display!A90),,Display!A90)</f>
        <v/>
      </c>
      <c r="B89" s="45">
        <f>IF($C89&gt;0,Display!B90,)</f>
        <v/>
      </c>
      <c r="C89" s="45">
        <f>IF(ISBLANK(Display!C90),"",Display!C90)</f>
        <v/>
      </c>
      <c r="D89" s="45">
        <f>IF(ISBLANK(Display!D90),"",Display!D90)</f>
        <v/>
      </c>
      <c r="E89" s="45">
        <f>IF(ISBLANK(Display!E90),"",Display!E90)</f>
        <v/>
      </c>
      <c r="F89" s="14">
        <f t="array" ref="F89">IF(ISBLANK(Display!J90),NULL,Display!J90)</f>
        <v/>
      </c>
      <c r="G89" s="14">
        <f t="array" ref="G89">IF(ISBLANK(Display!K90),NULL,Display!K90)</f>
        <v/>
      </c>
      <c r="H89" s="14">
        <f t="array" ref="H89">IF(ISBLANK(Display!L90),NULL,Display!L90)</f>
        <v/>
      </c>
      <c r="I89" s="14">
        <f t="array" ref="I89">IF(ISBLANK(Display!M90),NULL,Display!M90)</f>
        <v/>
      </c>
      <c r="J89" s="14">
        <f t="array" ref="J89">IF(ISBLANK(Display!N90),NULL,Display!N90)</f>
        <v/>
      </c>
      <c r="K89" s="14">
        <f t="array" ref="K89">IF(ISBLANK(Display!O90),NULL,Display!O90)</f>
        <v/>
      </c>
      <c r="L89" s="14">
        <f t="array" ref="L89">IF(ISBLANK(Display!P90),NULL,Display!P90)</f>
        <v/>
      </c>
      <c r="M89" s="14">
        <f t="array" ref="M89">IF(ISBLANK(Display!Q90),NULL,Display!Q90)</f>
        <v/>
      </c>
      <c r="N89" s="14">
        <f t="array" ref="N89">IF(ISBLANK(Display!R90),NULL,Display!R90)</f>
        <v/>
      </c>
      <c r="O89" s="14">
        <f>IF(ISBLANK(A89),"",MAX($F89:$N89))</f>
        <v/>
      </c>
      <c r="P89" s="45">
        <f>IF(ISBLANK(Display!I90),"",Display!I90)</f>
        <v/>
      </c>
    </row>
    <row r="90">
      <c r="A90">
        <f>IF(ISBLANK(Display!A91),,Display!A91)</f>
        <v/>
      </c>
      <c r="B90" s="45">
        <f>IF($C90&gt;0,Display!B91,)</f>
        <v/>
      </c>
      <c r="C90" s="45">
        <f>IF(ISBLANK(Display!C91),"",Display!C91)</f>
        <v/>
      </c>
      <c r="D90" s="45">
        <f>IF(ISBLANK(Display!D91),"",Display!D91)</f>
        <v/>
      </c>
      <c r="E90" s="45">
        <f>IF(ISBLANK(Display!E91),"",Display!E91)</f>
        <v/>
      </c>
      <c r="F90" s="14">
        <f t="array" ref="F90">IF(ISBLANK(Display!J91),NULL,Display!J91)</f>
        <v/>
      </c>
      <c r="G90" s="14">
        <f t="array" ref="G90">IF(ISBLANK(Display!K91),NULL,Display!K91)</f>
        <v/>
      </c>
      <c r="H90" s="14">
        <f t="array" ref="H90">IF(ISBLANK(Display!L91),NULL,Display!L91)</f>
        <v/>
      </c>
      <c r="I90" s="14">
        <f t="array" ref="I90">IF(ISBLANK(Display!M91),NULL,Display!M91)</f>
        <v/>
      </c>
      <c r="J90" s="14">
        <f t="array" ref="J90">IF(ISBLANK(Display!N91),NULL,Display!N91)</f>
        <v/>
      </c>
      <c r="K90" s="14">
        <f t="array" ref="K90">IF(ISBLANK(Display!O91),NULL,Display!O91)</f>
        <v/>
      </c>
      <c r="L90" s="14">
        <f t="array" ref="L90">IF(ISBLANK(Display!P91),NULL,Display!P91)</f>
        <v/>
      </c>
      <c r="M90" s="14">
        <f t="array" ref="M90">IF(ISBLANK(Display!Q91),NULL,Display!Q91)</f>
        <v/>
      </c>
      <c r="N90" s="14">
        <f t="array" ref="N90">IF(ISBLANK(Display!R91),NULL,Display!R91)</f>
        <v/>
      </c>
      <c r="O90" s="14">
        <f>IF(ISBLANK(A90),"",MAX($F90:$N90))</f>
        <v/>
      </c>
      <c r="P90" s="45">
        <f>IF(ISBLANK(Display!I91),"",Display!I91)</f>
        <v/>
      </c>
    </row>
    <row r="91">
      <c r="A91">
        <f>IF(ISBLANK(Display!A92),,Display!A92)</f>
        <v/>
      </c>
      <c r="B91" s="45">
        <f>IF($C91&gt;0,Display!B92,)</f>
        <v/>
      </c>
      <c r="C91" s="45">
        <f>IF(ISBLANK(Display!C92),"",Display!C92)</f>
        <v/>
      </c>
      <c r="D91" s="45">
        <f>IF(ISBLANK(Display!D92),"",Display!D92)</f>
        <v/>
      </c>
      <c r="E91" s="45">
        <f>IF(ISBLANK(Display!E92),"",Display!E92)</f>
        <v/>
      </c>
      <c r="F91" s="14">
        <f t="array" ref="F91">IF(ISBLANK(Display!J92),NULL,Display!J92)</f>
        <v/>
      </c>
      <c r="G91" s="14">
        <f t="array" ref="G91">IF(ISBLANK(Display!K92),NULL,Display!K92)</f>
        <v/>
      </c>
      <c r="H91" s="14">
        <f t="array" ref="H91">IF(ISBLANK(Display!L92),NULL,Display!L92)</f>
        <v/>
      </c>
      <c r="I91" s="14">
        <f t="array" ref="I91">IF(ISBLANK(Display!M92),NULL,Display!M92)</f>
        <v/>
      </c>
      <c r="J91" s="14">
        <f t="array" ref="J91">IF(ISBLANK(Display!N92),NULL,Display!N92)</f>
        <v/>
      </c>
      <c r="K91" s="14">
        <f t="array" ref="K91">IF(ISBLANK(Display!O92),NULL,Display!O92)</f>
        <v/>
      </c>
      <c r="L91" s="14">
        <f t="array" ref="L91">IF(ISBLANK(Display!P92),NULL,Display!P92)</f>
        <v/>
      </c>
      <c r="M91" s="14">
        <f t="array" ref="M91">IF(ISBLANK(Display!Q92),NULL,Display!Q92)</f>
        <v/>
      </c>
      <c r="N91" s="14">
        <f t="array" ref="N91">IF(ISBLANK(Display!R92),NULL,Display!R92)</f>
        <v/>
      </c>
      <c r="O91" s="14">
        <f>IF(ISBLANK(A91),"",MAX($F91:$N91))</f>
        <v/>
      </c>
      <c r="P91" s="45">
        <f>IF(ISBLANK(Display!I92),"",Display!I92)</f>
        <v/>
      </c>
    </row>
    <row r="92">
      <c r="A92">
        <f>IF(ISBLANK(Display!A93),,Display!A93)</f>
        <v/>
      </c>
      <c r="B92" s="45">
        <f>IF($C92&gt;0,Display!B93,)</f>
        <v/>
      </c>
      <c r="C92" s="45">
        <f>IF(ISBLANK(Display!C93),"",Display!C93)</f>
        <v/>
      </c>
      <c r="D92" s="45">
        <f>IF(ISBLANK(Display!D93),"",Display!D93)</f>
        <v/>
      </c>
      <c r="E92" s="45">
        <f>IF(ISBLANK(Display!E93),"",Display!E93)</f>
        <v/>
      </c>
      <c r="F92" s="14">
        <f t="array" ref="F92">IF(ISBLANK(Display!J93),NULL,Display!J93)</f>
        <v/>
      </c>
      <c r="G92" s="14">
        <f t="array" ref="G92">IF(ISBLANK(Display!K93),NULL,Display!K93)</f>
        <v/>
      </c>
      <c r="H92" s="14">
        <f t="array" ref="H92">IF(ISBLANK(Display!L93),NULL,Display!L93)</f>
        <v/>
      </c>
      <c r="I92" s="14">
        <f t="array" ref="I92">IF(ISBLANK(Display!M93),NULL,Display!M93)</f>
        <v/>
      </c>
      <c r="J92" s="14">
        <f t="array" ref="J92">IF(ISBLANK(Display!N93),NULL,Display!N93)</f>
        <v/>
      </c>
      <c r="K92" s="14">
        <f t="array" ref="K92">IF(ISBLANK(Display!O93),NULL,Display!O93)</f>
        <v/>
      </c>
      <c r="L92" s="14">
        <f t="array" ref="L92">IF(ISBLANK(Display!P93),NULL,Display!P93)</f>
        <v/>
      </c>
      <c r="M92" s="14">
        <f t="array" ref="M92">IF(ISBLANK(Display!Q93),NULL,Display!Q93)</f>
        <v/>
      </c>
      <c r="N92" s="14">
        <f t="array" ref="N92">IF(ISBLANK(Display!R93),NULL,Display!R93)</f>
        <v/>
      </c>
      <c r="O92" s="14">
        <f>IF(ISBLANK(A92),"",MAX($F92:$N92))</f>
        <v/>
      </c>
      <c r="P92" s="45">
        <f>IF(ISBLANK(Display!I93),"",Display!I93)</f>
        <v/>
      </c>
    </row>
    <row r="93">
      <c r="A93">
        <f>IF(ISBLANK(Display!A94),,Display!A94)</f>
        <v/>
      </c>
      <c r="B93" s="45">
        <f>IF($C93&gt;0,Display!B94,)</f>
        <v/>
      </c>
      <c r="C93" s="45">
        <f>IF(ISBLANK(Display!C94),"",Display!C94)</f>
        <v/>
      </c>
      <c r="D93" s="45">
        <f>IF(ISBLANK(Display!D94),"",Display!D94)</f>
        <v/>
      </c>
      <c r="E93" s="45">
        <f>IF(ISBLANK(Display!E94),"",Display!E94)</f>
        <v/>
      </c>
      <c r="F93" s="14">
        <f t="array" ref="F93">IF(ISBLANK(Display!J94),NULL,Display!J94)</f>
        <v/>
      </c>
      <c r="G93" s="14">
        <f t="array" ref="G93">IF(ISBLANK(Display!K94),NULL,Display!K94)</f>
        <v/>
      </c>
      <c r="H93" s="14">
        <f t="array" ref="H93">IF(ISBLANK(Display!L94),NULL,Display!L94)</f>
        <v/>
      </c>
      <c r="I93" s="14">
        <f t="array" ref="I93">IF(ISBLANK(Display!M94),NULL,Display!M94)</f>
        <v/>
      </c>
      <c r="J93" s="14">
        <f t="array" ref="J93">IF(ISBLANK(Display!N94),NULL,Display!N94)</f>
        <v/>
      </c>
      <c r="K93" s="14">
        <f t="array" ref="K93">IF(ISBLANK(Display!O94),NULL,Display!O94)</f>
        <v/>
      </c>
      <c r="L93" s="14">
        <f t="array" ref="L93">IF(ISBLANK(Display!P94),NULL,Display!P94)</f>
        <v/>
      </c>
      <c r="M93" s="14">
        <f t="array" ref="M93">IF(ISBLANK(Display!Q94),NULL,Display!Q94)</f>
        <v/>
      </c>
      <c r="N93" s="14">
        <f t="array" ref="N93">IF(ISBLANK(Display!R94),NULL,Display!R94)</f>
        <v/>
      </c>
      <c r="O93" s="14">
        <f>IF(ISBLANK(A93),"",MAX($F93:$N93))</f>
        <v/>
      </c>
      <c r="P93" s="45">
        <f>IF(ISBLANK(Display!I94),"",Display!I94)</f>
        <v/>
      </c>
    </row>
    <row r="94">
      <c r="A94">
        <f>IF(ISBLANK(Display!A95),,Display!A95)</f>
        <v/>
      </c>
      <c r="B94" s="45">
        <f>IF($C94&gt;0,Display!B95,)</f>
        <v/>
      </c>
      <c r="C94" s="45">
        <f>IF(ISBLANK(Display!C95),"",Display!C95)</f>
        <v/>
      </c>
      <c r="D94" s="45">
        <f>IF(ISBLANK(Display!D95),"",Display!D95)</f>
        <v/>
      </c>
      <c r="E94" s="45">
        <f>IF(ISBLANK(Display!E95),"",Display!E95)</f>
        <v/>
      </c>
      <c r="F94" s="14">
        <f t="array" ref="F94">IF(ISBLANK(Display!J95),NULL,Display!J95)</f>
        <v/>
      </c>
      <c r="G94" s="14">
        <f t="array" ref="G94">IF(ISBLANK(Display!K95),NULL,Display!K95)</f>
        <v/>
      </c>
      <c r="H94" s="14">
        <f t="array" ref="H94">IF(ISBLANK(Display!L95),NULL,Display!L95)</f>
        <v/>
      </c>
      <c r="I94" s="14">
        <f t="array" ref="I94">IF(ISBLANK(Display!M95),NULL,Display!M95)</f>
        <v/>
      </c>
      <c r="J94" s="14">
        <f t="array" ref="J94">IF(ISBLANK(Display!N95),NULL,Display!N95)</f>
        <v/>
      </c>
      <c r="K94" s="14">
        <f t="array" ref="K94">IF(ISBLANK(Display!O95),NULL,Display!O95)</f>
        <v/>
      </c>
      <c r="L94" s="14">
        <f t="array" ref="L94">IF(ISBLANK(Display!P95),NULL,Display!P95)</f>
        <v/>
      </c>
      <c r="M94" s="14">
        <f t="array" ref="M94">IF(ISBLANK(Display!Q95),NULL,Display!Q95)</f>
        <v/>
      </c>
      <c r="N94" s="14">
        <f t="array" ref="N94">IF(ISBLANK(Display!R95),NULL,Display!R95)</f>
        <v/>
      </c>
      <c r="O94" s="14">
        <f>IF(ISBLANK(A94),"",MAX($F94:$N94))</f>
        <v/>
      </c>
      <c r="P94" s="45">
        <f>IF(ISBLANK(Display!I95),"",Display!I95)</f>
        <v/>
      </c>
    </row>
    <row r="95">
      <c r="A95">
        <f>IF(ISBLANK(Display!A96),,Display!A96)</f>
        <v/>
      </c>
      <c r="B95" s="45">
        <f>IF($C95&gt;0,Display!B96,)</f>
        <v/>
      </c>
      <c r="C95" s="45">
        <f>IF(ISBLANK(Display!C96),"",Display!C96)</f>
        <v/>
      </c>
      <c r="D95" s="45">
        <f>IF(ISBLANK(Display!D96),"",Display!D96)</f>
        <v/>
      </c>
      <c r="E95" s="45">
        <f>IF(ISBLANK(Display!E96),"",Display!E96)</f>
        <v/>
      </c>
      <c r="F95" s="14">
        <f t="array" ref="F95">IF(ISBLANK(Display!J96),NULL,Display!J96)</f>
        <v/>
      </c>
      <c r="G95" s="14">
        <f t="array" ref="G95">IF(ISBLANK(Display!K96),NULL,Display!K96)</f>
        <v/>
      </c>
      <c r="H95" s="14">
        <f t="array" ref="H95">IF(ISBLANK(Display!L96),NULL,Display!L96)</f>
        <v/>
      </c>
      <c r="I95" s="14">
        <f t="array" ref="I95">IF(ISBLANK(Display!M96),NULL,Display!M96)</f>
        <v/>
      </c>
      <c r="J95" s="14">
        <f t="array" ref="J95">IF(ISBLANK(Display!N96),NULL,Display!N96)</f>
        <v/>
      </c>
      <c r="K95" s="14">
        <f t="array" ref="K95">IF(ISBLANK(Display!O96),NULL,Display!O96)</f>
        <v/>
      </c>
      <c r="L95" s="14">
        <f t="array" ref="L95">IF(ISBLANK(Display!P96),NULL,Display!P96)</f>
        <v/>
      </c>
      <c r="M95" s="14">
        <f t="array" ref="M95">IF(ISBLANK(Display!Q96),NULL,Display!Q96)</f>
        <v/>
      </c>
      <c r="N95" s="14">
        <f t="array" ref="N95">IF(ISBLANK(Display!R96),NULL,Display!R96)</f>
        <v/>
      </c>
      <c r="O95" s="14">
        <f>IF(ISBLANK(A95),"",MAX($F95:$N95))</f>
        <v/>
      </c>
      <c r="P95" s="45">
        <f>IF(ISBLANK(Display!I96),"",Display!I96)</f>
        <v/>
      </c>
    </row>
    <row r="96">
      <c r="A96">
        <f>IF(ISBLANK(Display!A97),,Display!A97)</f>
        <v/>
      </c>
      <c r="B96" s="45">
        <f>IF($C96&gt;0,Display!B97,)</f>
        <v/>
      </c>
      <c r="C96" s="45">
        <f>IF(ISBLANK(Display!C97),"",Display!C97)</f>
        <v/>
      </c>
      <c r="D96" s="45">
        <f>IF(ISBLANK(Display!D97),"",Display!D97)</f>
        <v/>
      </c>
      <c r="E96" s="45">
        <f>IF(ISBLANK(Display!E97),"",Display!E97)</f>
        <v/>
      </c>
      <c r="F96" s="14">
        <f t="array" ref="F96">IF(ISBLANK(Display!J97),NULL,Display!J97)</f>
        <v/>
      </c>
      <c r="G96" s="14">
        <f t="array" ref="G96">IF(ISBLANK(Display!K97),NULL,Display!K97)</f>
        <v/>
      </c>
      <c r="H96" s="14">
        <f t="array" ref="H96">IF(ISBLANK(Display!L97),NULL,Display!L97)</f>
        <v/>
      </c>
      <c r="I96" s="14">
        <f t="array" ref="I96">IF(ISBLANK(Display!M97),NULL,Display!M97)</f>
        <v/>
      </c>
      <c r="J96" s="14">
        <f t="array" ref="J96">IF(ISBLANK(Display!N97),NULL,Display!N97)</f>
        <v/>
      </c>
      <c r="K96" s="14">
        <f t="array" ref="K96">IF(ISBLANK(Display!O97),NULL,Display!O97)</f>
        <v/>
      </c>
      <c r="L96" s="14">
        <f t="array" ref="L96">IF(ISBLANK(Display!P97),NULL,Display!P97)</f>
        <v/>
      </c>
      <c r="M96" s="14">
        <f t="array" ref="M96">IF(ISBLANK(Display!Q97),NULL,Display!Q97)</f>
        <v/>
      </c>
      <c r="N96" s="14">
        <f t="array" ref="N96">IF(ISBLANK(Display!R97),NULL,Display!R97)</f>
        <v/>
      </c>
      <c r="O96" s="14">
        <f>IF(ISBLANK(A96),"",MAX($F96:$N96))</f>
        <v/>
      </c>
      <c r="P96" s="45">
        <f>IF(ISBLANK(Display!I97),"",Display!I97)</f>
        <v/>
      </c>
    </row>
    <row r="97">
      <c r="A97">
        <f>IF(ISBLANK(Display!A98),,Display!A98)</f>
        <v/>
      </c>
      <c r="B97" s="45">
        <f>IF($C97&gt;0,Display!B98,)</f>
        <v/>
      </c>
      <c r="C97" s="45">
        <f>IF(ISBLANK(Display!C98),"",Display!C98)</f>
        <v/>
      </c>
      <c r="D97" s="45">
        <f>IF(ISBLANK(Display!D98),"",Display!D98)</f>
        <v/>
      </c>
      <c r="E97" s="45">
        <f>IF(ISBLANK(Display!E98),"",Display!E98)</f>
        <v/>
      </c>
      <c r="F97" s="14">
        <f t="array" ref="F97">IF(ISBLANK(Display!J98),NULL,Display!J98)</f>
        <v/>
      </c>
      <c r="G97" s="14">
        <f t="array" ref="G97">IF(ISBLANK(Display!K98),NULL,Display!K98)</f>
        <v/>
      </c>
      <c r="H97" s="14">
        <f t="array" ref="H97">IF(ISBLANK(Display!L98),NULL,Display!L98)</f>
        <v/>
      </c>
      <c r="I97" s="14">
        <f t="array" ref="I97">IF(ISBLANK(Display!M98),NULL,Display!M98)</f>
        <v/>
      </c>
      <c r="J97" s="14">
        <f t="array" ref="J97">IF(ISBLANK(Display!N98),NULL,Display!N98)</f>
        <v/>
      </c>
      <c r="K97" s="14">
        <f t="array" ref="K97">IF(ISBLANK(Display!O98),NULL,Display!O98)</f>
        <v/>
      </c>
      <c r="L97" s="14">
        <f t="array" ref="L97">IF(ISBLANK(Display!P98),NULL,Display!P98)</f>
        <v/>
      </c>
      <c r="M97" s="14">
        <f t="array" ref="M97">IF(ISBLANK(Display!Q98),NULL,Display!Q98)</f>
        <v/>
      </c>
      <c r="N97" s="14">
        <f t="array" ref="N97">IF(ISBLANK(Display!R98),NULL,Display!R98)</f>
        <v/>
      </c>
      <c r="O97" s="14">
        <f>IF(ISBLANK(A97),"",MAX($F97:$N97))</f>
        <v/>
      </c>
      <c r="P97" s="45">
        <f>IF(ISBLANK(Display!I98),"",Display!I98)</f>
        <v/>
      </c>
    </row>
    <row r="98">
      <c r="A98">
        <f>IF(ISBLANK(Display!A99),,Display!A99)</f>
        <v/>
      </c>
      <c r="B98" s="45">
        <f>IF($C98&gt;0,Display!B99,)</f>
        <v/>
      </c>
      <c r="C98" s="45">
        <f>IF(ISBLANK(Display!C99),"",Display!C99)</f>
        <v/>
      </c>
      <c r="D98" s="45">
        <f>IF(ISBLANK(Display!D99),"",Display!D99)</f>
        <v/>
      </c>
      <c r="E98" s="45">
        <f>IF(ISBLANK(Display!E99),"",Display!E99)</f>
        <v/>
      </c>
      <c r="F98" s="14">
        <f t="array" ref="F98">IF(ISBLANK(Display!J99),NULL,Display!J99)</f>
        <v/>
      </c>
      <c r="G98" s="14">
        <f t="array" ref="G98">IF(ISBLANK(Display!K99),NULL,Display!K99)</f>
        <v/>
      </c>
      <c r="H98" s="14">
        <f t="array" ref="H98">IF(ISBLANK(Display!L99),NULL,Display!L99)</f>
        <v/>
      </c>
      <c r="I98" s="14">
        <f t="array" ref="I98">IF(ISBLANK(Display!M99),NULL,Display!M99)</f>
        <v/>
      </c>
      <c r="J98" s="14">
        <f t="array" ref="J98">IF(ISBLANK(Display!N99),NULL,Display!N99)</f>
        <v/>
      </c>
      <c r="K98" s="14">
        <f t="array" ref="K98">IF(ISBLANK(Display!O99),NULL,Display!O99)</f>
        <v/>
      </c>
      <c r="L98" s="14">
        <f t="array" ref="L98">IF(ISBLANK(Display!P99),NULL,Display!P99)</f>
        <v/>
      </c>
      <c r="M98" s="14">
        <f t="array" ref="M98">IF(ISBLANK(Display!Q99),NULL,Display!Q99)</f>
        <v/>
      </c>
      <c r="N98" s="14">
        <f t="array" ref="N98">IF(ISBLANK(Display!R99),NULL,Display!R99)</f>
        <v/>
      </c>
      <c r="O98" s="14">
        <f>IF(ISBLANK(A98),"",MAX($F98:$N98))</f>
        <v/>
      </c>
      <c r="P98" s="45">
        <f>IF(ISBLANK(Display!I99),"",Display!I99)</f>
        <v/>
      </c>
    </row>
    <row r="99">
      <c r="A99">
        <f>IF(ISBLANK(Display!A100),,Display!A100)</f>
        <v/>
      </c>
      <c r="B99" s="45">
        <f>IF($C99&gt;0,Display!B100,)</f>
        <v/>
      </c>
      <c r="C99" s="45">
        <f>IF(ISBLANK(Display!C100),"",Display!C100)</f>
        <v/>
      </c>
      <c r="D99" s="45">
        <f>IF(ISBLANK(Display!D100),"",Display!D100)</f>
        <v/>
      </c>
      <c r="E99" s="45">
        <f>IF(ISBLANK(Display!E100),"",Display!E100)</f>
        <v/>
      </c>
      <c r="F99" s="14">
        <f t="array" ref="F99">IF(ISBLANK(Display!J100),NULL,Display!J100)</f>
        <v/>
      </c>
      <c r="G99" s="14">
        <f t="array" ref="G99">IF(ISBLANK(Display!K100),NULL,Display!K100)</f>
        <v/>
      </c>
      <c r="H99" s="14">
        <f t="array" ref="H99">IF(ISBLANK(Display!L100),NULL,Display!L100)</f>
        <v/>
      </c>
      <c r="I99" s="14">
        <f t="array" ref="I99">IF(ISBLANK(Display!M100),NULL,Display!M100)</f>
        <v/>
      </c>
      <c r="J99" s="14">
        <f t="array" ref="J99">IF(ISBLANK(Display!N100),NULL,Display!N100)</f>
        <v/>
      </c>
      <c r="K99" s="14">
        <f t="array" ref="K99">IF(ISBLANK(Display!O100),NULL,Display!O100)</f>
        <v/>
      </c>
      <c r="L99" s="14">
        <f t="array" ref="L99">IF(ISBLANK(Display!P100),NULL,Display!P100)</f>
        <v/>
      </c>
      <c r="M99" s="14">
        <f t="array" ref="M99">IF(ISBLANK(Display!Q100),NULL,Display!Q100)</f>
        <v/>
      </c>
      <c r="N99" s="14">
        <f t="array" ref="N99">IF(ISBLANK(Display!R100),NULL,Display!R100)</f>
        <v/>
      </c>
      <c r="O99" s="14">
        <f>IF(ISBLANK(A99),"",MAX($F99:$N99))</f>
        <v/>
      </c>
      <c r="P99" s="45">
        <f>IF(ISBLANK(Display!I100),"",Display!I100)</f>
        <v/>
      </c>
    </row>
  </sheetData>
  <autoFilter ref="A1:P75">
    <sortState ref="A2:P99">
      <sortCondition descending="1" ref="N1:N75"/>
    </sortState>
  </autoFilter>
  <mergeCells count="5">
    <mergeCell ref="Z30:AC30"/>
    <mergeCell ref="T16:W16"/>
    <mergeCell ref="AF30:AI30"/>
    <mergeCell ref="T30:W30"/>
    <mergeCell ref="Z16:AC16"/>
  </mergeCells>
  <conditionalFormatting sqref="A2:A100 T18:T28">
    <cfRule type="duplicateValues" priority="43" dxfId="0"/>
  </conditionalFormatting>
  <conditionalFormatting sqref="A2:A100 Z18:Z28">
    <cfRule type="duplicateValues" priority="46" dxfId="2"/>
  </conditionalFormatting>
  <conditionalFormatting sqref="A2:A100">
    <cfRule type="containsBlanks" priority="1" dxfId="1" stopIfTrue="1">
      <formula>LEN(TRIM(A2))=0</formula>
    </cfRule>
  </conditionalFormatting>
  <conditionalFormatting sqref="F1:F10485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2:AF42">
    <cfRule type="duplicateValues" priority="2" dxfId="0"/>
  </conditionalFormatting>
  <dataValidations count="1">
    <dataValidation sqref="T18:T28 Z18:Z28" showDropDown="0" showInputMessage="1" showErrorMessage="1" allowBlank="1" type="list">
      <formula1>$A$3:$A$700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18"/>
  <sheetViews>
    <sheetView workbookViewId="0">
      <selection activeCell="I6" sqref="I6"/>
    </sheetView>
  </sheetViews>
  <sheetFormatPr baseColWidth="8" defaultColWidth="8.7109375" defaultRowHeight="15"/>
  <sheetData>
    <row r="1">
      <c r="B1" t="inlineStr">
        <is>
          <t>Attribute</t>
        </is>
      </c>
      <c r="C1" t="inlineStr">
        <is>
          <t>Acceleration</t>
        </is>
      </c>
      <c r="D1" t="inlineStr">
        <is>
          <t>Agility</t>
        </is>
      </c>
      <c r="E1" t="inlineStr">
        <is>
          <t>Balance</t>
        </is>
      </c>
      <c r="F1" t="inlineStr">
        <is>
          <t>Jumping Reach</t>
        </is>
      </c>
      <c r="G1" t="inlineStr">
        <is>
          <t>Natural Fitness</t>
        </is>
      </c>
      <c r="H1" t="inlineStr">
        <is>
          <t>Pace</t>
        </is>
      </c>
      <c r="I1" t="inlineStr">
        <is>
          <t>Stamina</t>
        </is>
      </c>
      <c r="J1" t="inlineStr">
        <is>
          <t>Strength</t>
        </is>
      </c>
      <c r="K1" t="inlineStr">
        <is>
          <t>Aerial Reach</t>
        </is>
      </c>
      <c r="L1" t="inlineStr">
        <is>
          <t>Command Of Area</t>
        </is>
      </c>
      <c r="M1" t="inlineStr">
        <is>
          <t>Communication</t>
        </is>
      </c>
      <c r="N1" t="inlineStr">
        <is>
          <t>Eccentricity</t>
        </is>
      </c>
      <c r="O1" t="inlineStr">
        <is>
          <t>Handling</t>
        </is>
      </c>
      <c r="P1" t="inlineStr">
        <is>
          <t>Kicking</t>
        </is>
      </c>
      <c r="Q1" t="inlineStr">
        <is>
          <t>One On Ones</t>
        </is>
      </c>
      <c r="R1" t="inlineStr">
        <is>
          <t>Punching (Tendency)</t>
        </is>
      </c>
      <c r="S1" t="inlineStr">
        <is>
          <t>Reflexes</t>
        </is>
      </c>
      <c r="T1" t="inlineStr">
        <is>
          <t>Rushing Out (Tendency)</t>
        </is>
      </c>
      <c r="U1" t="inlineStr">
        <is>
          <t>Throwing</t>
        </is>
      </c>
      <c r="V1" t="inlineStr">
        <is>
          <t>Aggression</t>
        </is>
      </c>
      <c r="W1" t="inlineStr">
        <is>
          <t>Anticipation</t>
        </is>
      </c>
      <c r="X1" t="inlineStr">
        <is>
          <t>Bravery</t>
        </is>
      </c>
      <c r="Y1" t="inlineStr">
        <is>
          <t>Composure</t>
        </is>
      </c>
      <c r="Z1" t="inlineStr">
        <is>
          <t>Concentration</t>
        </is>
      </c>
      <c r="AA1" t="inlineStr">
        <is>
          <t>Decisions</t>
        </is>
      </c>
      <c r="AB1" t="inlineStr">
        <is>
          <t>Determination</t>
        </is>
      </c>
      <c r="AC1" t="inlineStr">
        <is>
          <t>Flair</t>
        </is>
      </c>
      <c r="AD1" t="inlineStr">
        <is>
          <t>Leadership</t>
        </is>
      </c>
      <c r="AE1" t="inlineStr">
        <is>
          <t>Off The Ball</t>
        </is>
      </c>
      <c r="AF1" t="inlineStr">
        <is>
          <t>Positioning</t>
        </is>
      </c>
      <c r="AG1" t="inlineStr">
        <is>
          <t>Teamwork</t>
        </is>
      </c>
      <c r="AH1" t="inlineStr">
        <is>
          <t>Vision</t>
        </is>
      </c>
      <c r="AI1" t="inlineStr">
        <is>
          <t>Work Rate</t>
        </is>
      </c>
      <c r="AJ1" t="inlineStr">
        <is>
          <t>Crossing</t>
        </is>
      </c>
      <c r="AK1" t="inlineStr">
        <is>
          <t>Dribbling</t>
        </is>
      </c>
      <c r="AL1" t="inlineStr">
        <is>
          <t>Finishing</t>
        </is>
      </c>
      <c r="AM1" t="inlineStr">
        <is>
          <t>First Touch</t>
        </is>
      </c>
      <c r="AN1" t="inlineStr">
        <is>
          <t>Heading</t>
        </is>
      </c>
      <c r="AO1" t="inlineStr">
        <is>
          <t>Long Shots</t>
        </is>
      </c>
      <c r="AP1" t="inlineStr">
        <is>
          <t>Marking</t>
        </is>
      </c>
      <c r="AQ1" t="inlineStr">
        <is>
          <t>Passing</t>
        </is>
      </c>
      <c r="AR1" t="inlineStr">
        <is>
          <t>Tackling</t>
        </is>
      </c>
      <c r="AS1" t="inlineStr">
        <is>
          <t>Technique</t>
        </is>
      </c>
      <c r="AT1" t="inlineStr">
        <is>
          <t>Corners</t>
        </is>
      </c>
      <c r="AU1" t="inlineStr">
        <is>
          <t>Free Kick Taking</t>
        </is>
      </c>
      <c r="AV1" t="inlineStr">
        <is>
          <t>Long Throws</t>
        </is>
      </c>
      <c r="AW1" t="inlineStr">
        <is>
          <t>Penalty Taking</t>
        </is>
      </c>
    </row>
    <row r="2">
      <c r="A2" s="45" t="inlineStr">
        <is>
          <t>IN POSSESSION</t>
        </is>
      </c>
      <c r="B2" t="inlineStr">
        <is>
          <t>GK</t>
        </is>
      </c>
      <c r="C2" t="n">
        <v>1</v>
      </c>
      <c r="D2" t="n">
        <v>10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10</v>
      </c>
      <c r="L2" t="n">
        <v>10</v>
      </c>
      <c r="M2" t="n">
        <v>10</v>
      </c>
      <c r="N2" t="n">
        <v>3</v>
      </c>
      <c r="O2" t="n">
        <v>10</v>
      </c>
      <c r="P2" t="n">
        <v>7</v>
      </c>
      <c r="Q2" t="n">
        <v>7</v>
      </c>
      <c r="R2" t="n">
        <v>3</v>
      </c>
      <c r="S2" t="n">
        <v>10</v>
      </c>
      <c r="T2" t="n">
        <v>1</v>
      </c>
      <c r="U2" t="n">
        <v>7</v>
      </c>
      <c r="V2" t="n">
        <v>1</v>
      </c>
      <c r="W2" t="n">
        <v>7</v>
      </c>
      <c r="X2" t="n">
        <v>4</v>
      </c>
      <c r="Y2" t="n">
        <v>1</v>
      </c>
      <c r="Z2" t="n">
        <v>10</v>
      </c>
      <c r="AA2" t="n">
        <v>7</v>
      </c>
      <c r="AB2" t="n">
        <v>4</v>
      </c>
      <c r="AC2" t="n">
        <v>1</v>
      </c>
      <c r="AD2" t="n">
        <v>4</v>
      </c>
      <c r="AE2" t="n">
        <v>0</v>
      </c>
      <c r="AF2" t="n">
        <v>10</v>
      </c>
      <c r="AG2" t="n">
        <v>1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</row>
    <row r="3">
      <c r="B3" t="inlineStr">
        <is>
          <t>D(L/R) FB</t>
        </is>
      </c>
      <c r="C3" t="n">
        <v>10</v>
      </c>
      <c r="D3" t="n">
        <v>7</v>
      </c>
      <c r="E3" t="n">
        <v>4</v>
      </c>
      <c r="F3" t="n">
        <v>2</v>
      </c>
      <c r="G3" t="n">
        <v>2</v>
      </c>
      <c r="H3" t="n">
        <v>7</v>
      </c>
      <c r="I3" t="n">
        <v>7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10</v>
      </c>
      <c r="X3" t="n">
        <v>5</v>
      </c>
      <c r="Y3" t="n">
        <v>2</v>
      </c>
      <c r="Z3" t="n">
        <v>10</v>
      </c>
      <c r="AA3" t="n">
        <v>7</v>
      </c>
      <c r="AB3" t="n">
        <v>3</v>
      </c>
      <c r="AC3" t="n">
        <v>0</v>
      </c>
      <c r="AD3" t="n">
        <v>3</v>
      </c>
      <c r="AE3" t="n">
        <v>2</v>
      </c>
      <c r="AF3" t="n">
        <v>10</v>
      </c>
      <c r="AG3" t="n">
        <v>10</v>
      </c>
      <c r="AH3" t="n">
        <v>2</v>
      </c>
      <c r="AI3" t="n">
        <v>7</v>
      </c>
      <c r="AJ3" t="n">
        <v>7</v>
      </c>
      <c r="AK3" t="n">
        <v>7</v>
      </c>
      <c r="AL3" t="n">
        <v>0</v>
      </c>
      <c r="AM3" t="n">
        <v>2</v>
      </c>
      <c r="AN3" t="n">
        <v>2</v>
      </c>
      <c r="AO3" t="n">
        <v>0</v>
      </c>
      <c r="AP3" t="n">
        <v>10</v>
      </c>
      <c r="AQ3" t="n">
        <v>7</v>
      </c>
      <c r="AR3" t="n">
        <v>10</v>
      </c>
      <c r="AS3" t="n">
        <v>7</v>
      </c>
      <c r="AT3" t="n">
        <v>0</v>
      </c>
      <c r="AU3" t="n">
        <v>0</v>
      </c>
      <c r="AV3" t="n">
        <v>0</v>
      </c>
      <c r="AW3" t="n">
        <v>0</v>
      </c>
    </row>
    <row r="4">
      <c r="B4" t="inlineStr">
        <is>
          <t>D(C) BPCB</t>
        </is>
      </c>
      <c r="C4" t="n">
        <v>8</v>
      </c>
      <c r="D4" t="n">
        <v>8</v>
      </c>
      <c r="E4" t="n">
        <v>4</v>
      </c>
      <c r="F4" t="n">
        <v>10</v>
      </c>
      <c r="G4" t="n">
        <v>2</v>
      </c>
      <c r="H4" t="n">
        <v>7</v>
      </c>
      <c r="I4" t="n">
        <v>2</v>
      </c>
      <c r="J4" t="n">
        <v>10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7</v>
      </c>
      <c r="W4" t="n">
        <v>10</v>
      </c>
      <c r="X4" t="n">
        <v>7</v>
      </c>
      <c r="Y4" t="n">
        <v>10</v>
      </c>
      <c r="Z4" t="n">
        <v>7</v>
      </c>
      <c r="AA4" t="n">
        <v>7</v>
      </c>
      <c r="AB4" t="n">
        <v>3</v>
      </c>
      <c r="AC4" t="n">
        <v>0</v>
      </c>
      <c r="AD4" t="n">
        <v>3</v>
      </c>
      <c r="AE4" t="n">
        <v>2</v>
      </c>
      <c r="AF4" t="n">
        <v>10</v>
      </c>
      <c r="AG4" t="n">
        <v>2</v>
      </c>
      <c r="AH4" t="n">
        <v>7</v>
      </c>
      <c r="AI4" t="n">
        <v>2</v>
      </c>
      <c r="AJ4" t="n">
        <v>2</v>
      </c>
      <c r="AK4" t="n">
        <v>2</v>
      </c>
      <c r="AL4" t="n">
        <v>0</v>
      </c>
      <c r="AM4" t="n">
        <v>7</v>
      </c>
      <c r="AN4" t="n">
        <v>10</v>
      </c>
      <c r="AO4" t="n">
        <v>0</v>
      </c>
      <c r="AP4" t="n">
        <v>10</v>
      </c>
      <c r="AQ4" t="n">
        <v>10</v>
      </c>
      <c r="AR4" t="n">
        <v>10</v>
      </c>
      <c r="AS4" t="n">
        <v>7</v>
      </c>
      <c r="AT4" t="n">
        <v>0</v>
      </c>
      <c r="AU4" t="n">
        <v>0</v>
      </c>
      <c r="AV4" t="n">
        <v>0</v>
      </c>
      <c r="AW4" t="n">
        <v>0</v>
      </c>
    </row>
    <row r="5">
      <c r="B5" t="inlineStr">
        <is>
          <t>DM - DM</t>
        </is>
      </c>
      <c r="C5" t="n">
        <v>8</v>
      </c>
      <c r="D5" t="n">
        <v>8</v>
      </c>
      <c r="E5" t="n">
        <v>5</v>
      </c>
      <c r="F5" t="n">
        <v>0</v>
      </c>
      <c r="G5" t="n">
        <v>2</v>
      </c>
      <c r="H5" t="n">
        <v>8</v>
      </c>
      <c r="I5" t="n">
        <v>7</v>
      </c>
      <c r="J5" t="n">
        <v>7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7</v>
      </c>
      <c r="W5" t="n">
        <v>10</v>
      </c>
      <c r="X5" t="n">
        <v>3</v>
      </c>
      <c r="Y5" t="n">
        <v>7</v>
      </c>
      <c r="Z5" t="n">
        <v>10</v>
      </c>
      <c r="AA5" t="n">
        <v>7</v>
      </c>
      <c r="AB5" t="n">
        <v>3</v>
      </c>
      <c r="AC5" t="n">
        <v>2</v>
      </c>
      <c r="AD5" t="n">
        <v>3</v>
      </c>
      <c r="AE5" t="n">
        <v>2</v>
      </c>
      <c r="AF5" t="n">
        <v>10</v>
      </c>
      <c r="AG5" t="n">
        <v>10</v>
      </c>
      <c r="AH5" t="n">
        <v>2</v>
      </c>
      <c r="AI5" t="n">
        <v>7</v>
      </c>
      <c r="AJ5" t="n">
        <v>2</v>
      </c>
      <c r="AK5" t="n">
        <v>2</v>
      </c>
      <c r="AL5" t="n">
        <v>2</v>
      </c>
      <c r="AM5" t="n">
        <v>7</v>
      </c>
      <c r="AN5" t="n">
        <v>0</v>
      </c>
      <c r="AO5" t="n">
        <v>2</v>
      </c>
      <c r="AP5" t="n">
        <v>7</v>
      </c>
      <c r="AQ5" t="n">
        <v>7</v>
      </c>
      <c r="AR5" t="n">
        <v>10</v>
      </c>
      <c r="AS5" t="n">
        <v>2</v>
      </c>
      <c r="AT5" t="n">
        <v>0</v>
      </c>
      <c r="AU5" t="n">
        <v>0</v>
      </c>
      <c r="AV5" t="n">
        <v>0</v>
      </c>
      <c r="AW5" t="n">
        <v>0</v>
      </c>
    </row>
    <row r="6">
      <c r="B6" t="inlineStr">
        <is>
          <t>DM - DLP</t>
        </is>
      </c>
      <c r="C6" t="n">
        <v>8</v>
      </c>
      <c r="D6" t="n">
        <v>8</v>
      </c>
      <c r="E6" t="n">
        <v>7</v>
      </c>
      <c r="F6" t="n">
        <v>0</v>
      </c>
      <c r="G6" t="n">
        <v>2</v>
      </c>
      <c r="H6" t="n">
        <v>8</v>
      </c>
      <c r="I6" t="n">
        <v>7</v>
      </c>
      <c r="J6" t="n">
        <v>4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4</v>
      </c>
      <c r="W6" t="n">
        <v>7</v>
      </c>
      <c r="X6" t="n">
        <v>3</v>
      </c>
      <c r="Y6" t="n">
        <v>10</v>
      </c>
      <c r="Z6" t="n">
        <v>7</v>
      </c>
      <c r="AA6" t="n">
        <v>10</v>
      </c>
      <c r="AB6" t="n">
        <v>3</v>
      </c>
      <c r="AC6" t="n">
        <v>5</v>
      </c>
      <c r="AD6" t="n">
        <v>3</v>
      </c>
      <c r="AE6" t="n">
        <v>7</v>
      </c>
      <c r="AF6" t="n">
        <v>7</v>
      </c>
      <c r="AG6" t="n">
        <v>10</v>
      </c>
      <c r="AH6" t="n">
        <v>10</v>
      </c>
      <c r="AI6" t="n">
        <v>7</v>
      </c>
      <c r="AJ6" t="n">
        <v>2</v>
      </c>
      <c r="AK6" t="n">
        <v>2</v>
      </c>
      <c r="AL6" t="n">
        <v>2</v>
      </c>
      <c r="AM6" t="n">
        <v>10</v>
      </c>
      <c r="AN6" t="n">
        <v>0</v>
      </c>
      <c r="AO6" t="n">
        <v>2</v>
      </c>
      <c r="AP6" t="n">
        <v>7</v>
      </c>
      <c r="AQ6" t="n">
        <v>10</v>
      </c>
      <c r="AR6" t="n">
        <v>7</v>
      </c>
      <c r="AS6" t="n">
        <v>10</v>
      </c>
      <c r="AT6" t="n">
        <v>0</v>
      </c>
      <c r="AU6" t="n">
        <v>0</v>
      </c>
      <c r="AV6" t="n">
        <v>0</v>
      </c>
      <c r="AW6" t="n">
        <v>0</v>
      </c>
    </row>
    <row r="7">
      <c r="B7" t="inlineStr">
        <is>
          <t>AM(L) IF</t>
        </is>
      </c>
      <c r="C7" t="n">
        <v>10</v>
      </c>
      <c r="D7" t="n">
        <v>10</v>
      </c>
      <c r="E7" t="n">
        <v>7</v>
      </c>
      <c r="F7" t="n">
        <v>0</v>
      </c>
      <c r="G7" t="n">
        <v>2</v>
      </c>
      <c r="H7" t="n">
        <v>7</v>
      </c>
      <c r="I7" t="n">
        <v>7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10</v>
      </c>
      <c r="X7" t="n">
        <v>3</v>
      </c>
      <c r="Y7" t="n">
        <v>10</v>
      </c>
      <c r="Z7" t="n">
        <v>2</v>
      </c>
      <c r="AA7" t="n">
        <v>2</v>
      </c>
      <c r="AB7" t="n">
        <v>3</v>
      </c>
      <c r="AC7" t="n">
        <v>7</v>
      </c>
      <c r="AD7" t="n">
        <v>3</v>
      </c>
      <c r="AE7" t="n">
        <v>10</v>
      </c>
      <c r="AF7" t="n">
        <v>2</v>
      </c>
      <c r="AG7" t="n">
        <v>2</v>
      </c>
      <c r="AH7" t="n">
        <v>7</v>
      </c>
      <c r="AI7" t="n">
        <v>7</v>
      </c>
      <c r="AJ7" t="n">
        <v>7</v>
      </c>
      <c r="AK7" t="n">
        <v>10</v>
      </c>
      <c r="AL7" t="n">
        <v>7</v>
      </c>
      <c r="AM7" t="n">
        <v>10</v>
      </c>
      <c r="AN7" t="n">
        <v>0</v>
      </c>
      <c r="AO7" t="n">
        <v>7</v>
      </c>
      <c r="AP7" t="n">
        <v>2</v>
      </c>
      <c r="AQ7" t="n">
        <v>7</v>
      </c>
      <c r="AR7" t="n">
        <v>2</v>
      </c>
      <c r="AS7" t="n">
        <v>10</v>
      </c>
      <c r="AT7" t="n">
        <v>0</v>
      </c>
      <c r="AU7" t="n">
        <v>0</v>
      </c>
      <c r="AV7" t="n">
        <v>0</v>
      </c>
      <c r="AW7" t="n">
        <v>0</v>
      </c>
    </row>
    <row r="8">
      <c r="B8" t="inlineStr">
        <is>
          <t>AM(C) AM</t>
        </is>
      </c>
      <c r="C8" t="n">
        <v>10</v>
      </c>
      <c r="D8" t="n">
        <v>7</v>
      </c>
      <c r="E8" t="n">
        <v>5</v>
      </c>
      <c r="F8" t="n">
        <v>0</v>
      </c>
      <c r="G8" t="n">
        <v>2</v>
      </c>
      <c r="H8" t="n">
        <v>7</v>
      </c>
      <c r="I8" t="n">
        <v>7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7</v>
      </c>
      <c r="X8" t="n">
        <v>3</v>
      </c>
      <c r="Y8" t="n">
        <v>10</v>
      </c>
      <c r="Z8" t="n">
        <v>2</v>
      </c>
      <c r="AA8" t="n">
        <v>7</v>
      </c>
      <c r="AB8" t="n">
        <v>3</v>
      </c>
      <c r="AC8" t="n">
        <v>7</v>
      </c>
      <c r="AD8" t="n">
        <v>3</v>
      </c>
      <c r="AE8" t="n">
        <v>10</v>
      </c>
      <c r="AF8" t="n">
        <v>2</v>
      </c>
      <c r="AG8" t="n">
        <v>2</v>
      </c>
      <c r="AH8" t="n">
        <v>7</v>
      </c>
      <c r="AI8" t="n">
        <v>10</v>
      </c>
      <c r="AJ8" t="n">
        <v>10</v>
      </c>
      <c r="AK8" t="n">
        <v>7</v>
      </c>
      <c r="AL8" t="n">
        <v>2</v>
      </c>
      <c r="AM8" t="n">
        <v>10</v>
      </c>
      <c r="AN8" t="n">
        <v>0</v>
      </c>
      <c r="AO8" t="n">
        <v>7</v>
      </c>
      <c r="AP8" t="n">
        <v>2</v>
      </c>
      <c r="AQ8" t="n">
        <v>10</v>
      </c>
      <c r="AR8" t="n">
        <v>2</v>
      </c>
      <c r="AS8" t="n">
        <v>10</v>
      </c>
      <c r="AT8" t="n">
        <v>0</v>
      </c>
      <c r="AU8" t="n">
        <v>0</v>
      </c>
      <c r="AV8" t="n">
        <v>0</v>
      </c>
      <c r="AW8" t="n">
        <v>0</v>
      </c>
    </row>
    <row r="9">
      <c r="B9" t="inlineStr">
        <is>
          <t>AM(R) W</t>
        </is>
      </c>
      <c r="C9" t="n">
        <v>10</v>
      </c>
      <c r="D9" t="n">
        <v>10</v>
      </c>
      <c r="E9" t="n">
        <v>7</v>
      </c>
      <c r="F9" t="n">
        <v>0</v>
      </c>
      <c r="G9" t="n">
        <v>2</v>
      </c>
      <c r="H9" t="n">
        <v>10</v>
      </c>
      <c r="I9" t="n">
        <v>7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7</v>
      </c>
      <c r="X9" t="n">
        <v>3</v>
      </c>
      <c r="Y9" t="n">
        <v>2</v>
      </c>
      <c r="Z9" t="n">
        <v>2</v>
      </c>
      <c r="AA9" t="n">
        <v>2</v>
      </c>
      <c r="AB9" t="n">
        <v>3</v>
      </c>
      <c r="AC9" t="n">
        <v>7</v>
      </c>
      <c r="AD9" t="n">
        <v>3</v>
      </c>
      <c r="AE9" t="n">
        <v>7</v>
      </c>
      <c r="AF9" t="n">
        <v>2</v>
      </c>
      <c r="AG9" t="n">
        <v>10</v>
      </c>
      <c r="AH9" t="n">
        <v>2</v>
      </c>
      <c r="AI9" t="n">
        <v>7</v>
      </c>
      <c r="AJ9" t="n">
        <v>10</v>
      </c>
      <c r="AK9" t="n">
        <v>10</v>
      </c>
      <c r="AL9" t="n">
        <v>2</v>
      </c>
      <c r="AM9" t="n">
        <v>7</v>
      </c>
      <c r="AN9" t="n">
        <v>0</v>
      </c>
      <c r="AO9" t="n">
        <v>2</v>
      </c>
      <c r="AP9" t="n">
        <v>2</v>
      </c>
      <c r="AQ9" t="n">
        <v>7</v>
      </c>
      <c r="AR9" t="n">
        <v>2</v>
      </c>
      <c r="AS9" t="n">
        <v>10</v>
      </c>
      <c r="AT9" t="n">
        <v>0</v>
      </c>
      <c r="AU9" t="n">
        <v>0</v>
      </c>
      <c r="AV9" t="n">
        <v>0</v>
      </c>
      <c r="AW9" t="n">
        <v>0</v>
      </c>
    </row>
    <row r="10">
      <c r="B10" t="inlineStr">
        <is>
          <t>ST(C) CF</t>
        </is>
      </c>
      <c r="C10" t="n">
        <v>10</v>
      </c>
      <c r="D10" t="n">
        <v>7</v>
      </c>
      <c r="E10" t="n">
        <v>7</v>
      </c>
      <c r="F10" t="n">
        <v>7</v>
      </c>
      <c r="G10" t="n">
        <v>2</v>
      </c>
      <c r="H10" t="n">
        <v>7</v>
      </c>
      <c r="I10" t="n">
        <v>2</v>
      </c>
      <c r="J10" t="n">
        <v>10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7</v>
      </c>
      <c r="X10" t="n">
        <v>5</v>
      </c>
      <c r="Y10" t="n">
        <v>10</v>
      </c>
      <c r="Z10" t="n">
        <v>2</v>
      </c>
      <c r="AA10" t="n">
        <v>7</v>
      </c>
      <c r="AB10" t="n">
        <v>4</v>
      </c>
      <c r="AC10" t="n">
        <v>4</v>
      </c>
      <c r="AD10" t="n">
        <v>2</v>
      </c>
      <c r="AE10" t="n">
        <v>10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7</v>
      </c>
      <c r="AL10" t="n">
        <v>10</v>
      </c>
      <c r="AM10" t="n">
        <v>10</v>
      </c>
      <c r="AN10" t="n">
        <v>10</v>
      </c>
      <c r="AO10" t="n">
        <v>2</v>
      </c>
      <c r="AP10" t="n">
        <v>0</v>
      </c>
      <c r="AQ10" t="n">
        <v>7</v>
      </c>
      <c r="AR10" t="n">
        <v>0</v>
      </c>
      <c r="AS10" t="n">
        <v>10</v>
      </c>
      <c r="AT10" t="n">
        <v>0</v>
      </c>
      <c r="AU10" t="n">
        <v>0</v>
      </c>
      <c r="AV10" t="n">
        <v>0</v>
      </c>
      <c r="AW10" t="n">
        <v>2</v>
      </c>
    </row>
    <row r="11">
      <c r="A11" s="45" t="inlineStr">
        <is>
          <t>OUT OF POSSESSION</t>
        </is>
      </c>
      <c r="B11" t="inlineStr">
        <is>
          <t>GK</t>
        </is>
      </c>
      <c r="C11" t="n">
        <v>1</v>
      </c>
      <c r="D11" t="n">
        <v>10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10</v>
      </c>
      <c r="L11" t="n">
        <v>10</v>
      </c>
      <c r="M11" t="n">
        <v>10</v>
      </c>
      <c r="N11" t="n">
        <v>3</v>
      </c>
      <c r="O11" t="n">
        <v>10</v>
      </c>
      <c r="P11" t="n">
        <v>1</v>
      </c>
      <c r="Q11" t="n">
        <v>7</v>
      </c>
      <c r="R11" t="n">
        <v>3</v>
      </c>
      <c r="S11" t="n">
        <v>10</v>
      </c>
      <c r="T11" t="n">
        <v>7</v>
      </c>
      <c r="U11" t="n">
        <v>1</v>
      </c>
      <c r="V11" t="n">
        <v>1</v>
      </c>
      <c r="W11" t="n">
        <v>7</v>
      </c>
      <c r="X11" t="n">
        <v>4</v>
      </c>
      <c r="Y11" t="n">
        <v>1</v>
      </c>
      <c r="Z11" t="n">
        <v>10</v>
      </c>
      <c r="AA11" t="n">
        <v>7</v>
      </c>
      <c r="AB11" t="n">
        <v>4</v>
      </c>
      <c r="AC11" t="n">
        <v>1</v>
      </c>
      <c r="AD11" t="n">
        <v>4</v>
      </c>
      <c r="AE11" t="n">
        <v>0</v>
      </c>
      <c r="AF11" t="n">
        <v>10</v>
      </c>
      <c r="AG11" t="n">
        <v>1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</row>
    <row r="12">
      <c r="B12" t="inlineStr">
        <is>
          <t>D(L/R) FB</t>
        </is>
      </c>
      <c r="C12" t="n">
        <v>10</v>
      </c>
      <c r="D12" t="n">
        <v>7</v>
      </c>
      <c r="E12" t="n">
        <v>4</v>
      </c>
      <c r="F12" t="n">
        <v>2</v>
      </c>
      <c r="G12" t="n">
        <v>2</v>
      </c>
      <c r="H12" t="n">
        <v>7</v>
      </c>
      <c r="I12" t="n">
        <v>7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7</v>
      </c>
      <c r="W12" t="n">
        <v>10</v>
      </c>
      <c r="X12" t="n">
        <v>5</v>
      </c>
      <c r="Y12" t="n">
        <v>2</v>
      </c>
      <c r="Z12" t="n">
        <v>7</v>
      </c>
      <c r="AA12" t="n">
        <v>7</v>
      </c>
      <c r="AB12" t="n">
        <v>3</v>
      </c>
      <c r="AC12" t="n">
        <v>0</v>
      </c>
      <c r="AD12" t="n">
        <v>3</v>
      </c>
      <c r="AE12" t="n">
        <v>2</v>
      </c>
      <c r="AF12" t="n">
        <v>10</v>
      </c>
      <c r="AG12" t="n">
        <v>10</v>
      </c>
      <c r="AH12" t="n">
        <v>2</v>
      </c>
      <c r="AI12" t="n">
        <v>7</v>
      </c>
      <c r="AJ12" t="n">
        <v>2</v>
      </c>
      <c r="AK12" t="n">
        <v>2</v>
      </c>
      <c r="AL12" t="n">
        <v>0</v>
      </c>
      <c r="AM12" t="n">
        <v>2</v>
      </c>
      <c r="AN12" t="n">
        <v>2</v>
      </c>
      <c r="AO12" t="n">
        <v>0</v>
      </c>
      <c r="AP12" t="n">
        <v>10</v>
      </c>
      <c r="AQ12" t="n">
        <v>2</v>
      </c>
      <c r="AR12" t="n">
        <v>10</v>
      </c>
      <c r="AS12" t="n">
        <v>2</v>
      </c>
      <c r="AT12" t="n">
        <v>0</v>
      </c>
      <c r="AU12" t="n">
        <v>0</v>
      </c>
      <c r="AV12" t="n">
        <v>0</v>
      </c>
      <c r="AW12" t="n">
        <v>0</v>
      </c>
    </row>
    <row r="13">
      <c r="B13" t="inlineStr">
        <is>
          <t>D(C) CB</t>
        </is>
      </c>
      <c r="C13" t="n">
        <v>8</v>
      </c>
      <c r="D13" t="n">
        <v>8</v>
      </c>
      <c r="E13" t="n">
        <v>4</v>
      </c>
      <c r="F13" t="n">
        <v>10</v>
      </c>
      <c r="G13" t="n">
        <v>2</v>
      </c>
      <c r="H13" t="n">
        <v>7</v>
      </c>
      <c r="I13" t="n">
        <v>2</v>
      </c>
      <c r="J13" t="n">
        <v>10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7</v>
      </c>
      <c r="W13" t="n">
        <v>10</v>
      </c>
      <c r="X13" t="n">
        <v>7</v>
      </c>
      <c r="Y13" t="n">
        <v>7</v>
      </c>
      <c r="Z13" t="n">
        <v>7</v>
      </c>
      <c r="AA13" t="n">
        <v>7</v>
      </c>
      <c r="AB13" t="n">
        <v>3</v>
      </c>
      <c r="AC13" t="n">
        <v>0</v>
      </c>
      <c r="AD13" t="n">
        <v>3</v>
      </c>
      <c r="AE13" t="n">
        <v>2</v>
      </c>
      <c r="AF13" t="n">
        <v>10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0</v>
      </c>
      <c r="AM13" t="n">
        <v>2</v>
      </c>
      <c r="AN13" t="n">
        <v>10</v>
      </c>
      <c r="AO13" t="n">
        <v>0</v>
      </c>
      <c r="AP13" t="n">
        <v>10</v>
      </c>
      <c r="AQ13" t="n">
        <v>2</v>
      </c>
      <c r="AR13" t="n">
        <v>10</v>
      </c>
      <c r="AS13" t="n">
        <v>2</v>
      </c>
      <c r="AT13" t="n">
        <v>0</v>
      </c>
      <c r="AU13" t="n">
        <v>0</v>
      </c>
      <c r="AV13" t="n">
        <v>0</v>
      </c>
      <c r="AW13" t="n">
        <v>0</v>
      </c>
    </row>
    <row r="14">
      <c r="B14" t="inlineStr">
        <is>
          <t>DM - SDM</t>
        </is>
      </c>
      <c r="C14" t="n">
        <v>8</v>
      </c>
      <c r="D14" t="n">
        <v>8</v>
      </c>
      <c r="E14" t="n">
        <v>5</v>
      </c>
      <c r="F14" t="n">
        <v>0</v>
      </c>
      <c r="G14" t="n">
        <v>2</v>
      </c>
      <c r="H14" t="n">
        <v>8</v>
      </c>
      <c r="I14" t="n">
        <v>7</v>
      </c>
      <c r="J14" t="n">
        <v>7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4</v>
      </c>
      <c r="W14" t="n">
        <v>10</v>
      </c>
      <c r="X14" t="n">
        <v>3</v>
      </c>
      <c r="Y14" t="n">
        <v>2</v>
      </c>
      <c r="Z14" t="n">
        <v>10</v>
      </c>
      <c r="AA14" t="n">
        <v>10</v>
      </c>
      <c r="AB14" t="n">
        <v>3</v>
      </c>
      <c r="AC14" t="n">
        <v>2</v>
      </c>
      <c r="AD14" t="n">
        <v>3</v>
      </c>
      <c r="AE14" t="n">
        <v>2</v>
      </c>
      <c r="AF14" t="n">
        <v>10</v>
      </c>
      <c r="AG14" t="n">
        <v>7</v>
      </c>
      <c r="AH14" t="n">
        <v>2</v>
      </c>
      <c r="AI14" t="n">
        <v>7</v>
      </c>
      <c r="AJ14" t="n">
        <v>2</v>
      </c>
      <c r="AK14" t="n">
        <v>2</v>
      </c>
      <c r="AL14" t="n">
        <v>2</v>
      </c>
      <c r="AM14" t="n">
        <v>2</v>
      </c>
      <c r="AN14" t="n">
        <v>0</v>
      </c>
      <c r="AO14" t="n">
        <v>2</v>
      </c>
      <c r="AP14" t="n">
        <v>10</v>
      </c>
      <c r="AQ14" t="n">
        <v>2</v>
      </c>
      <c r="AR14" t="n">
        <v>10</v>
      </c>
      <c r="AS14" t="n">
        <v>2</v>
      </c>
      <c r="AT14" t="n">
        <v>0</v>
      </c>
      <c r="AU14" t="n">
        <v>0</v>
      </c>
      <c r="AV14" t="n">
        <v>0</v>
      </c>
      <c r="AW14" t="n">
        <v>0</v>
      </c>
    </row>
    <row r="15">
      <c r="B15" t="inlineStr">
        <is>
          <t>AM(L/R) TW</t>
        </is>
      </c>
      <c r="C15" t="n">
        <v>10</v>
      </c>
      <c r="D15" t="n">
        <v>7</v>
      </c>
      <c r="E15" t="n">
        <v>5</v>
      </c>
      <c r="F15" t="n">
        <v>0</v>
      </c>
      <c r="G15" t="n">
        <v>2</v>
      </c>
      <c r="H15" t="n">
        <v>7</v>
      </c>
      <c r="I15" t="n">
        <v>10</v>
      </c>
      <c r="J15" t="n">
        <v>3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10</v>
      </c>
      <c r="W15" t="n">
        <v>10</v>
      </c>
      <c r="X15" t="n">
        <v>3</v>
      </c>
      <c r="Y15" t="n">
        <v>2</v>
      </c>
      <c r="Z15" t="n">
        <v>2</v>
      </c>
      <c r="AA15" t="n">
        <v>10</v>
      </c>
      <c r="AB15" t="n">
        <v>3</v>
      </c>
      <c r="AC15" t="n">
        <v>2</v>
      </c>
      <c r="AD15" t="n">
        <v>3</v>
      </c>
      <c r="AE15" t="n">
        <v>7</v>
      </c>
      <c r="AF15" t="n">
        <v>7</v>
      </c>
      <c r="AG15" t="n">
        <v>10</v>
      </c>
      <c r="AH15" t="n">
        <v>2</v>
      </c>
      <c r="AI15" t="n">
        <v>10</v>
      </c>
      <c r="AJ15" t="n">
        <v>2</v>
      </c>
      <c r="AK15" t="n">
        <v>2</v>
      </c>
      <c r="AL15" t="n">
        <v>2</v>
      </c>
      <c r="AM15" t="n">
        <v>2</v>
      </c>
      <c r="AN15" t="n">
        <v>0</v>
      </c>
      <c r="AO15" t="n">
        <v>2</v>
      </c>
      <c r="AP15" t="n">
        <v>5</v>
      </c>
      <c r="AQ15" t="n">
        <v>2</v>
      </c>
      <c r="AR15" t="n">
        <v>5</v>
      </c>
      <c r="AS15" t="n">
        <v>2</v>
      </c>
      <c r="AT15" t="n">
        <v>0</v>
      </c>
      <c r="AU15" t="n">
        <v>0</v>
      </c>
      <c r="AV15" t="n">
        <v>0</v>
      </c>
      <c r="AW15" t="n">
        <v>0</v>
      </c>
    </row>
    <row r="16">
      <c r="B16" t="inlineStr">
        <is>
          <t>AM(C) TAM</t>
        </is>
      </c>
      <c r="C16" t="n">
        <v>8</v>
      </c>
      <c r="D16" t="n">
        <v>8</v>
      </c>
      <c r="E16" t="n">
        <v>5</v>
      </c>
      <c r="F16" t="n">
        <v>0</v>
      </c>
      <c r="G16" t="n">
        <v>2</v>
      </c>
      <c r="H16" t="n">
        <v>8</v>
      </c>
      <c r="I16" t="n">
        <v>10</v>
      </c>
      <c r="J16" t="n">
        <v>3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10</v>
      </c>
      <c r="W16" t="n">
        <v>10</v>
      </c>
      <c r="X16" t="n">
        <v>3</v>
      </c>
      <c r="Y16" t="n">
        <v>2</v>
      </c>
      <c r="Z16" t="n">
        <v>2</v>
      </c>
      <c r="AA16" t="n">
        <v>10</v>
      </c>
      <c r="AB16" t="n">
        <v>3</v>
      </c>
      <c r="AC16" t="n">
        <v>5</v>
      </c>
      <c r="AD16" t="n">
        <v>3</v>
      </c>
      <c r="AE16" t="n">
        <v>7</v>
      </c>
      <c r="AF16" t="n">
        <v>7</v>
      </c>
      <c r="AG16" t="n">
        <v>10</v>
      </c>
      <c r="AH16" t="n">
        <v>5</v>
      </c>
      <c r="AI16" t="n">
        <v>10</v>
      </c>
      <c r="AJ16" t="n">
        <v>2</v>
      </c>
      <c r="AK16" t="n">
        <v>2</v>
      </c>
      <c r="AL16" t="n">
        <v>2</v>
      </c>
      <c r="AM16" t="n">
        <v>2</v>
      </c>
      <c r="AN16" t="n">
        <v>0</v>
      </c>
      <c r="AO16" t="n">
        <v>2</v>
      </c>
      <c r="AP16" t="n">
        <v>7</v>
      </c>
      <c r="AQ16" t="n">
        <v>2</v>
      </c>
      <c r="AR16" t="n">
        <v>5</v>
      </c>
      <c r="AS16" t="n">
        <v>2</v>
      </c>
      <c r="AT16" t="n">
        <v>0</v>
      </c>
      <c r="AU16" t="n">
        <v>0</v>
      </c>
      <c r="AV16" t="n">
        <v>0</v>
      </c>
      <c r="AW16" t="n">
        <v>0</v>
      </c>
    </row>
    <row r="17">
      <c r="B17" t="inlineStr">
        <is>
          <t>ST(C) CO</t>
        </is>
      </c>
      <c r="C17" t="n">
        <v>8</v>
      </c>
      <c r="D17" t="n">
        <v>8</v>
      </c>
      <c r="E17" t="n">
        <v>10</v>
      </c>
      <c r="F17" t="n">
        <v>2</v>
      </c>
      <c r="G17" t="n">
        <v>2</v>
      </c>
      <c r="H17" t="n">
        <v>8</v>
      </c>
      <c r="I17" t="n">
        <v>2</v>
      </c>
      <c r="J17" t="n">
        <v>7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10</v>
      </c>
      <c r="X17" t="n">
        <v>5</v>
      </c>
      <c r="Y17" t="n">
        <v>7</v>
      </c>
      <c r="Z17" t="n">
        <v>10</v>
      </c>
      <c r="AA17" t="n">
        <v>10</v>
      </c>
      <c r="AB17" t="n">
        <v>4</v>
      </c>
      <c r="AC17" t="n">
        <v>4</v>
      </c>
      <c r="AD17" t="n">
        <v>2</v>
      </c>
      <c r="AE17" t="n">
        <v>10</v>
      </c>
      <c r="AF17" t="n">
        <v>2</v>
      </c>
      <c r="AG17" t="n">
        <v>10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7</v>
      </c>
      <c r="AN17" t="n">
        <v>2</v>
      </c>
      <c r="AO17" t="n">
        <v>2</v>
      </c>
      <c r="AP17" t="n">
        <v>7</v>
      </c>
      <c r="AQ17" t="n">
        <v>2</v>
      </c>
      <c r="AR17" t="n">
        <v>0</v>
      </c>
      <c r="AS17" t="n">
        <v>2</v>
      </c>
      <c r="AT17" t="n">
        <v>0</v>
      </c>
      <c r="AU17" t="n">
        <v>0</v>
      </c>
      <c r="AV17" t="n">
        <v>0</v>
      </c>
      <c r="AW17" t="n">
        <v>2</v>
      </c>
    </row>
    <row r="18">
      <c r="C18" t="inlineStr">
        <is>
          <t>Acceleration</t>
        </is>
      </c>
      <c r="D18" t="inlineStr">
        <is>
          <t>Agility</t>
        </is>
      </c>
      <c r="E18" t="inlineStr">
        <is>
          <t>Balance</t>
        </is>
      </c>
      <c r="F18" t="inlineStr">
        <is>
          <t>Jumping</t>
        </is>
      </c>
      <c r="G18" t="inlineStr">
        <is>
          <t>Natural Fitness</t>
        </is>
      </c>
      <c r="H18" t="inlineStr">
        <is>
          <t>Pace</t>
        </is>
      </c>
      <c r="I18" t="inlineStr">
        <is>
          <t>Stamina</t>
        </is>
      </c>
      <c r="J18" t="inlineStr">
        <is>
          <t>Strength</t>
        </is>
      </c>
      <c r="K18" t="inlineStr">
        <is>
          <t>Aerial Ability</t>
        </is>
      </c>
      <c r="L18" t="inlineStr">
        <is>
          <t>Command of Area</t>
        </is>
      </c>
      <c r="M18" t="inlineStr">
        <is>
          <t>Communication</t>
        </is>
      </c>
      <c r="N18" t="inlineStr">
        <is>
          <t>Eccentricity</t>
        </is>
      </c>
      <c r="O18" t="inlineStr">
        <is>
          <t>Handling</t>
        </is>
      </c>
      <c r="P18" t="inlineStr">
        <is>
          <t>Kicking</t>
        </is>
      </c>
      <c r="Q18" t="inlineStr">
        <is>
          <t>One on Ones</t>
        </is>
      </c>
      <c r="R18" t="inlineStr">
        <is>
          <t>Reflexes</t>
        </is>
      </c>
      <c r="S18" t="inlineStr">
        <is>
          <t>Rushing Out</t>
        </is>
      </c>
      <c r="T18" t="inlineStr">
        <is>
          <t>Tendency to Punch</t>
        </is>
      </c>
      <c r="U18" t="inlineStr">
        <is>
          <t>Throwing</t>
        </is>
      </c>
      <c r="V18" t="inlineStr">
        <is>
          <t>Aggression</t>
        </is>
      </c>
      <c r="W18" t="inlineStr">
        <is>
          <t>Anticipation</t>
        </is>
      </c>
      <c r="X18" t="inlineStr">
        <is>
          <t>Bravery</t>
        </is>
      </c>
      <c r="Y18" t="inlineStr">
        <is>
          <t>Composure</t>
        </is>
      </c>
      <c r="Z18" t="inlineStr">
        <is>
          <t>Concentration</t>
        </is>
      </c>
      <c r="AA18" t="inlineStr">
        <is>
          <t>Decisions</t>
        </is>
      </c>
      <c r="AB18" t="inlineStr">
        <is>
          <t>Determination</t>
        </is>
      </c>
      <c r="AC18" t="inlineStr">
        <is>
          <t>Flair</t>
        </is>
      </c>
      <c r="AD18" t="inlineStr">
        <is>
          <t>Leadership</t>
        </is>
      </c>
      <c r="AE18" t="inlineStr">
        <is>
          <t>Off The Ball</t>
        </is>
      </c>
      <c r="AF18" t="inlineStr">
        <is>
          <t>Positioning</t>
        </is>
      </c>
      <c r="AG18" t="inlineStr">
        <is>
          <t>Teamwork</t>
        </is>
      </c>
      <c r="AH18" t="inlineStr">
        <is>
          <t>Vision</t>
        </is>
      </c>
      <c r="AI18" t="inlineStr">
        <is>
          <t>Work Rate</t>
        </is>
      </c>
      <c r="AJ18" t="inlineStr">
        <is>
          <t>Crossing</t>
        </is>
      </c>
      <c r="AK18" t="inlineStr">
        <is>
          <t>Dribbling</t>
        </is>
      </c>
      <c r="AL18" t="inlineStr">
        <is>
          <t>Finishing</t>
        </is>
      </c>
      <c r="AM18" t="inlineStr">
        <is>
          <t>First Touch</t>
        </is>
      </c>
      <c r="AN18" t="inlineStr">
        <is>
          <t>Heading</t>
        </is>
      </c>
      <c r="AO18" t="inlineStr">
        <is>
          <t>Long Shots</t>
        </is>
      </c>
      <c r="AP18" t="inlineStr">
        <is>
          <t>Marking</t>
        </is>
      </c>
      <c r="AQ18" t="inlineStr">
        <is>
          <t>Passing</t>
        </is>
      </c>
      <c r="AR18" t="inlineStr">
        <is>
          <t>Tackling</t>
        </is>
      </c>
      <c r="AS18" t="inlineStr">
        <is>
          <t>Technique</t>
        </is>
      </c>
      <c r="AT18" t="inlineStr">
        <is>
          <t>Corners</t>
        </is>
      </c>
      <c r="AU18" t="inlineStr">
        <is>
          <t>Free Kicks</t>
        </is>
      </c>
      <c r="AV18" t="inlineStr">
        <is>
          <t>Long Throws</t>
        </is>
      </c>
      <c r="AW18" t="inlineStr">
        <is>
          <t>Penalty Taking</t>
        </is>
      </c>
    </row>
  </sheetData>
  <mergeCells count="2">
    <mergeCell ref="A2:A10"/>
    <mergeCell ref="A11:A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B53" sqref="B53"/>
    </sheetView>
  </sheetViews>
  <sheetFormatPr baseColWidth="8" defaultRowHeight="15"/>
  <cols>
    <col width="18" bestFit="1" customWidth="1" style="46" min="1" max="1"/>
    <col width="18.28515625" bestFit="1" customWidth="1" style="14" min="2" max="2"/>
    <col width="14.28515625" bestFit="1" customWidth="1" style="45" min="3" max="3"/>
    <col width="20.85546875" bestFit="1" customWidth="1" style="46" min="4" max="4"/>
  </cols>
  <sheetData>
    <row r="1">
      <c r="A1" s="1" t="inlineStr">
        <is>
          <t>Player</t>
        </is>
      </c>
      <c r="B1" s="40" t="inlineStr">
        <is>
          <t>Currently Familiarity</t>
        </is>
      </c>
      <c r="C1" s="20" t="inlineStr">
        <is>
          <t>Position to Train</t>
        </is>
      </c>
      <c r="D1" s="20" t="inlineStr">
        <is>
          <t>Role to Train</t>
        </is>
      </c>
      <c r="R1" t="inlineStr">
        <is>
          <t>GK</t>
        </is>
      </c>
      <c r="S1" t="inlineStr">
        <is>
          <t>Goalkeeper</t>
        </is>
      </c>
    </row>
    <row r="2">
      <c r="A2" t="inlineStr">
        <is>
          <t>Andrey Quintino</t>
        </is>
      </c>
      <c r="B2" s="14" t="n">
        <v>14</v>
      </c>
      <c r="C2" s="45" t="inlineStr">
        <is>
          <t>D(R)</t>
        </is>
      </c>
      <c r="D2">
        <f>IF(ISBLANK(C2),"",VLOOKUP(C2,$R$1:$S$9,2,FALSE))</f>
        <v/>
      </c>
      <c r="R2" t="inlineStr">
        <is>
          <t>D(R)</t>
        </is>
      </c>
      <c r="S2" t="inlineStr">
        <is>
          <t>Full-Back</t>
        </is>
      </c>
    </row>
    <row r="3">
      <c r="A3" t="inlineStr">
        <is>
          <t>Joseph James</t>
        </is>
      </c>
      <c r="B3" s="14" t="n">
        <v>16</v>
      </c>
      <c r="C3" s="45" t="inlineStr">
        <is>
          <t>D(C)</t>
        </is>
      </c>
      <c r="D3">
        <f>IF(ISBLANK(C3),"",VLOOKUP(C3,$R$1:$S$9,2,FALSE))</f>
        <v/>
      </c>
      <c r="R3" t="inlineStr">
        <is>
          <t>D(C)</t>
        </is>
      </c>
      <c r="S3" t="inlineStr">
        <is>
          <t>Ball-playing Centre-Back</t>
        </is>
      </c>
    </row>
    <row r="4">
      <c r="A4" t="inlineStr">
        <is>
          <t>Jayden Cumberbatch</t>
        </is>
      </c>
      <c r="B4" s="14" t="n">
        <v>16</v>
      </c>
      <c r="C4" s="45" t="inlineStr">
        <is>
          <t>D(L)</t>
        </is>
      </c>
      <c r="D4">
        <f>IF(ISBLANK(C4),"",VLOOKUP(C4,$R$1:$S$9,2,FALSE))</f>
        <v/>
      </c>
      <c r="R4" t="inlineStr">
        <is>
          <t>D(L)</t>
        </is>
      </c>
      <c r="S4" t="inlineStr">
        <is>
          <t>Full-Back</t>
        </is>
      </c>
    </row>
    <row r="5">
      <c r="A5" t="inlineStr">
        <is>
          <t>Aydin Webb</t>
        </is>
      </c>
      <c r="B5" s="14" t="n">
        <v>16</v>
      </c>
      <c r="C5" s="45" t="inlineStr">
        <is>
          <t>DM</t>
        </is>
      </c>
      <c r="D5">
        <f>IF(ISBLANK(C5),"",VLOOKUP(C5,$R$1:$S$9,2,FALSE))</f>
        <v/>
      </c>
      <c r="R5" t="inlineStr">
        <is>
          <t>DM</t>
        </is>
      </c>
      <c r="S5" t="inlineStr">
        <is>
          <t>Defensive Midfielder</t>
        </is>
      </c>
    </row>
    <row r="6">
      <c r="A6" t="inlineStr">
        <is>
          <t>Paul Stroud</t>
        </is>
      </c>
      <c r="B6" s="14" t="n">
        <v>16</v>
      </c>
      <c r="C6" s="45" t="inlineStr">
        <is>
          <t>AM(R)</t>
        </is>
      </c>
      <c r="D6">
        <f>IF(ISBLANK(C6),"",VLOOKUP(C6,$R$1:$S$9,2,FALSE))</f>
        <v/>
      </c>
      <c r="R6" t="inlineStr">
        <is>
          <t>AM(R)</t>
        </is>
      </c>
      <c r="S6" t="inlineStr">
        <is>
          <t>Winger</t>
        </is>
      </c>
    </row>
    <row r="7">
      <c r="A7" t="inlineStr">
        <is>
          <t>Allan Hall</t>
        </is>
      </c>
      <c r="B7" s="14" t="n">
        <v>16</v>
      </c>
      <c r="C7" s="45" t="inlineStr">
        <is>
          <t>AM(C)</t>
        </is>
      </c>
      <c r="D7">
        <f>IF(ISBLANK(C7),"",VLOOKUP(C7,$R$1:$S$9,2,FALSE))</f>
        <v/>
      </c>
      <c r="R7" t="inlineStr">
        <is>
          <t>AM(C)</t>
        </is>
      </c>
      <c r="S7" t="inlineStr">
        <is>
          <t>Attacking Midfielder</t>
        </is>
      </c>
    </row>
    <row r="8">
      <c r="A8" t="inlineStr">
        <is>
          <t>Robbie Gallagher</t>
        </is>
      </c>
      <c r="B8" s="14" t="n">
        <v>16</v>
      </c>
      <c r="C8" s="45" t="inlineStr">
        <is>
          <t>AM(L)</t>
        </is>
      </c>
      <c r="D8">
        <f>IF(ISBLANK(C8),"",VLOOKUP(C8,$R$1:$S$9,2,FALSE))</f>
        <v/>
      </c>
      <c r="R8" t="inlineStr">
        <is>
          <t>AM(L)</t>
        </is>
      </c>
      <c r="S8" t="inlineStr">
        <is>
          <t>Inside Forward</t>
        </is>
      </c>
    </row>
    <row r="9">
      <c r="A9" t="inlineStr">
        <is>
          <t>Mateusz Widz</t>
        </is>
      </c>
      <c r="B9" s="14" t="n">
        <v>16</v>
      </c>
      <c r="C9" s="45" t="inlineStr">
        <is>
          <t>ST</t>
        </is>
      </c>
      <c r="D9">
        <f>IF(ISBLANK(C9),"",VLOOKUP(C9,$R$1:$S$9,2,FALSE))</f>
        <v/>
      </c>
      <c r="R9" t="inlineStr">
        <is>
          <t>ST</t>
        </is>
      </c>
      <c r="S9" t="inlineStr">
        <is>
          <t>Centre-Forward</t>
        </is>
      </c>
    </row>
    <row r="10">
      <c r="A10" t="inlineStr">
        <is>
          <t>Joe Cassidy</t>
        </is>
      </c>
      <c r="B10" s="14" t="n">
        <v>20</v>
      </c>
      <c r="C10" s="45" t="inlineStr">
        <is>
          <t>D(C)</t>
        </is>
      </c>
      <c r="D10">
        <f>IF(ISBLANK(C10),"",VLOOKUP(C10,$R$1:$S$9,2,FALSE))</f>
        <v/>
      </c>
    </row>
    <row r="11">
      <c r="A11" t="inlineStr">
        <is>
          <t>Freddie Hammond</t>
        </is>
      </c>
      <c r="B11" s="14" t="n">
        <v>20</v>
      </c>
      <c r="C11" s="45" t="inlineStr">
        <is>
          <t>D(L)</t>
        </is>
      </c>
      <c r="D11">
        <f>IF(ISBLANK(C11),"",VLOOKUP(C11,$R$1:$S$9,2,FALSE))</f>
        <v/>
      </c>
    </row>
    <row r="12">
      <c r="A12" t="inlineStr">
        <is>
          <t>Asa Hall</t>
        </is>
      </c>
      <c r="B12" s="14" t="n">
        <v>18</v>
      </c>
      <c r="C12" s="45" t="inlineStr">
        <is>
          <t>DM</t>
        </is>
      </c>
      <c r="D12">
        <f>IF(ISBLANK(C12),"",VLOOKUP(C12,$R$1:$S$9,2,FALSE))</f>
        <v/>
      </c>
    </row>
    <row r="13">
      <c r="A13" t="inlineStr">
        <is>
          <t>Peter Purcell</t>
        </is>
      </c>
      <c r="B13" s="14" t="n">
        <v>19</v>
      </c>
      <c r="C13" s="45" t="inlineStr">
        <is>
          <t>AM(R)</t>
        </is>
      </c>
      <c r="D13">
        <f>IF(ISBLANK(C13),"",VLOOKUP(C13,$R$1:$S$9,2,FALSE))</f>
        <v/>
      </c>
    </row>
    <row r="14">
      <c r="A14" t="inlineStr">
        <is>
          <t>Karnell Dunton</t>
        </is>
      </c>
      <c r="B14" s="14" t="n">
        <v>20</v>
      </c>
      <c r="C14" s="45" t="inlineStr">
        <is>
          <t>ST</t>
        </is>
      </c>
      <c r="D14">
        <f>IF(ISBLANK(C14),"",VLOOKUP(C14,$R$1:$S$9,2,FALSE))</f>
        <v/>
      </c>
    </row>
    <row r="15">
      <c r="D15">
        <f>IF(ISBLANK(C15),"",VLOOKUP(C15,$R$1:$S$9,2,FALSE))</f>
        <v/>
      </c>
    </row>
    <row r="16">
      <c r="D16">
        <f>IF(ISBLANK(C16),"",VLOOKUP(C16,$R$1:$S$9,2,FALSE))</f>
        <v/>
      </c>
    </row>
    <row r="17">
      <c r="D17">
        <f>IF(ISBLANK(C17),"",VLOOKUP(C17,$R$1:$S$9,2,FALSE))</f>
        <v/>
      </c>
    </row>
    <row r="18">
      <c r="D18">
        <f>IF(ISBLANK(C18),"",VLOOKUP(C18,$R$1:$S$9,2,FALSE))</f>
        <v/>
      </c>
    </row>
    <row r="19">
      <c r="D19">
        <f>IF(ISBLANK(C19),"",VLOOKUP(C19,$R$1:$S$9,2,FALSE))</f>
        <v/>
      </c>
    </row>
    <row r="20">
      <c r="D20">
        <f>IF(ISBLANK(C20),"",VLOOKUP(C20,$R$1:$S$9,2,FALSE))</f>
        <v/>
      </c>
    </row>
    <row r="21">
      <c r="D21">
        <f>IF(ISBLANK(C21),"",VLOOKUP(C21,$R$1:$S$9,2,FALSE))</f>
        <v/>
      </c>
    </row>
    <row r="22">
      <c r="D22">
        <f>IF(ISBLANK(C22),"",VLOOKUP(C22,$R$1:$S$9,2,FALSE))</f>
        <v/>
      </c>
    </row>
    <row r="23">
      <c r="D23">
        <f>IF(ISBLANK(C23),"",VLOOKUP(C23,$R$1:$S$9,2,FALSE))</f>
        <v/>
      </c>
    </row>
    <row r="24">
      <c r="D24">
        <f>IF(ISBLANK(C24),"",VLOOKUP(C24,$R$1:$S$9,2,FALSE))</f>
        <v/>
      </c>
    </row>
    <row r="25">
      <c r="D25">
        <f>IF(ISBLANK(C25),"",VLOOKUP(C25,$R$1:$S$9,2,FALSE))</f>
        <v/>
      </c>
    </row>
    <row r="26">
      <c r="D26">
        <f>IF(ISBLANK(C26),"",VLOOKUP(C26,$R$1:$S$9,2,FALSE))</f>
        <v/>
      </c>
    </row>
    <row r="27">
      <c r="D27">
        <f>IF(ISBLANK(C27),"",VLOOKUP(C27,$R$1:$S$9,2,FALSE))</f>
        <v/>
      </c>
    </row>
    <row r="28">
      <c r="D28">
        <f>IF(ISBLANK(C28),"",VLOOKUP(C28,$R$1:$S$9,2,FALSE))</f>
        <v/>
      </c>
    </row>
    <row r="29">
      <c r="D29">
        <f>IF(ISBLANK(C29),"",VLOOKUP(C29,$R$1:$S$9,2,FALSE))</f>
        <v/>
      </c>
    </row>
    <row r="30">
      <c r="D30">
        <f>IF(ISBLANK(C30),"",VLOOKUP(C30,$R$1:$S$9,2,FALSE))</f>
        <v/>
      </c>
    </row>
    <row r="31">
      <c r="D31">
        <f>IF(ISBLANK(C31),"",VLOOKUP(C31,$R$1:$S$9,2,FALSE))</f>
        <v/>
      </c>
    </row>
    <row r="32">
      <c r="D32">
        <f>IF(ISBLANK(C32),"",VLOOKUP(C32,$R$1:$S$9,2,FALSE))</f>
        <v/>
      </c>
    </row>
    <row r="33">
      <c r="D33">
        <f>IF(ISBLANK(C33),"",VLOOKUP(C33,$R$1:$S$9,2,FALSE))</f>
        <v/>
      </c>
    </row>
    <row r="34">
      <c r="D34">
        <f>IF(ISBLANK(C34),"",VLOOKUP(C34,$R$1:$S$9,2,FALSE))</f>
        <v/>
      </c>
    </row>
    <row r="35">
      <c r="D35">
        <f>IF(ISBLANK(C35),"",VLOOKUP(C35,$R$1:$S$9,2,FALSE))</f>
        <v/>
      </c>
    </row>
    <row r="36">
      <c r="D36">
        <f>IF(ISBLANK(C36),"",VLOOKUP(C36,$R$1:$S$9,2,FALSE))</f>
        <v/>
      </c>
    </row>
    <row r="37">
      <c r="D37">
        <f>IF(ISBLANK(C37),"",VLOOKUP(C37,$R$1:$S$9,2,FALSE))</f>
        <v/>
      </c>
    </row>
    <row r="38">
      <c r="D38">
        <f>IF(ISBLANK(C38),"",VLOOKUP(C38,$R$1:$S$9,2,FALSE))</f>
        <v/>
      </c>
    </row>
    <row r="39">
      <c r="D39">
        <f>IF(ISBLANK(C39),"",VLOOKUP(C39,$R$1:$S$9,2,FALSE))</f>
        <v/>
      </c>
    </row>
    <row r="40">
      <c r="D40">
        <f>IF(ISBLANK(C40),"",VLOOKUP(C40,$R$1:$S$9,2,FALSE))</f>
        <v/>
      </c>
    </row>
    <row r="41">
      <c r="D41">
        <f>IF(ISBLANK(C41),"",VLOOKUP(C41,$R$1:$S$9,2,FALSE))</f>
        <v/>
      </c>
    </row>
    <row r="42">
      <c r="D42">
        <f>IF(ISBLANK(C42),"",VLOOKUP(C42,$R$1:$S$9,2,FALSE))</f>
        <v/>
      </c>
    </row>
    <row r="43">
      <c r="D43">
        <f>IF(ISBLANK(C43),"",VLOOKUP(C43,$R$1:$S$9,2,FALSE))</f>
        <v/>
      </c>
    </row>
    <row r="44">
      <c r="D44">
        <f>IF(ISBLANK(C44),"",VLOOKUP(C44,$R$1:$S$9,2,FALSE))</f>
        <v/>
      </c>
    </row>
    <row r="45">
      <c r="D45">
        <f>IF(ISBLANK(C45),"",VLOOKUP(C45,$R$1:$S$9,2,FALSE))</f>
        <v/>
      </c>
    </row>
    <row r="46">
      <c r="D46">
        <f>IF(ISBLANK(C46),"",VLOOKUP(C46,$R$1:$S$9,2,FALSE))</f>
        <v/>
      </c>
    </row>
    <row r="47">
      <c r="D47">
        <f>IF(ISBLANK(C47),"",VLOOKUP(C47,$R$1:$S$9,2,FALSE))</f>
        <v/>
      </c>
    </row>
    <row r="48">
      <c r="D48">
        <f>IF(ISBLANK(C48),"",VLOOKUP(C48,$R$1:$S$9,2,FALSE))</f>
        <v/>
      </c>
    </row>
    <row r="49">
      <c r="D49">
        <f>IF(ISBLANK(C49),"",VLOOKUP(C49,$R$1:$S$9,2,FALSE))</f>
        <v/>
      </c>
    </row>
    <row r="50">
      <c r="D50">
        <f>IF(ISBLANK(C50),"",VLOOKUP(C50,$R$1:$S$9,2,FALSE))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Mason, Doug</dc:creator>
  <dcterms:created xsi:type="dcterms:W3CDTF">2025-11-14T17:22:38Z</dcterms:created>
  <dcterms:modified xsi:type="dcterms:W3CDTF">2025-12-01T07:18:05Z</dcterms:modified>
  <cp:lastModifiedBy>Mason, Doug</cp:lastModifiedBy>
</cp:coreProperties>
</file>