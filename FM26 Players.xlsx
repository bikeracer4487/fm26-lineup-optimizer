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ACFCCC02-A910-4E40-AFAD-2848E6E651B0}" xr6:coauthVersionLast="47" xr6:coauthVersionMax="47" xr10:uidLastSave="{00000000-0000-0000-0000-000000000000}"/>
  <bookViews>
    <workbookView xWindow="27828" yWindow="2652" windowWidth="33000" windowHeight="19692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7" l="1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E73" i="5"/>
  <c r="H72" i="5"/>
  <c r="A68" i="5"/>
  <c r="L67" i="5"/>
  <c r="D67" i="5"/>
  <c r="E66" i="5"/>
  <c r="C66" i="5"/>
  <c r="A66" i="5"/>
  <c r="D65" i="5"/>
  <c r="C64" i="5"/>
  <c r="A64" i="5"/>
  <c r="E63" i="5"/>
  <c r="D63" i="5"/>
  <c r="C63" i="5"/>
  <c r="A63" i="5"/>
  <c r="D61" i="5"/>
  <c r="A61" i="5"/>
  <c r="D59" i="5"/>
  <c r="C59" i="5"/>
  <c r="E58" i="5"/>
  <c r="E57" i="5"/>
  <c r="D57" i="5"/>
  <c r="C57" i="5"/>
  <c r="A57" i="5"/>
  <c r="A52" i="5"/>
  <c r="C47" i="5"/>
  <c r="AE41" i="5"/>
  <c r="Y41" i="5"/>
  <c r="S41" i="5"/>
  <c r="AE40" i="5"/>
  <c r="Y40" i="5"/>
  <c r="S40" i="5"/>
  <c r="AE39" i="5"/>
  <c r="Y39" i="5"/>
  <c r="S39" i="5"/>
  <c r="AE38" i="5"/>
  <c r="Y38" i="5"/>
  <c r="S38" i="5"/>
  <c r="AE37" i="5"/>
  <c r="Y37" i="5"/>
  <c r="S37" i="5"/>
  <c r="AE36" i="5"/>
  <c r="Y36" i="5"/>
  <c r="S36" i="5"/>
  <c r="AE35" i="5"/>
  <c r="Y35" i="5"/>
  <c r="S35" i="5"/>
  <c r="AE34" i="5"/>
  <c r="Y34" i="5"/>
  <c r="S34" i="5"/>
  <c r="AE33" i="5"/>
  <c r="Y33" i="5"/>
  <c r="S33" i="5"/>
  <c r="AE32" i="5"/>
  <c r="Y32" i="5"/>
  <c r="S32" i="5"/>
  <c r="AE31" i="5"/>
  <c r="Y31" i="5"/>
  <c r="S31" i="5"/>
  <c r="E27" i="5"/>
  <c r="E24" i="5"/>
  <c r="A21" i="5"/>
  <c r="E15" i="5"/>
  <c r="E14" i="5"/>
  <c r="S12" i="5"/>
  <c r="S11" i="5"/>
  <c r="S10" i="5"/>
  <c r="S9" i="5"/>
  <c r="S8" i="5"/>
  <c r="S7" i="5"/>
  <c r="S6" i="5"/>
  <c r="S5" i="5"/>
  <c r="S4" i="5"/>
  <c r="S3" i="5"/>
  <c r="S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N74" i="5" s="1"/>
  <c r="AQ74" i="3"/>
  <c r="AP74" i="3"/>
  <c r="N74" i="3" s="1"/>
  <c r="J74" i="5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H74" i="5" s="1"/>
  <c r="I74" i="3"/>
  <c r="H74" i="3"/>
  <c r="G74" i="3"/>
  <c r="F74" i="3"/>
  <c r="E74" i="3"/>
  <c r="E74" i="5" s="1"/>
  <c r="D74" i="3"/>
  <c r="D74" i="5" s="1"/>
  <c r="C74" i="3"/>
  <c r="C74" i="5" s="1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N73" i="5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J73" i="5" s="1"/>
  <c r="L73" i="3"/>
  <c r="H73" i="5" s="1"/>
  <c r="I73" i="3"/>
  <c r="H73" i="3"/>
  <c r="G73" i="3"/>
  <c r="F73" i="3"/>
  <c r="E73" i="3"/>
  <c r="D73" i="3"/>
  <c r="D73" i="5" s="1"/>
  <c r="C73" i="3"/>
  <c r="C73" i="5" s="1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N72" i="5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I72" i="5" s="1"/>
  <c r="N72" i="3"/>
  <c r="J72" i="5" s="1"/>
  <c r="L72" i="3"/>
  <c r="I72" i="3"/>
  <c r="H72" i="3"/>
  <c r="G72" i="3"/>
  <c r="F72" i="3"/>
  <c r="E72" i="3"/>
  <c r="E72" i="5" s="1"/>
  <c r="D72" i="3"/>
  <c r="D72" i="5" s="1"/>
  <c r="C72" i="3"/>
  <c r="C72" i="5" s="1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M71" i="5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5" s="1"/>
  <c r="I71" i="3"/>
  <c r="H71" i="3"/>
  <c r="G71" i="3"/>
  <c r="F71" i="3"/>
  <c r="E71" i="3"/>
  <c r="E71" i="5" s="1"/>
  <c r="D71" i="3"/>
  <c r="D71" i="5" s="1"/>
  <c r="C71" i="3"/>
  <c r="C71" i="5" s="1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K70" i="5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5" s="1"/>
  <c r="N70" i="3"/>
  <c r="J70" i="5" s="1"/>
  <c r="I70" i="3"/>
  <c r="H70" i="3"/>
  <c r="G70" i="3"/>
  <c r="F70" i="3"/>
  <c r="E70" i="3"/>
  <c r="E70" i="5" s="1"/>
  <c r="D70" i="3"/>
  <c r="D70" i="5" s="1"/>
  <c r="C70" i="3"/>
  <c r="C70" i="5" s="1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N69" i="5" s="1"/>
  <c r="T69" i="3"/>
  <c r="Q69" i="3" s="1"/>
  <c r="M69" i="5" s="1"/>
  <c r="S69" i="3"/>
  <c r="I69" i="3"/>
  <c r="H69" i="3"/>
  <c r="G69" i="3"/>
  <c r="F69" i="3"/>
  <c r="E69" i="3"/>
  <c r="E69" i="5" s="1"/>
  <c r="D69" i="3"/>
  <c r="D69" i="5" s="1"/>
  <c r="C69" i="3"/>
  <c r="C69" i="5" s="1"/>
  <c r="A69" i="3"/>
  <c r="A69" i="5" s="1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N68" i="5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K68" i="5" s="1"/>
  <c r="P68" i="3"/>
  <c r="L68" i="5" s="1"/>
  <c r="I68" i="3"/>
  <c r="H68" i="3"/>
  <c r="G68" i="3"/>
  <c r="F68" i="3"/>
  <c r="E68" i="3"/>
  <c r="E68" i="5" s="1"/>
  <c r="D68" i="3"/>
  <c r="D68" i="5" s="1"/>
  <c r="C68" i="3"/>
  <c r="C68" i="5" s="1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M67" i="5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E67" i="5" s="1"/>
  <c r="D67" i="3"/>
  <c r="C67" i="3"/>
  <c r="C67" i="5" s="1"/>
  <c r="A67" i="3"/>
  <c r="A67" i="5" s="1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M66" i="5" s="1"/>
  <c r="R66" i="3"/>
  <c r="N66" i="5" s="1"/>
  <c r="I66" i="3"/>
  <c r="H66" i="3"/>
  <c r="G66" i="3"/>
  <c r="F66" i="3"/>
  <c r="E66" i="3"/>
  <c r="D66" i="3"/>
  <c r="D66" i="5" s="1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N65" i="5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E65" i="5" s="1"/>
  <c r="D65" i="3"/>
  <c r="C65" i="3"/>
  <c r="C65" i="5" s="1"/>
  <c r="A65" i="3"/>
  <c r="A65" i="5" s="1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N64" i="5" s="1"/>
  <c r="T64" i="3"/>
  <c r="S64" i="3"/>
  <c r="Q64" i="3" s="1"/>
  <c r="M64" i="5" s="1"/>
  <c r="I64" i="3"/>
  <c r="H64" i="3"/>
  <c r="G64" i="3"/>
  <c r="F64" i="3"/>
  <c r="E64" i="3"/>
  <c r="E64" i="5" s="1"/>
  <c r="D64" i="3"/>
  <c r="D64" i="5" s="1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N63" i="5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M63" i="5" s="1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N62" i="5" s="1"/>
  <c r="V62" i="3"/>
  <c r="U62" i="3"/>
  <c r="T62" i="3"/>
  <c r="S62" i="3"/>
  <c r="Q62" i="3"/>
  <c r="M62" i="5" s="1"/>
  <c r="I62" i="3"/>
  <c r="H62" i="3"/>
  <c r="G62" i="3"/>
  <c r="F62" i="3"/>
  <c r="E62" i="3"/>
  <c r="E62" i="5" s="1"/>
  <c r="D62" i="3"/>
  <c r="D62" i="5" s="1"/>
  <c r="C62" i="3"/>
  <c r="C62" i="5" s="1"/>
  <c r="A62" i="3"/>
  <c r="A62" i="5" s="1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N61" i="5" s="1"/>
  <c r="I61" i="3"/>
  <c r="H61" i="3"/>
  <c r="G61" i="3"/>
  <c r="F61" i="3"/>
  <c r="E61" i="3"/>
  <c r="E61" i="5" s="1"/>
  <c r="D61" i="3"/>
  <c r="C61" i="3"/>
  <c r="C61" i="5" s="1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M60" i="5" s="1"/>
  <c r="Z60" i="3"/>
  <c r="Y60" i="3"/>
  <c r="X60" i="3"/>
  <c r="W60" i="3"/>
  <c r="V60" i="3"/>
  <c r="U60" i="3"/>
  <c r="R60" i="3" s="1"/>
  <c r="N60" i="5" s="1"/>
  <c r="T60" i="3"/>
  <c r="S60" i="3"/>
  <c r="I60" i="3"/>
  <c r="H60" i="3"/>
  <c r="G60" i="3"/>
  <c r="F60" i="3"/>
  <c r="E60" i="3"/>
  <c r="E60" i="5" s="1"/>
  <c r="D60" i="3"/>
  <c r="D60" i="5" s="1"/>
  <c r="C60" i="3"/>
  <c r="C60" i="5" s="1"/>
  <c r="A60" i="3"/>
  <c r="A60" i="5" s="1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M59" i="5" s="1"/>
  <c r="S59" i="3"/>
  <c r="I59" i="3"/>
  <c r="H59" i="3"/>
  <c r="G59" i="3"/>
  <c r="F59" i="3"/>
  <c r="E59" i="3"/>
  <c r="E59" i="5" s="1"/>
  <c r="D59" i="3"/>
  <c r="C59" i="3"/>
  <c r="A59" i="3"/>
  <c r="A59" i="5" s="1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M58" i="5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K58" i="5" s="1"/>
  <c r="I58" i="3"/>
  <c r="H58" i="3"/>
  <c r="G58" i="3"/>
  <c r="F58" i="3"/>
  <c r="E58" i="3"/>
  <c r="D58" i="3"/>
  <c r="D58" i="5" s="1"/>
  <c r="C58" i="3"/>
  <c r="C58" i="5" s="1"/>
  <c r="A58" i="3"/>
  <c r="A58" i="5" s="1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L57" i="5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N57" i="5" s="1"/>
  <c r="U57" i="3"/>
  <c r="T57" i="3"/>
  <c r="S57" i="3"/>
  <c r="O57" i="3"/>
  <c r="K57" i="5" s="1"/>
  <c r="M57" i="3"/>
  <c r="I57" i="5" s="1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R56" i="3" s="1"/>
  <c r="N56" i="5" s="1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Q56" i="3" s="1"/>
  <c r="M56" i="5" s="1"/>
  <c r="I56" i="3"/>
  <c r="H56" i="3"/>
  <c r="G56" i="3"/>
  <c r="F56" i="3"/>
  <c r="E56" i="3"/>
  <c r="E56" i="5" s="1"/>
  <c r="D56" i="3"/>
  <c r="D56" i="5" s="1"/>
  <c r="C56" i="3"/>
  <c r="C56" i="5" s="1"/>
  <c r="A56" i="3"/>
  <c r="A56" i="5" s="1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O55" i="3" s="1"/>
  <c r="K55" i="5" s="1"/>
  <c r="AT55" i="3"/>
  <c r="AS55" i="3"/>
  <c r="AR55" i="3"/>
  <c r="AQ55" i="3"/>
  <c r="AP55" i="3"/>
  <c r="AO55" i="3"/>
  <c r="Q55" i="3" s="1"/>
  <c r="M55" i="5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M55" i="3" s="1"/>
  <c r="I55" i="5" s="1"/>
  <c r="I55" i="3"/>
  <c r="H55" i="3"/>
  <c r="G55" i="3"/>
  <c r="F55" i="3"/>
  <c r="E55" i="3"/>
  <c r="E55" i="5" s="1"/>
  <c r="D55" i="3"/>
  <c r="D55" i="5" s="1"/>
  <c r="C55" i="3"/>
  <c r="C55" i="5" s="1"/>
  <c r="A55" i="3"/>
  <c r="A55" i="5" s="1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J54" i="3" s="1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E54" i="5" s="1"/>
  <c r="D54" i="3"/>
  <c r="D54" i="5" s="1"/>
  <c r="C54" i="3"/>
  <c r="C54" i="5" s="1"/>
  <c r="A54" i="3"/>
  <c r="A54" i="5" s="1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O53" i="3" s="1"/>
  <c r="K53" i="5" s="1"/>
  <c r="T53" i="3"/>
  <c r="S53" i="3"/>
  <c r="I53" i="3"/>
  <c r="H53" i="3"/>
  <c r="G53" i="3"/>
  <c r="F53" i="3"/>
  <c r="E53" i="3"/>
  <c r="E53" i="5" s="1"/>
  <c r="D53" i="3"/>
  <c r="D53" i="5" s="1"/>
  <c r="C53" i="3"/>
  <c r="C53" i="5" s="1"/>
  <c r="A53" i="3"/>
  <c r="A53" i="5" s="1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H52" i="3"/>
  <c r="G52" i="3"/>
  <c r="F52" i="3"/>
  <c r="E52" i="3"/>
  <c r="E52" i="5" s="1"/>
  <c r="D52" i="3"/>
  <c r="D52" i="5" s="1"/>
  <c r="C52" i="3"/>
  <c r="C52" i="5" s="1"/>
  <c r="A52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H51" i="3"/>
  <c r="G51" i="3"/>
  <c r="F51" i="3"/>
  <c r="E51" i="3"/>
  <c r="E51" i="5" s="1"/>
  <c r="D51" i="3"/>
  <c r="D51" i="5" s="1"/>
  <c r="C51" i="3"/>
  <c r="C51" i="5" s="1"/>
  <c r="A51" i="3"/>
  <c r="A51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H50" i="3"/>
  <c r="G50" i="3"/>
  <c r="F50" i="3"/>
  <c r="E50" i="3"/>
  <c r="E50" i="5" s="1"/>
  <c r="D50" i="3"/>
  <c r="D50" i="5" s="1"/>
  <c r="C50" i="3"/>
  <c r="C50" i="5" s="1"/>
  <c r="A50" i="3"/>
  <c r="A50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H49" i="3"/>
  <c r="G49" i="3"/>
  <c r="F49" i="3"/>
  <c r="E49" i="3"/>
  <c r="E49" i="5" s="1"/>
  <c r="D49" i="3"/>
  <c r="D49" i="5" s="1"/>
  <c r="C49" i="3"/>
  <c r="C49" i="5" s="1"/>
  <c r="A49" i="3"/>
  <c r="A49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H47" i="3"/>
  <c r="G47" i="3"/>
  <c r="F47" i="3"/>
  <c r="E47" i="3"/>
  <c r="E47" i="5" s="1"/>
  <c r="D47" i="3"/>
  <c r="D47" i="5" s="1"/>
  <c r="C47" i="3"/>
  <c r="A47" i="3"/>
  <c r="A47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H46" i="3"/>
  <c r="G46" i="3"/>
  <c r="F46" i="3"/>
  <c r="E46" i="3"/>
  <c r="E46" i="5" s="1"/>
  <c r="D46" i="3"/>
  <c r="D46" i="5" s="1"/>
  <c r="C46" i="3"/>
  <c r="C46" i="5" s="1"/>
  <c r="A46" i="3"/>
  <c r="A46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H45" i="3"/>
  <c r="G45" i="3"/>
  <c r="F45" i="3"/>
  <c r="E45" i="3"/>
  <c r="E45" i="5" s="1"/>
  <c r="D45" i="3"/>
  <c r="D45" i="5" s="1"/>
  <c r="C45" i="3"/>
  <c r="C45" i="5" s="1"/>
  <c r="A45" i="3"/>
  <c r="A45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H44" i="3"/>
  <c r="G44" i="3"/>
  <c r="F44" i="3"/>
  <c r="E44" i="3"/>
  <c r="E44" i="5" s="1"/>
  <c r="D44" i="3"/>
  <c r="D44" i="5" s="1"/>
  <c r="C44" i="3"/>
  <c r="C44" i="5" s="1"/>
  <c r="A44" i="3"/>
  <c r="A44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H43" i="3"/>
  <c r="G43" i="3"/>
  <c r="F43" i="3"/>
  <c r="E43" i="3"/>
  <c r="E43" i="5" s="1"/>
  <c r="D43" i="3"/>
  <c r="D43" i="5" s="1"/>
  <c r="C43" i="3"/>
  <c r="C43" i="5" s="1"/>
  <c r="A43" i="3"/>
  <c r="A43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H42" i="3"/>
  <c r="G42" i="3"/>
  <c r="F42" i="3"/>
  <c r="E42" i="3"/>
  <c r="E42" i="5" s="1"/>
  <c r="D42" i="3"/>
  <c r="D42" i="5" s="1"/>
  <c r="C42" i="3"/>
  <c r="C42" i="5" s="1"/>
  <c r="A42" i="3"/>
  <c r="A42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H41" i="3"/>
  <c r="G41" i="3"/>
  <c r="F41" i="3"/>
  <c r="E41" i="3"/>
  <c r="E23" i="5" s="1"/>
  <c r="D41" i="3"/>
  <c r="D23" i="5" s="1"/>
  <c r="C41" i="3"/>
  <c r="C23" i="5" s="1"/>
  <c r="A41" i="3"/>
  <c r="A23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H40" i="3"/>
  <c r="G40" i="3"/>
  <c r="F40" i="3"/>
  <c r="E40" i="3"/>
  <c r="E4" i="5" s="1"/>
  <c r="D40" i="3"/>
  <c r="D4" i="5" s="1"/>
  <c r="C40" i="3"/>
  <c r="C4" i="5" s="1"/>
  <c r="A40" i="3"/>
  <c r="A4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H39" i="3"/>
  <c r="G39" i="3"/>
  <c r="F39" i="3"/>
  <c r="E39" i="3"/>
  <c r="E9" i="5" s="1"/>
  <c r="D39" i="3"/>
  <c r="D9" i="5" s="1"/>
  <c r="C39" i="3"/>
  <c r="C9" i="5" s="1"/>
  <c r="A39" i="3"/>
  <c r="A9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H38" i="3"/>
  <c r="G38" i="3"/>
  <c r="F38" i="3"/>
  <c r="E38" i="3"/>
  <c r="E2" i="5" s="1"/>
  <c r="D38" i="3"/>
  <c r="D2" i="5" s="1"/>
  <c r="C38" i="3"/>
  <c r="C2" i="5" s="1"/>
  <c r="A38" i="3"/>
  <c r="A2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H37" i="3"/>
  <c r="G37" i="3"/>
  <c r="F37" i="3"/>
  <c r="E37" i="3"/>
  <c r="D37" i="3"/>
  <c r="D15" i="5" s="1"/>
  <c r="C37" i="3"/>
  <c r="C15" i="5" s="1"/>
  <c r="A37" i="3"/>
  <c r="A15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H36" i="3"/>
  <c r="G36" i="3"/>
  <c r="F36" i="3"/>
  <c r="E36" i="3"/>
  <c r="E18" i="5" s="1"/>
  <c r="D36" i="3"/>
  <c r="D18" i="5" s="1"/>
  <c r="C36" i="3"/>
  <c r="C18" i="5" s="1"/>
  <c r="A36" i="3"/>
  <c r="A18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H35" i="3"/>
  <c r="G35" i="3"/>
  <c r="F35" i="3"/>
  <c r="E35" i="3"/>
  <c r="E7" i="5" s="1"/>
  <c r="D35" i="3"/>
  <c r="D7" i="5" s="1"/>
  <c r="C35" i="3"/>
  <c r="C7" i="5" s="1"/>
  <c r="A35" i="3"/>
  <c r="A7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H34" i="3"/>
  <c r="G34" i="3"/>
  <c r="F34" i="3"/>
  <c r="E34" i="3"/>
  <c r="E12" i="5" s="1"/>
  <c r="D34" i="3"/>
  <c r="D12" i="5" s="1"/>
  <c r="C34" i="3"/>
  <c r="C12" i="5" s="1"/>
  <c r="A34" i="3"/>
  <c r="A1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H33" i="3"/>
  <c r="G33" i="3"/>
  <c r="F33" i="3"/>
  <c r="E33" i="3"/>
  <c r="E21" i="5" s="1"/>
  <c r="D33" i="3"/>
  <c r="D21" i="5" s="1"/>
  <c r="C33" i="3"/>
  <c r="C21" i="5" s="1"/>
  <c r="A33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H32" i="3"/>
  <c r="G32" i="3"/>
  <c r="F32" i="3"/>
  <c r="E32" i="3"/>
  <c r="D32" i="3"/>
  <c r="D27" i="5" s="1"/>
  <c r="C32" i="3"/>
  <c r="C27" i="5" s="1"/>
  <c r="A32" i="3"/>
  <c r="A27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H31" i="3"/>
  <c r="G31" i="3"/>
  <c r="F31" i="3"/>
  <c r="E31" i="3"/>
  <c r="E3" i="5" s="1"/>
  <c r="D31" i="3"/>
  <c r="D3" i="5" s="1"/>
  <c r="C31" i="3"/>
  <c r="C3" i="5" s="1"/>
  <c r="A31" i="3"/>
  <c r="A3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H30" i="3"/>
  <c r="G30" i="3"/>
  <c r="F30" i="3"/>
  <c r="E30" i="3"/>
  <c r="E6" i="5" s="1"/>
  <c r="D30" i="3"/>
  <c r="D6" i="5" s="1"/>
  <c r="C30" i="3"/>
  <c r="C6" i="5" s="1"/>
  <c r="A30" i="3"/>
  <c r="A6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H29" i="3"/>
  <c r="G29" i="3"/>
  <c r="F29" i="3"/>
  <c r="E29" i="3"/>
  <c r="E17" i="5" s="1"/>
  <c r="D29" i="3"/>
  <c r="D17" i="5" s="1"/>
  <c r="C29" i="3"/>
  <c r="C17" i="5" s="1"/>
  <c r="A29" i="3"/>
  <c r="A17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H28" i="3"/>
  <c r="G28" i="3"/>
  <c r="F28" i="3"/>
  <c r="E28" i="3"/>
  <c r="E25" i="5" s="1"/>
  <c r="D28" i="3"/>
  <c r="D25" i="5" s="1"/>
  <c r="C28" i="3"/>
  <c r="C25" i="5" s="1"/>
  <c r="A28" i="3"/>
  <c r="A25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H27" i="3"/>
  <c r="G27" i="3"/>
  <c r="F27" i="3"/>
  <c r="E27" i="3"/>
  <c r="E11" i="5" s="1"/>
  <c r="D27" i="3"/>
  <c r="D11" i="5" s="1"/>
  <c r="C27" i="3"/>
  <c r="C11" i="5" s="1"/>
  <c r="A27" i="3"/>
  <c r="A11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H26" i="3"/>
  <c r="G26" i="3"/>
  <c r="F26" i="3"/>
  <c r="E26" i="3"/>
  <c r="E22" i="5" s="1"/>
  <c r="D26" i="3"/>
  <c r="D22" i="5" s="1"/>
  <c r="C26" i="3"/>
  <c r="C22" i="5" s="1"/>
  <c r="A26" i="3"/>
  <c r="A22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H25" i="3"/>
  <c r="G25" i="3"/>
  <c r="F25" i="3"/>
  <c r="E25" i="3"/>
  <c r="D25" i="3"/>
  <c r="D14" i="5" s="1"/>
  <c r="C25" i="3"/>
  <c r="C14" i="5" s="1"/>
  <c r="A25" i="3"/>
  <c r="A14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H24" i="3"/>
  <c r="G24" i="3"/>
  <c r="F24" i="3"/>
  <c r="E24" i="3"/>
  <c r="E20" i="5" s="1"/>
  <c r="D24" i="3"/>
  <c r="D20" i="5" s="1"/>
  <c r="C24" i="3"/>
  <c r="C20" i="5" s="1"/>
  <c r="A24" i="3"/>
  <c r="A20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H23" i="3"/>
  <c r="G23" i="3"/>
  <c r="F23" i="3"/>
  <c r="E23" i="3"/>
  <c r="E5" i="5" s="1"/>
  <c r="D23" i="3"/>
  <c r="D5" i="5" s="1"/>
  <c r="C23" i="3"/>
  <c r="C5" i="5" s="1"/>
  <c r="A23" i="3"/>
  <c r="A5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H22" i="3"/>
  <c r="G22" i="3"/>
  <c r="F22" i="3"/>
  <c r="E22" i="3"/>
  <c r="E16" i="5" s="1"/>
  <c r="D22" i="3"/>
  <c r="D16" i="5" s="1"/>
  <c r="C22" i="3"/>
  <c r="C16" i="5" s="1"/>
  <c r="A22" i="3"/>
  <c r="A16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H21" i="3"/>
  <c r="G21" i="3"/>
  <c r="F21" i="3"/>
  <c r="E21" i="3"/>
  <c r="E37" i="5" s="1"/>
  <c r="D21" i="3"/>
  <c r="D37" i="5" s="1"/>
  <c r="C21" i="3"/>
  <c r="C37" i="5" s="1"/>
  <c r="A21" i="3"/>
  <c r="A37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H20" i="3"/>
  <c r="G20" i="3"/>
  <c r="F20" i="3"/>
  <c r="E20" i="3"/>
  <c r="E26" i="5" s="1"/>
  <c r="D20" i="3"/>
  <c r="D26" i="5" s="1"/>
  <c r="C20" i="3"/>
  <c r="C26" i="5" s="1"/>
  <c r="A20" i="3"/>
  <c r="A26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H19" i="3"/>
  <c r="G19" i="3"/>
  <c r="F19" i="3"/>
  <c r="E19" i="3"/>
  <c r="E28" i="5" s="1"/>
  <c r="D19" i="3"/>
  <c r="D28" i="5" s="1"/>
  <c r="C19" i="3"/>
  <c r="C28" i="5" s="1"/>
  <c r="A19" i="3"/>
  <c r="A28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H18" i="3"/>
  <c r="G18" i="3"/>
  <c r="F18" i="3"/>
  <c r="E18" i="3"/>
  <c r="E32" i="5" s="1"/>
  <c r="D18" i="3"/>
  <c r="D32" i="5" s="1"/>
  <c r="C18" i="3"/>
  <c r="C32" i="5" s="1"/>
  <c r="A18" i="3"/>
  <c r="A3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H17" i="3"/>
  <c r="G17" i="3"/>
  <c r="F17" i="3"/>
  <c r="E17" i="3"/>
  <c r="E35" i="5" s="1"/>
  <c r="D17" i="3"/>
  <c r="D35" i="5" s="1"/>
  <c r="C17" i="3"/>
  <c r="C35" i="5" s="1"/>
  <c r="A17" i="3"/>
  <c r="A35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H16" i="3"/>
  <c r="G16" i="3"/>
  <c r="F16" i="3"/>
  <c r="E16" i="3"/>
  <c r="E13" i="5" s="1"/>
  <c r="D16" i="3"/>
  <c r="D13" i="5" s="1"/>
  <c r="C16" i="3"/>
  <c r="C13" i="5" s="1"/>
  <c r="A16" i="3"/>
  <c r="A13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H15" i="3"/>
  <c r="G15" i="3"/>
  <c r="F15" i="3"/>
  <c r="E15" i="3"/>
  <c r="E39" i="5" s="1"/>
  <c r="D15" i="3"/>
  <c r="D39" i="5" s="1"/>
  <c r="C15" i="3"/>
  <c r="C39" i="5" s="1"/>
  <c r="A15" i="3"/>
  <c r="A39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H14" i="3"/>
  <c r="G14" i="3"/>
  <c r="F14" i="3"/>
  <c r="E14" i="3"/>
  <c r="D14" i="3"/>
  <c r="D24" i="5" s="1"/>
  <c r="C14" i="3"/>
  <c r="C24" i="5" s="1"/>
  <c r="A14" i="3"/>
  <c r="A24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H13" i="3"/>
  <c r="G13" i="3"/>
  <c r="F13" i="3"/>
  <c r="E13" i="3"/>
  <c r="E33" i="5" s="1"/>
  <c r="D13" i="3"/>
  <c r="D33" i="5" s="1"/>
  <c r="C13" i="3"/>
  <c r="C33" i="5" s="1"/>
  <c r="A13" i="3"/>
  <c r="A33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H12" i="3"/>
  <c r="G12" i="3"/>
  <c r="F12" i="3"/>
  <c r="E12" i="3"/>
  <c r="E36" i="5" s="1"/>
  <c r="D12" i="3"/>
  <c r="D36" i="5" s="1"/>
  <c r="C12" i="3"/>
  <c r="C36" i="5" s="1"/>
  <c r="A12" i="3"/>
  <c r="A3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H11" i="3"/>
  <c r="G11" i="3"/>
  <c r="F11" i="3"/>
  <c r="E11" i="3"/>
  <c r="E41" i="5" s="1"/>
  <c r="D11" i="3"/>
  <c r="D41" i="5" s="1"/>
  <c r="C11" i="3"/>
  <c r="C41" i="5" s="1"/>
  <c r="A11" i="3"/>
  <c r="A41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H10" i="3"/>
  <c r="G10" i="3"/>
  <c r="F10" i="3"/>
  <c r="E10" i="3"/>
  <c r="E10" i="5" s="1"/>
  <c r="D10" i="3"/>
  <c r="D10" i="5" s="1"/>
  <c r="C10" i="3"/>
  <c r="C10" i="5" s="1"/>
  <c r="A10" i="3"/>
  <c r="A1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H9" i="3"/>
  <c r="G9" i="3"/>
  <c r="F9" i="3"/>
  <c r="E9" i="3"/>
  <c r="E34" i="5" s="1"/>
  <c r="D9" i="3"/>
  <c r="D34" i="5" s="1"/>
  <c r="C9" i="3"/>
  <c r="C34" i="5" s="1"/>
  <c r="A9" i="3"/>
  <c r="A3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H8" i="3"/>
  <c r="G8" i="3"/>
  <c r="F8" i="3"/>
  <c r="E8" i="3"/>
  <c r="E8" i="5" s="1"/>
  <c r="D8" i="3"/>
  <c r="D8" i="5" s="1"/>
  <c r="C8" i="3"/>
  <c r="C8" i="5" s="1"/>
  <c r="A8" i="3"/>
  <c r="A8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H6" i="3"/>
  <c r="G6" i="3"/>
  <c r="F6" i="3"/>
  <c r="E6" i="3"/>
  <c r="E31" i="5" s="1"/>
  <c r="D6" i="3"/>
  <c r="D31" i="5" s="1"/>
  <c r="C6" i="3"/>
  <c r="C31" i="5" s="1"/>
  <c r="A6" i="3"/>
  <c r="A31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H5" i="3"/>
  <c r="G5" i="3"/>
  <c r="F5" i="3"/>
  <c r="E5" i="3"/>
  <c r="E19" i="5" s="1"/>
  <c r="D5" i="3"/>
  <c r="D19" i="5" s="1"/>
  <c r="C5" i="3"/>
  <c r="C19" i="5" s="1"/>
  <c r="A5" i="3"/>
  <c r="A19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H4" i="3"/>
  <c r="G4" i="3"/>
  <c r="F4" i="3"/>
  <c r="E4" i="3"/>
  <c r="E38" i="5" s="1"/>
  <c r="D4" i="3"/>
  <c r="D38" i="5" s="1"/>
  <c r="C4" i="3"/>
  <c r="C38" i="5" s="1"/>
  <c r="A4" i="3"/>
  <c r="A38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H3" i="3"/>
  <c r="G3" i="3"/>
  <c r="F3" i="3"/>
  <c r="E3" i="3"/>
  <c r="E30" i="5" s="1"/>
  <c r="D3" i="3"/>
  <c r="D30" i="5" s="1"/>
  <c r="C3" i="3"/>
  <c r="C30" i="5" s="1"/>
  <c r="A3" i="3"/>
  <c r="A30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H2" i="3"/>
  <c r="G2" i="3"/>
  <c r="F2" i="3"/>
  <c r="E2" i="3"/>
  <c r="E40" i="5" s="1"/>
  <c r="D2" i="3"/>
  <c r="D40" i="5" s="1"/>
  <c r="C2" i="3"/>
  <c r="C40" i="5" s="1"/>
  <c r="A2" i="3"/>
  <c r="A40" i="5" s="1"/>
  <c r="J48" i="3" l="1"/>
  <c r="R50" i="3"/>
  <c r="N50" i="5" s="1"/>
  <c r="K48" i="3"/>
  <c r="G48" i="5" s="1"/>
  <c r="L48" i="3"/>
  <c r="H48" i="5" s="1"/>
  <c r="O27" i="3"/>
  <c r="K11" i="5" s="1"/>
  <c r="N46" i="3"/>
  <c r="J46" i="5" s="1"/>
  <c r="O49" i="3"/>
  <c r="K49" i="5" s="1"/>
  <c r="M46" i="3"/>
  <c r="I46" i="5" s="1"/>
  <c r="P48" i="3"/>
  <c r="L48" i="5" s="1"/>
  <c r="J47" i="3"/>
  <c r="L39" i="3"/>
  <c r="H9" i="5" s="1"/>
  <c r="Q36" i="3"/>
  <c r="M18" i="5" s="1"/>
  <c r="K30" i="3"/>
  <c r="G6" i="5" s="1"/>
  <c r="J35" i="3"/>
  <c r="J37" i="3"/>
  <c r="N40" i="3"/>
  <c r="J4" i="5" s="1"/>
  <c r="K33" i="3"/>
  <c r="G21" i="5" s="1"/>
  <c r="K32" i="3"/>
  <c r="G27" i="5" s="1"/>
  <c r="K31" i="3"/>
  <c r="G3" i="5" s="1"/>
  <c r="L29" i="3"/>
  <c r="H17" i="5" s="1"/>
  <c r="P28" i="3"/>
  <c r="L25" i="5" s="1"/>
  <c r="J34" i="3"/>
  <c r="F12" i="5" s="1"/>
  <c r="P41" i="3"/>
  <c r="L23" i="5" s="1"/>
  <c r="AB34" i="5" s="1"/>
  <c r="L26" i="3"/>
  <c r="H22" i="5" s="1"/>
  <c r="J26" i="3"/>
  <c r="F22" i="5" s="1"/>
  <c r="J13" i="3"/>
  <c r="F33" i="5" s="1"/>
  <c r="N14" i="3"/>
  <c r="J24" i="5" s="1"/>
  <c r="M9" i="3"/>
  <c r="I34" i="5" s="1"/>
  <c r="R31" i="3"/>
  <c r="N3" i="5" s="1"/>
  <c r="P43" i="3"/>
  <c r="L43" i="5" s="1"/>
  <c r="J44" i="3"/>
  <c r="F44" i="5" s="1"/>
  <c r="J38" i="3"/>
  <c r="F2" i="5" s="1"/>
  <c r="Q37" i="3"/>
  <c r="M15" i="5" s="1"/>
  <c r="P34" i="3"/>
  <c r="L12" i="5" s="1"/>
  <c r="O36" i="3"/>
  <c r="K18" i="5" s="1"/>
  <c r="AB23" i="5" s="1"/>
  <c r="J39" i="3"/>
  <c r="F9" i="5" s="1"/>
  <c r="R30" i="3"/>
  <c r="N6" i="5" s="1"/>
  <c r="Q29" i="3"/>
  <c r="M17" i="5" s="1"/>
  <c r="O32" i="3"/>
  <c r="K27" i="5" s="1"/>
  <c r="R33" i="3"/>
  <c r="N21" i="5" s="1"/>
  <c r="P40" i="3"/>
  <c r="L4" i="5" s="1"/>
  <c r="P45" i="3"/>
  <c r="L45" i="5" s="1"/>
  <c r="L30" i="3"/>
  <c r="H6" i="5" s="1"/>
  <c r="O35" i="3"/>
  <c r="K7" i="5" s="1"/>
  <c r="R42" i="3"/>
  <c r="N42" i="5" s="1"/>
  <c r="K38" i="3"/>
  <c r="G2" i="5" s="1"/>
  <c r="N33" i="3"/>
  <c r="J21" i="5" s="1"/>
  <c r="R29" i="3"/>
  <c r="N17" i="5" s="1"/>
  <c r="R28" i="3"/>
  <c r="N25" i="5" s="1"/>
  <c r="M31" i="3"/>
  <c r="I3" i="5" s="1"/>
  <c r="O39" i="3"/>
  <c r="K9" i="5" s="1"/>
  <c r="L40" i="3"/>
  <c r="H4" i="5" s="1"/>
  <c r="Q28" i="3"/>
  <c r="M25" i="5" s="1"/>
  <c r="M40" i="3"/>
  <c r="I4" i="5" s="1"/>
  <c r="O41" i="3"/>
  <c r="K23" i="5" s="1"/>
  <c r="R32" i="3"/>
  <c r="N27" i="5" s="1"/>
  <c r="N26" i="3"/>
  <c r="J22" i="5" s="1"/>
  <c r="J12" i="3"/>
  <c r="F36" i="5" s="1"/>
  <c r="L15" i="3"/>
  <c r="H39" i="5" s="1"/>
  <c r="P3" i="3"/>
  <c r="L30" i="5" s="1"/>
  <c r="O13" i="3"/>
  <c r="K33" i="5" s="1"/>
  <c r="Q2" i="3"/>
  <c r="M40" i="5" s="1"/>
  <c r="O7" i="3"/>
  <c r="K29" i="5" s="1"/>
  <c r="P6" i="3"/>
  <c r="L31" i="5" s="1"/>
  <c r="P25" i="3"/>
  <c r="L14" i="5" s="1"/>
  <c r="K18" i="3"/>
  <c r="G32" i="5" s="1"/>
  <c r="J9" i="3"/>
  <c r="F34" i="5" s="1"/>
  <c r="R22" i="3"/>
  <c r="N16" i="5" s="1"/>
  <c r="J4" i="3"/>
  <c r="F38" i="5" s="1"/>
  <c r="R9" i="3"/>
  <c r="N34" i="5" s="1"/>
  <c r="L10" i="3"/>
  <c r="H10" i="5" s="1"/>
  <c r="N8" i="3"/>
  <c r="J8" i="5" s="1"/>
  <c r="P26" i="3"/>
  <c r="L22" i="5" s="1"/>
  <c r="R3" i="3"/>
  <c r="N30" i="5" s="1"/>
  <c r="R23" i="3"/>
  <c r="N5" i="5" s="1"/>
  <c r="O17" i="3"/>
  <c r="K35" i="5" s="1"/>
  <c r="N5" i="3"/>
  <c r="J19" i="5" s="1"/>
  <c r="P16" i="3"/>
  <c r="L13" i="5" s="1"/>
  <c r="Q23" i="3"/>
  <c r="M5" i="5" s="1"/>
  <c r="R14" i="3"/>
  <c r="N24" i="5" s="1"/>
  <c r="K11" i="3"/>
  <c r="G41" i="5" s="1"/>
  <c r="R27" i="3"/>
  <c r="N11" i="5" s="1"/>
  <c r="P2" i="3"/>
  <c r="L40" i="5" s="1"/>
  <c r="Q27" i="3"/>
  <c r="M11" i="5" s="1"/>
  <c r="Q19" i="3"/>
  <c r="M28" i="5" s="1"/>
  <c r="O2" i="3"/>
  <c r="K40" i="5" s="1"/>
  <c r="Q24" i="3"/>
  <c r="M20" i="5" s="1"/>
  <c r="T33" i="5"/>
  <c r="F54" i="5"/>
  <c r="F47" i="5"/>
  <c r="U36" i="5"/>
  <c r="U38" i="5"/>
  <c r="AA27" i="5"/>
  <c r="AG40" i="5"/>
  <c r="Z31" i="5"/>
  <c r="T24" i="5"/>
  <c r="U31" i="5"/>
  <c r="T27" i="5"/>
  <c r="AA37" i="5"/>
  <c r="T31" i="5"/>
  <c r="AA23" i="5"/>
  <c r="Z23" i="5"/>
  <c r="AA20" i="5"/>
  <c r="Z20" i="5"/>
  <c r="AF37" i="5"/>
  <c r="AB37" i="5"/>
  <c r="AF35" i="5"/>
  <c r="U20" i="5"/>
  <c r="Z37" i="5"/>
  <c r="T20" i="5"/>
  <c r="U27" i="5"/>
  <c r="AG39" i="5"/>
  <c r="AF39" i="5"/>
  <c r="T17" i="5"/>
  <c r="T37" i="5"/>
  <c r="Z17" i="5"/>
  <c r="P74" i="3"/>
  <c r="L74" i="5" s="1"/>
  <c r="R2" i="3"/>
  <c r="N40" i="5" s="1"/>
  <c r="O23" i="3"/>
  <c r="K5" i="5" s="1"/>
  <c r="K39" i="3"/>
  <c r="G9" i="5" s="1"/>
  <c r="L59" i="3"/>
  <c r="H59" i="5" s="1"/>
  <c r="J59" i="3"/>
  <c r="O59" i="3"/>
  <c r="K59" i="5" s="1"/>
  <c r="K59" i="3"/>
  <c r="G59" i="5" s="1"/>
  <c r="N59" i="3"/>
  <c r="J59" i="5" s="1"/>
  <c r="M59" i="3"/>
  <c r="I59" i="5" s="1"/>
  <c r="Q89" i="3"/>
  <c r="N49" i="3"/>
  <c r="J49" i="5" s="1"/>
  <c r="M49" i="3"/>
  <c r="I49" i="5" s="1"/>
  <c r="R49" i="3"/>
  <c r="N49" i="5" s="1"/>
  <c r="Q49" i="3"/>
  <c r="M49" i="5" s="1"/>
  <c r="P49" i="3"/>
  <c r="L49" i="5" s="1"/>
  <c r="M29" i="3"/>
  <c r="I17" i="5" s="1"/>
  <c r="Q33" i="3"/>
  <c r="M21" i="5" s="1"/>
  <c r="Q34" i="3"/>
  <c r="M12" i="5" s="1"/>
  <c r="Q35" i="3"/>
  <c r="M7" i="5" s="1"/>
  <c r="AB18" i="5" s="1"/>
  <c r="R37" i="3"/>
  <c r="N15" i="5" s="1"/>
  <c r="Q47" i="3"/>
  <c r="M47" i="5" s="1"/>
  <c r="P52" i="3"/>
  <c r="L52" i="5" s="1"/>
  <c r="Q57" i="3"/>
  <c r="M57" i="5" s="1"/>
  <c r="O67" i="3"/>
  <c r="K67" i="5" s="1"/>
  <c r="N67" i="3"/>
  <c r="J67" i="5" s="1"/>
  <c r="L67" i="3"/>
  <c r="H67" i="5" s="1"/>
  <c r="M67" i="3"/>
  <c r="I67" i="5" s="1"/>
  <c r="K67" i="3"/>
  <c r="G67" i="5" s="1"/>
  <c r="J67" i="3"/>
  <c r="J77" i="3"/>
  <c r="L78" i="3"/>
  <c r="N79" i="3"/>
  <c r="B79" i="3" s="1"/>
  <c r="O92" i="3"/>
  <c r="M39" i="3"/>
  <c r="I9" i="5" s="1"/>
  <c r="L37" i="3"/>
  <c r="H15" i="5" s="1"/>
  <c r="M80" i="3"/>
  <c r="L36" i="3"/>
  <c r="H18" i="5" s="1"/>
  <c r="M34" i="3"/>
  <c r="I12" i="5" s="1"/>
  <c r="L31" i="3"/>
  <c r="H3" i="5" s="1"/>
  <c r="R39" i="3"/>
  <c r="N9" i="5" s="1"/>
  <c r="R40" i="3"/>
  <c r="N4" i="5" s="1"/>
  <c r="O40" i="3"/>
  <c r="K4" i="5" s="1"/>
  <c r="M58" i="3"/>
  <c r="I58" i="5" s="1"/>
  <c r="K58" i="3"/>
  <c r="G58" i="5" s="1"/>
  <c r="N58" i="3"/>
  <c r="J58" i="5" s="1"/>
  <c r="L58" i="3"/>
  <c r="H58" i="5" s="1"/>
  <c r="J58" i="3"/>
  <c r="O33" i="3"/>
  <c r="K21" i="5" s="1"/>
  <c r="P37" i="3"/>
  <c r="L15" i="5" s="1"/>
  <c r="M30" i="3"/>
  <c r="I6" i="5" s="1"/>
  <c r="P36" i="3"/>
  <c r="L18" i="5" s="1"/>
  <c r="R67" i="3"/>
  <c r="N67" i="5" s="1"/>
  <c r="K78" i="3"/>
  <c r="M79" i="3"/>
  <c r="AG33" i="5"/>
  <c r="AA33" i="5"/>
  <c r="Z33" i="5"/>
  <c r="R8" i="3"/>
  <c r="N8" i="5" s="1"/>
  <c r="P18" i="3"/>
  <c r="L32" i="5" s="1"/>
  <c r="O18" i="3"/>
  <c r="K32" i="5" s="1"/>
  <c r="J28" i="3"/>
  <c r="N30" i="3"/>
  <c r="J6" i="5" s="1"/>
  <c r="O31" i="3"/>
  <c r="K3" i="5" s="1"/>
  <c r="P32" i="3"/>
  <c r="L27" i="5" s="1"/>
  <c r="K7" i="3"/>
  <c r="G29" i="5" s="1"/>
  <c r="J17" i="3"/>
  <c r="L28" i="3"/>
  <c r="H25" i="5" s="1"/>
  <c r="N29" i="3"/>
  <c r="J17" i="5" s="1"/>
  <c r="O30" i="3"/>
  <c r="K6" i="5" s="1"/>
  <c r="P31" i="3"/>
  <c r="L3" i="5" s="1"/>
  <c r="Q32" i="3"/>
  <c r="M27" i="5" s="1"/>
  <c r="R34" i="3"/>
  <c r="N12" i="5" s="1"/>
  <c r="R35" i="3"/>
  <c r="N7" i="5" s="1"/>
  <c r="R36" i="3"/>
  <c r="N18" i="5" s="1"/>
  <c r="J46" i="3"/>
  <c r="L56" i="3"/>
  <c r="H56" i="5" s="1"/>
  <c r="P62" i="3"/>
  <c r="L62" i="5" s="1"/>
  <c r="M62" i="3"/>
  <c r="I62" i="5" s="1"/>
  <c r="L62" i="3"/>
  <c r="H62" i="5" s="1"/>
  <c r="O62" i="3"/>
  <c r="K62" i="5" s="1"/>
  <c r="N62" i="3"/>
  <c r="J62" i="5" s="1"/>
  <c r="K62" i="3"/>
  <c r="G62" i="5" s="1"/>
  <c r="J62" i="3"/>
  <c r="K77" i="3"/>
  <c r="M78" i="3"/>
  <c r="Q79" i="3"/>
  <c r="P92" i="3"/>
  <c r="R96" i="3"/>
  <c r="U33" i="5"/>
  <c r="L7" i="3"/>
  <c r="H29" i="5" s="1"/>
  <c r="L14" i="3"/>
  <c r="H24" i="5" s="1"/>
  <c r="K17" i="3"/>
  <c r="G35" i="5" s="1"/>
  <c r="K27" i="3"/>
  <c r="G11" i="5" s="1"/>
  <c r="M28" i="3"/>
  <c r="I25" i="5" s="1"/>
  <c r="O29" i="3"/>
  <c r="K17" i="5" s="1"/>
  <c r="P30" i="3"/>
  <c r="L6" i="5" s="1"/>
  <c r="Q31" i="3"/>
  <c r="M3" i="5" s="1"/>
  <c r="J33" i="3"/>
  <c r="R43" i="3"/>
  <c r="N43" i="5" s="1"/>
  <c r="K46" i="3"/>
  <c r="G46" i="5" s="1"/>
  <c r="N56" i="3"/>
  <c r="J56" i="5" s="1"/>
  <c r="N57" i="3"/>
  <c r="J57" i="5" s="1"/>
  <c r="L57" i="3"/>
  <c r="H57" i="5" s="1"/>
  <c r="J57" i="3"/>
  <c r="K57" i="3"/>
  <c r="G57" i="5" s="1"/>
  <c r="J76" i="3"/>
  <c r="L77" i="3"/>
  <c r="N78" i="3"/>
  <c r="B78" i="3" s="1"/>
  <c r="P79" i="3"/>
  <c r="J83" i="3"/>
  <c r="Q92" i="3"/>
  <c r="M27" i="3"/>
  <c r="I11" i="5" s="1"/>
  <c r="N28" i="3"/>
  <c r="J25" i="5" s="1"/>
  <c r="P29" i="3"/>
  <c r="L17" i="5" s="1"/>
  <c r="Q30" i="3"/>
  <c r="M6" i="5" s="1"/>
  <c r="J32" i="3"/>
  <c r="M47" i="3"/>
  <c r="I47" i="5" s="1"/>
  <c r="P56" i="3"/>
  <c r="L56" i="5" s="1"/>
  <c r="P66" i="3"/>
  <c r="L66" i="5" s="1"/>
  <c r="J74" i="3"/>
  <c r="J75" i="3"/>
  <c r="K76" i="3"/>
  <c r="M77" i="3"/>
  <c r="O78" i="3"/>
  <c r="R79" i="3"/>
  <c r="R7" i="3"/>
  <c r="N29" i="5" s="1"/>
  <c r="N17" i="3"/>
  <c r="J35" i="5" s="1"/>
  <c r="M17" i="3"/>
  <c r="I35" i="5" s="1"/>
  <c r="R17" i="3"/>
  <c r="N35" i="5" s="1"/>
  <c r="Q17" i="3"/>
  <c r="M35" i="5" s="1"/>
  <c r="P17" i="3"/>
  <c r="L35" i="5" s="1"/>
  <c r="L17" i="3"/>
  <c r="H35" i="5" s="1"/>
  <c r="N27" i="3"/>
  <c r="J11" i="5" s="1"/>
  <c r="O28" i="3"/>
  <c r="K25" i="5" s="1"/>
  <c r="J31" i="3"/>
  <c r="K73" i="3"/>
  <c r="G73" i="5" s="1"/>
  <c r="K74" i="3"/>
  <c r="G74" i="5" s="1"/>
  <c r="K75" i="3"/>
  <c r="L76" i="3"/>
  <c r="N77" i="3"/>
  <c r="Q87" i="3"/>
  <c r="N92" i="3"/>
  <c r="M92" i="3"/>
  <c r="K92" i="3"/>
  <c r="J92" i="3"/>
  <c r="L92" i="3"/>
  <c r="M73" i="3"/>
  <c r="I73" i="5" s="1"/>
  <c r="M74" i="3"/>
  <c r="I74" i="5" s="1"/>
  <c r="M75" i="3"/>
  <c r="N76" i="3"/>
  <c r="P77" i="3"/>
  <c r="P91" i="3"/>
  <c r="R99" i="3"/>
  <c r="M6" i="3"/>
  <c r="I31" i="5" s="1"/>
  <c r="J16" i="3"/>
  <c r="K21" i="3"/>
  <c r="G37" i="5" s="1"/>
  <c r="L45" i="3"/>
  <c r="H45" i="5" s="1"/>
  <c r="M51" i="3"/>
  <c r="I51" i="5" s="1"/>
  <c r="L52" i="3"/>
  <c r="H52" i="5" s="1"/>
  <c r="R52" i="3"/>
  <c r="N52" i="5" s="1"/>
  <c r="N75" i="3"/>
  <c r="J5" i="3"/>
  <c r="J86" i="3"/>
  <c r="R90" i="3"/>
  <c r="R95" i="3"/>
  <c r="Q95" i="3"/>
  <c r="P95" i="3"/>
  <c r="O95" i="3"/>
  <c r="L95" i="3"/>
  <c r="N95" i="3"/>
  <c r="M95" i="3"/>
  <c r="T35" i="5"/>
  <c r="Z40" i="5"/>
  <c r="Q68" i="3"/>
  <c r="M68" i="5" s="1"/>
  <c r="L35" i="3"/>
  <c r="H7" i="5" s="1"/>
  <c r="Q40" i="3"/>
  <c r="M4" i="5" s="1"/>
  <c r="N37" i="3"/>
  <c r="J15" i="5" s="1"/>
  <c r="K97" i="3"/>
  <c r="P97" i="3"/>
  <c r="M97" i="3"/>
  <c r="N18" i="3"/>
  <c r="J32" i="5" s="1"/>
  <c r="N36" i="3"/>
  <c r="J18" i="5" s="1"/>
  <c r="K79" i="3"/>
  <c r="O34" i="3"/>
  <c r="K12" i="5" s="1"/>
  <c r="P33" i="3"/>
  <c r="L21" i="5" s="1"/>
  <c r="P27" i="3"/>
  <c r="L11" i="5" s="1"/>
  <c r="O66" i="3"/>
  <c r="K66" i="5" s="1"/>
  <c r="L66" i="3"/>
  <c r="H66" i="5" s="1"/>
  <c r="N66" i="3"/>
  <c r="J66" i="5" s="1"/>
  <c r="M66" i="3"/>
  <c r="I66" i="5" s="1"/>
  <c r="K66" i="3"/>
  <c r="G66" i="5" s="1"/>
  <c r="J66" i="3"/>
  <c r="Q65" i="3"/>
  <c r="M65" i="5" s="1"/>
  <c r="Q73" i="3"/>
  <c r="M73" i="5" s="1"/>
  <c r="Q72" i="3"/>
  <c r="M72" i="5" s="1"/>
  <c r="N4" i="3"/>
  <c r="J38" i="5" s="1"/>
  <c r="L16" i="3"/>
  <c r="H13" i="5" s="1"/>
  <c r="AB39" i="5" s="1"/>
  <c r="L24" i="3"/>
  <c r="H20" i="5" s="1"/>
  <c r="AG34" i="5"/>
  <c r="M43" i="3"/>
  <c r="I43" i="5" s="1"/>
  <c r="N54" i="3"/>
  <c r="J54" i="5" s="1"/>
  <c r="P70" i="3"/>
  <c r="L70" i="5" s="1"/>
  <c r="L71" i="3"/>
  <c r="H71" i="5" s="1"/>
  <c r="K71" i="3"/>
  <c r="G71" i="5" s="1"/>
  <c r="J71" i="3"/>
  <c r="N82" i="3"/>
  <c r="R98" i="3"/>
  <c r="L38" i="3"/>
  <c r="H2" i="5" s="1"/>
  <c r="K35" i="3"/>
  <c r="G7" i="5" s="1"/>
  <c r="N38" i="3"/>
  <c r="J2" i="5" s="1"/>
  <c r="M35" i="3"/>
  <c r="I7" i="5" s="1"/>
  <c r="O37" i="3"/>
  <c r="K15" i="5" s="1"/>
  <c r="R18" i="3"/>
  <c r="N32" i="5" s="1"/>
  <c r="N32" i="3"/>
  <c r="J27" i="5" s="1"/>
  <c r="R38" i="3"/>
  <c r="N2" i="5" s="1"/>
  <c r="Q44" i="3"/>
  <c r="M44" i="5" s="1"/>
  <c r="N44" i="3"/>
  <c r="J44" i="5" s="1"/>
  <c r="N48" i="3"/>
  <c r="J48" i="5" s="1"/>
  <c r="R48" i="3"/>
  <c r="N48" i="5" s="1"/>
  <c r="Q78" i="3"/>
  <c r="M5" i="3"/>
  <c r="I19" i="5" s="1"/>
  <c r="M4" i="3"/>
  <c r="I38" i="5" s="1"/>
  <c r="N25" i="3"/>
  <c r="J14" i="5" s="1"/>
  <c r="L25" i="3"/>
  <c r="H14" i="5" s="1"/>
  <c r="J25" i="3"/>
  <c r="Q25" i="3"/>
  <c r="M14" i="5" s="1"/>
  <c r="AB21" i="5" s="1"/>
  <c r="N86" i="3"/>
  <c r="J3" i="3"/>
  <c r="K3" i="3"/>
  <c r="G30" i="5" s="1"/>
  <c r="Q4" i="3"/>
  <c r="M38" i="5" s="1"/>
  <c r="P24" i="3"/>
  <c r="L20" i="5" s="1"/>
  <c r="J42" i="3"/>
  <c r="N43" i="3"/>
  <c r="J43" i="5" s="1"/>
  <c r="M50" i="3"/>
  <c r="I50" i="5" s="1"/>
  <c r="Q54" i="3"/>
  <c r="M54" i="5" s="1"/>
  <c r="O54" i="3"/>
  <c r="K54" i="5" s="1"/>
  <c r="M54" i="3"/>
  <c r="I54" i="5" s="1"/>
  <c r="L54" i="3"/>
  <c r="H54" i="5" s="1"/>
  <c r="K54" i="3"/>
  <c r="G54" i="5" s="1"/>
  <c r="R54" i="3"/>
  <c r="N54" i="5" s="1"/>
  <c r="P54" i="3"/>
  <c r="L54" i="5" s="1"/>
  <c r="K60" i="3"/>
  <c r="G60" i="5" s="1"/>
  <c r="P60" i="3"/>
  <c r="L60" i="5" s="1"/>
  <c r="O60" i="3"/>
  <c r="K60" i="5" s="1"/>
  <c r="M60" i="3"/>
  <c r="I60" i="5" s="1"/>
  <c r="N60" i="3"/>
  <c r="J60" i="5" s="1"/>
  <c r="L60" i="3"/>
  <c r="H60" i="5" s="1"/>
  <c r="J60" i="3"/>
  <c r="Q70" i="3"/>
  <c r="M70" i="5" s="1"/>
  <c r="F15" i="5"/>
  <c r="L34" i="3"/>
  <c r="H12" i="5" s="1"/>
  <c r="M36" i="3"/>
  <c r="I18" i="5" s="1"/>
  <c r="R58" i="3"/>
  <c r="N58" i="5" s="1"/>
  <c r="M93" i="3"/>
  <c r="L93" i="3"/>
  <c r="J93" i="3"/>
  <c r="Q93" i="3"/>
  <c r="P93" i="3"/>
  <c r="O93" i="3"/>
  <c r="N93" i="3"/>
  <c r="K93" i="3"/>
  <c r="K8" i="3"/>
  <c r="G8" i="5" s="1"/>
  <c r="N35" i="3"/>
  <c r="J7" i="5" s="1"/>
  <c r="K80" i="3"/>
  <c r="J80" i="3"/>
  <c r="P35" i="3"/>
  <c r="L7" i="5" s="1"/>
  <c r="J30" i="3"/>
  <c r="M76" i="3"/>
  <c r="Q7" i="3"/>
  <c r="M29" i="5" s="1"/>
  <c r="Q21" i="3"/>
  <c r="M37" i="5" s="1"/>
  <c r="Q12" i="3"/>
  <c r="M36" i="5" s="1"/>
  <c r="AB32" i="5" s="1"/>
  <c r="Q26" i="3"/>
  <c r="M22" i="5" s="1"/>
  <c r="Q75" i="3"/>
  <c r="M26" i="3"/>
  <c r="I22" i="5" s="1"/>
  <c r="K26" i="3"/>
  <c r="G22" i="5" s="1"/>
  <c r="R26" i="3"/>
  <c r="N22" i="5" s="1"/>
  <c r="P86" i="3"/>
  <c r="R6" i="3"/>
  <c r="N31" i="5" s="1"/>
  <c r="L46" i="3"/>
  <c r="H46" i="5" s="1"/>
  <c r="P65" i="3"/>
  <c r="L65" i="5" s="1"/>
  <c r="O65" i="3"/>
  <c r="K65" i="5" s="1"/>
  <c r="M65" i="3"/>
  <c r="I65" i="5" s="1"/>
  <c r="N65" i="3"/>
  <c r="J65" i="5" s="1"/>
  <c r="L65" i="3"/>
  <c r="H65" i="5" s="1"/>
  <c r="K65" i="3"/>
  <c r="G65" i="5" s="1"/>
  <c r="J65" i="3"/>
  <c r="O46" i="3"/>
  <c r="K46" i="5" s="1"/>
  <c r="R11" i="3"/>
  <c r="N41" i="5" s="1"/>
  <c r="L3" i="3"/>
  <c r="H30" i="5" s="1"/>
  <c r="AH39" i="5" s="1"/>
  <c r="P4" i="3"/>
  <c r="L38" i="5" s="1"/>
  <c r="AH33" i="5" s="1"/>
  <c r="R5" i="3"/>
  <c r="N19" i="5" s="1"/>
  <c r="M15" i="3"/>
  <c r="I39" i="5" s="1"/>
  <c r="K42" i="3"/>
  <c r="G42" i="5" s="1"/>
  <c r="Q43" i="3"/>
  <c r="M43" i="5" s="1"/>
  <c r="P50" i="3"/>
  <c r="L50" i="5" s="1"/>
  <c r="N50" i="3"/>
  <c r="J50" i="5" s="1"/>
  <c r="K50" i="3"/>
  <c r="G50" i="5" s="1"/>
  <c r="J50" i="3"/>
  <c r="F7" i="5"/>
  <c r="R41" i="3"/>
  <c r="N23" i="5" s="1"/>
  <c r="Q41" i="3"/>
  <c r="M23" i="5" s="1"/>
  <c r="N41" i="3"/>
  <c r="J23" i="5" s="1"/>
  <c r="K36" i="3"/>
  <c r="G18" i="5" s="1"/>
  <c r="P58" i="3"/>
  <c r="L58" i="5" s="1"/>
  <c r="M37" i="3"/>
  <c r="I15" i="5" s="1"/>
  <c r="M48" i="3"/>
  <c r="I48" i="5" s="1"/>
  <c r="N68" i="3"/>
  <c r="J68" i="5" s="1"/>
  <c r="K68" i="3"/>
  <c r="G68" i="5" s="1"/>
  <c r="M68" i="3"/>
  <c r="I68" i="5" s="1"/>
  <c r="L68" i="3"/>
  <c r="H68" i="5" s="1"/>
  <c r="J68" i="3"/>
  <c r="J8" i="3"/>
  <c r="M33" i="3"/>
  <c r="I21" i="5" s="1"/>
  <c r="Q39" i="3"/>
  <c r="M9" i="5" s="1"/>
  <c r="O80" i="3"/>
  <c r="M32" i="3"/>
  <c r="I27" i="5" s="1"/>
  <c r="O12" i="3"/>
  <c r="K36" i="5" s="1"/>
  <c r="J29" i="3"/>
  <c r="K29" i="3"/>
  <c r="G17" i="5" s="1"/>
  <c r="O26" i="3"/>
  <c r="K22" i="5" s="1"/>
  <c r="O73" i="3"/>
  <c r="K73" i="5" s="1"/>
  <c r="K5" i="3"/>
  <c r="G19" i="5" s="1"/>
  <c r="O91" i="3"/>
  <c r="N91" i="3"/>
  <c r="L91" i="3"/>
  <c r="K91" i="3"/>
  <c r="J91" i="3"/>
  <c r="P55" i="3"/>
  <c r="L55" i="5" s="1"/>
  <c r="N55" i="3"/>
  <c r="J55" i="5" s="1"/>
  <c r="L55" i="3"/>
  <c r="H55" i="5" s="1"/>
  <c r="K55" i="3"/>
  <c r="G55" i="5" s="1"/>
  <c r="J55" i="3"/>
  <c r="R55" i="3"/>
  <c r="N55" i="5" s="1"/>
  <c r="P72" i="3"/>
  <c r="L72" i="5" s="1"/>
  <c r="K4" i="3"/>
  <c r="G38" i="5" s="1"/>
  <c r="P44" i="3"/>
  <c r="L44" i="5" s="1"/>
  <c r="K72" i="3"/>
  <c r="G72" i="5" s="1"/>
  <c r="J72" i="3"/>
  <c r="M83" i="3"/>
  <c r="J2" i="3"/>
  <c r="L42" i="3"/>
  <c r="H42" i="5" s="1"/>
  <c r="O69" i="3"/>
  <c r="K69" i="5" s="1"/>
  <c r="M70" i="3"/>
  <c r="I70" i="5" s="1"/>
  <c r="L70" i="3"/>
  <c r="H70" i="5" s="1"/>
  <c r="K70" i="3"/>
  <c r="G70" i="5" s="1"/>
  <c r="J70" i="3"/>
  <c r="K85" i="3"/>
  <c r="J36" i="3"/>
  <c r="K34" i="3"/>
  <c r="G12" i="5" s="1"/>
  <c r="N39" i="3"/>
  <c r="J9" i="5" s="1"/>
  <c r="O38" i="3"/>
  <c r="K2" i="5" s="1"/>
  <c r="R10" i="3"/>
  <c r="N10" i="5" s="1"/>
  <c r="M10" i="3"/>
  <c r="I10" i="5" s="1"/>
  <c r="J10" i="3"/>
  <c r="P38" i="3"/>
  <c r="L2" i="5" s="1"/>
  <c r="K47" i="3"/>
  <c r="G47" i="5" s="1"/>
  <c r="L47" i="3"/>
  <c r="H47" i="5" s="1"/>
  <c r="Q8" i="3"/>
  <c r="M8" i="5" s="1"/>
  <c r="N31" i="3"/>
  <c r="J3" i="5" s="1"/>
  <c r="N47" i="3"/>
  <c r="J47" i="5" s="1"/>
  <c r="J6" i="3"/>
  <c r="M12" i="3"/>
  <c r="I36" i="5" s="1"/>
  <c r="AF33" i="5"/>
  <c r="O56" i="3"/>
  <c r="K56" i="5" s="1"/>
  <c r="M56" i="3"/>
  <c r="I56" i="5" s="1"/>
  <c r="K56" i="3"/>
  <c r="G56" i="5" s="1"/>
  <c r="J56" i="3"/>
  <c r="K25" i="3"/>
  <c r="G14" i="5" s="1"/>
  <c r="O72" i="3"/>
  <c r="K72" i="5" s="1"/>
  <c r="R46" i="3"/>
  <c r="N46" i="5" s="1"/>
  <c r="Q74" i="3"/>
  <c r="M74" i="5" s="1"/>
  <c r="K99" i="3"/>
  <c r="M99" i="3"/>
  <c r="M16" i="3"/>
  <c r="I13" i="5" s="1"/>
  <c r="Q51" i="3"/>
  <c r="M51" i="5" s="1"/>
  <c r="J51" i="3"/>
  <c r="O71" i="3"/>
  <c r="K71" i="5" s="1"/>
  <c r="R82" i="3"/>
  <c r="Q5" i="3"/>
  <c r="M19" i="5" s="1"/>
  <c r="M44" i="3"/>
  <c r="I44" i="5" s="1"/>
  <c r="R25" i="3"/>
  <c r="N14" i="5" s="1"/>
  <c r="AA31" i="5"/>
  <c r="R75" i="3"/>
  <c r="O21" i="3"/>
  <c r="K37" i="5" s="1"/>
  <c r="R71" i="3"/>
  <c r="N71" i="5" s="1"/>
  <c r="N90" i="3"/>
  <c r="N3" i="3"/>
  <c r="J30" i="5" s="1"/>
  <c r="Q10" i="3"/>
  <c r="M10" i="5" s="1"/>
  <c r="P20" i="3"/>
  <c r="L26" i="5" s="1"/>
  <c r="R20" i="3"/>
  <c r="N26" i="5" s="1"/>
  <c r="L20" i="3"/>
  <c r="H26" i="5" s="1"/>
  <c r="K2" i="3"/>
  <c r="G40" i="5" s="1"/>
  <c r="O3" i="3"/>
  <c r="K30" i="5" s="1"/>
  <c r="R24" i="3"/>
  <c r="N20" i="5" s="1"/>
  <c r="N24" i="3"/>
  <c r="J20" i="5" s="1"/>
  <c r="J41" i="3"/>
  <c r="N42" i="3"/>
  <c r="J42" i="5" s="1"/>
  <c r="O44" i="3"/>
  <c r="K44" i="5" s="1"/>
  <c r="P64" i="3"/>
  <c r="L64" i="5" s="1"/>
  <c r="M64" i="3"/>
  <c r="I64" i="5" s="1"/>
  <c r="O64" i="3"/>
  <c r="K64" i="5" s="1"/>
  <c r="N64" i="3"/>
  <c r="J64" i="5" s="1"/>
  <c r="L64" i="3"/>
  <c r="H64" i="5" s="1"/>
  <c r="K64" i="3"/>
  <c r="G64" i="5" s="1"/>
  <c r="J64" i="3"/>
  <c r="P69" i="3"/>
  <c r="L69" i="5" s="1"/>
  <c r="O81" i="3"/>
  <c r="K98" i="3"/>
  <c r="M98" i="3"/>
  <c r="L19" i="3"/>
  <c r="H28" i="5" s="1"/>
  <c r="K19" i="3"/>
  <c r="G28" i="5" s="1"/>
  <c r="R19" i="3"/>
  <c r="N28" i="5" s="1"/>
  <c r="P19" i="3"/>
  <c r="L28" i="5" s="1"/>
  <c r="O19" i="3"/>
  <c r="K28" i="5" s="1"/>
  <c r="N19" i="3"/>
  <c r="J28" i="5" s="1"/>
  <c r="J19" i="3"/>
  <c r="K37" i="3"/>
  <c r="G15" i="5" s="1"/>
  <c r="M38" i="3"/>
  <c r="I2" i="5" s="1"/>
  <c r="J18" i="3"/>
  <c r="L32" i="3"/>
  <c r="H27" i="5" s="1"/>
  <c r="L84" i="3"/>
  <c r="N34" i="3"/>
  <c r="J12" i="5" s="1"/>
  <c r="P39" i="3"/>
  <c r="L9" i="5" s="1"/>
  <c r="M18" i="3"/>
  <c r="I32" i="5" s="1"/>
  <c r="Q38" i="3"/>
  <c r="M2" i="5" s="1"/>
  <c r="M96" i="3"/>
  <c r="K96" i="3"/>
  <c r="P96" i="3"/>
  <c r="J45" i="3"/>
  <c r="K16" i="3"/>
  <c r="G13" i="5" s="1"/>
  <c r="K28" i="3"/>
  <c r="G25" i="5" s="1"/>
  <c r="M45" i="3"/>
  <c r="I45" i="5" s="1"/>
  <c r="J61" i="3"/>
  <c r="Q61" i="3"/>
  <c r="M61" i="5" s="1"/>
  <c r="P61" i="3"/>
  <c r="L61" i="5" s="1"/>
  <c r="O61" i="3"/>
  <c r="K61" i="5" s="1"/>
  <c r="N61" i="3"/>
  <c r="J61" i="5" s="1"/>
  <c r="M61" i="3"/>
  <c r="I61" i="5" s="1"/>
  <c r="L61" i="3"/>
  <c r="H61" i="5" s="1"/>
  <c r="K61" i="3"/>
  <c r="G61" i="5" s="1"/>
  <c r="O74" i="3"/>
  <c r="K74" i="5" s="1"/>
  <c r="M25" i="3"/>
  <c r="I14" i="5" s="1"/>
  <c r="N71" i="3"/>
  <c r="J71" i="5" s="1"/>
  <c r="O25" i="3"/>
  <c r="K14" i="5" s="1"/>
  <c r="L44" i="3"/>
  <c r="H44" i="5" s="1"/>
  <c r="P71" i="3"/>
  <c r="L71" i="5" s="1"/>
  <c r="P11" i="3"/>
  <c r="L41" i="5" s="1"/>
  <c r="J43" i="3"/>
  <c r="K100" i="3"/>
  <c r="M100" i="3"/>
  <c r="L2" i="3"/>
  <c r="H40" i="5" s="1"/>
  <c r="K41" i="3"/>
  <c r="G23" i="5" s="1"/>
  <c r="O42" i="3"/>
  <c r="K42" i="5" s="1"/>
  <c r="J49" i="3"/>
  <c r="P59" i="3"/>
  <c r="L59" i="5" s="1"/>
  <c r="P94" i="3"/>
  <c r="R94" i="3"/>
  <c r="Q94" i="3"/>
  <c r="O94" i="3"/>
  <c r="N94" i="3"/>
  <c r="M94" i="3"/>
  <c r="J94" i="3"/>
  <c r="P12" i="3"/>
  <c r="L36" i="5" s="1"/>
  <c r="K12" i="3"/>
  <c r="G36" i="5" s="1"/>
  <c r="F48" i="5"/>
  <c r="P63" i="3"/>
  <c r="L63" i="5" s="1"/>
  <c r="O63" i="3"/>
  <c r="K63" i="5" s="1"/>
  <c r="M63" i="3"/>
  <c r="I63" i="5" s="1"/>
  <c r="N63" i="3"/>
  <c r="J63" i="5" s="1"/>
  <c r="L63" i="3"/>
  <c r="H63" i="5" s="1"/>
  <c r="K63" i="3"/>
  <c r="G63" i="5" s="1"/>
  <c r="J63" i="3"/>
  <c r="L33" i="3"/>
  <c r="H21" i="5" s="1"/>
  <c r="Q46" i="3"/>
  <c r="M46" i="5" s="1"/>
  <c r="L6" i="3"/>
  <c r="H31" i="5" s="1"/>
  <c r="P13" i="3"/>
  <c r="L33" i="5" s="1"/>
  <c r="V20" i="5" s="1"/>
  <c r="K13" i="3"/>
  <c r="G33" i="5" s="1"/>
  <c r="P73" i="3"/>
  <c r="L73" i="5" s="1"/>
  <c r="O45" i="3"/>
  <c r="K45" i="5" s="1"/>
  <c r="R76" i="3"/>
  <c r="Q76" i="3"/>
  <c r="J73" i="3"/>
  <c r="P5" i="3"/>
  <c r="L19" i="5" s="1"/>
  <c r="K43" i="3"/>
  <c r="G43" i="5" s="1"/>
  <c r="N2" i="3"/>
  <c r="J40" i="5" s="1"/>
  <c r="Q3" i="3"/>
  <c r="M30" i="5" s="1"/>
  <c r="R4" i="3"/>
  <c r="N38" i="5" s="1"/>
  <c r="Q11" i="3"/>
  <c r="M41" i="5" s="1"/>
  <c r="L11" i="3"/>
  <c r="H41" i="5" s="1"/>
  <c r="K14" i="3"/>
  <c r="G24" i="5" s="1"/>
  <c r="J40" i="3"/>
  <c r="L41" i="3"/>
  <c r="H23" i="5" s="1"/>
  <c r="K49" i="3"/>
  <c r="G49" i="5" s="1"/>
  <c r="K81" i="3"/>
  <c r="J81" i="3"/>
  <c r="M19" i="3"/>
  <c r="I28" i="5" s="1"/>
  <c r="K40" i="3"/>
  <c r="G4" i="5" s="1"/>
  <c r="M41" i="3"/>
  <c r="I23" i="5" s="1"/>
  <c r="Q42" i="3"/>
  <c r="M42" i="5" s="1"/>
  <c r="L49" i="3"/>
  <c r="H49" i="5" s="1"/>
  <c r="Q53" i="3"/>
  <c r="M53" i="5" s="1"/>
  <c r="R59" i="3"/>
  <c r="N59" i="5" s="1"/>
  <c r="N69" i="3"/>
  <c r="J69" i="5" s="1"/>
  <c r="M69" i="3"/>
  <c r="I69" i="5" s="1"/>
  <c r="K69" i="3"/>
  <c r="G69" i="5" s="1"/>
  <c r="L69" i="3"/>
  <c r="H69" i="5" s="1"/>
  <c r="J69" i="3"/>
  <c r="U37" i="5"/>
  <c r="AG37" i="5"/>
  <c r="M2" i="3"/>
  <c r="I40" i="5" s="1"/>
  <c r="M3" i="3"/>
  <c r="I30" i="5" s="1"/>
  <c r="L4" i="3"/>
  <c r="H38" i="5" s="1"/>
  <c r="L5" i="3"/>
  <c r="H19" i="5" s="1"/>
  <c r="K6" i="3"/>
  <c r="G31" i="5" s="1"/>
  <c r="J7" i="3"/>
  <c r="L27" i="3"/>
  <c r="H11" i="5" s="1"/>
  <c r="J27" i="3"/>
  <c r="M42" i="3"/>
  <c r="I42" i="5" s="1"/>
  <c r="L43" i="3"/>
  <c r="H43" i="5" s="1"/>
  <c r="K44" i="3"/>
  <c r="G44" i="5" s="1"/>
  <c r="K45" i="3"/>
  <c r="G45" i="5" s="1"/>
  <c r="O48" i="3"/>
  <c r="K48" i="5" s="1"/>
  <c r="R77" i="3"/>
  <c r="Q77" i="3"/>
  <c r="J85" i="3"/>
  <c r="R85" i="3"/>
  <c r="P85" i="3"/>
  <c r="O85" i="3"/>
  <c r="N85" i="3"/>
  <c r="M85" i="3"/>
  <c r="L85" i="3"/>
  <c r="AF31" i="5"/>
  <c r="O4" i="3"/>
  <c r="K38" i="5" s="1"/>
  <c r="V23" i="5" s="1"/>
  <c r="O5" i="3"/>
  <c r="K19" i="5" s="1"/>
  <c r="N6" i="3"/>
  <c r="J31" i="5" s="1"/>
  <c r="AB36" i="5" s="1"/>
  <c r="M7" i="3"/>
  <c r="I29" i="5" s="1"/>
  <c r="L8" i="3"/>
  <c r="H8" i="5" s="1"/>
  <c r="K9" i="3"/>
  <c r="G34" i="5" s="1"/>
  <c r="J15" i="3"/>
  <c r="M23" i="3"/>
  <c r="I5" i="5" s="1"/>
  <c r="P42" i="3"/>
  <c r="L42" i="5" s="1"/>
  <c r="O43" i="3"/>
  <c r="K43" i="5" s="1"/>
  <c r="N45" i="3"/>
  <c r="J45" i="5" s="1"/>
  <c r="P47" i="3"/>
  <c r="L47" i="5" s="1"/>
  <c r="P90" i="3"/>
  <c r="O90" i="3"/>
  <c r="M90" i="3"/>
  <c r="L90" i="3"/>
  <c r="K90" i="3"/>
  <c r="J90" i="3"/>
  <c r="V31" i="5"/>
  <c r="AG38" i="5"/>
  <c r="AF38" i="5"/>
  <c r="Z38" i="5"/>
  <c r="O6" i="3"/>
  <c r="K31" i="5" s="1"/>
  <c r="N7" i="3"/>
  <c r="J29" i="5" s="1"/>
  <c r="M8" i="3"/>
  <c r="I8" i="5" s="1"/>
  <c r="L9" i="3"/>
  <c r="H34" i="5" s="1"/>
  <c r="K10" i="3"/>
  <c r="G10" i="5" s="1"/>
  <c r="J11" i="3"/>
  <c r="J14" i="3"/>
  <c r="K15" i="3"/>
  <c r="G39" i="5" s="1"/>
  <c r="O24" i="3"/>
  <c r="K20" i="5" s="1"/>
  <c r="M24" i="3"/>
  <c r="I20" i="5" s="1"/>
  <c r="K24" i="3"/>
  <c r="G20" i="5" s="1"/>
  <c r="J24" i="3"/>
  <c r="Z27" i="5"/>
  <c r="AB31" i="5"/>
  <c r="T38" i="5"/>
  <c r="R89" i="3"/>
  <c r="Q6" i="3"/>
  <c r="M31" i="5" s="1"/>
  <c r="N9" i="3"/>
  <c r="J34" i="5" s="1"/>
  <c r="K53" i="3"/>
  <c r="G53" i="5" s="1"/>
  <c r="O9" i="3"/>
  <c r="K34" i="5" s="1"/>
  <c r="L12" i="3"/>
  <c r="H36" i="5" s="1"/>
  <c r="N15" i="3"/>
  <c r="J39" i="5" s="1"/>
  <c r="N16" i="3"/>
  <c r="J13" i="5" s="1"/>
  <c r="R16" i="3"/>
  <c r="N13" i="5" s="1"/>
  <c r="Q16" i="3"/>
  <c r="M13" i="5" s="1"/>
  <c r="P84" i="3"/>
  <c r="P9" i="3"/>
  <c r="L34" i="5" s="1"/>
  <c r="O10" i="3"/>
  <c r="K10" i="5" s="1"/>
  <c r="N11" i="3"/>
  <c r="J41" i="5" s="1"/>
  <c r="M13" i="3"/>
  <c r="I33" i="5" s="1"/>
  <c r="Q15" i="3"/>
  <c r="M39" i="5" s="1"/>
  <c r="N22" i="3"/>
  <c r="J16" i="5" s="1"/>
  <c r="R44" i="3"/>
  <c r="N44" i="5" s="1"/>
  <c r="P46" i="3"/>
  <c r="L46" i="5" s="1"/>
  <c r="P89" i="3"/>
  <c r="N89" i="3"/>
  <c r="M89" i="3"/>
  <c r="L89" i="3"/>
  <c r="K89" i="3"/>
  <c r="J89" i="3"/>
  <c r="AA38" i="5"/>
  <c r="O8" i="3"/>
  <c r="K8" i="5" s="1"/>
  <c r="K84" i="3"/>
  <c r="P8" i="3"/>
  <c r="L8" i="5" s="1"/>
  <c r="N10" i="3"/>
  <c r="J10" i="5" s="1"/>
  <c r="M14" i="3"/>
  <c r="I24" i="5" s="1"/>
  <c r="J22" i="3"/>
  <c r="P10" i="3"/>
  <c r="L10" i="5" s="1"/>
  <c r="O11" i="3"/>
  <c r="K41" i="5" s="1"/>
  <c r="N12" i="3"/>
  <c r="J36" i="5" s="1"/>
  <c r="N13" i="3"/>
  <c r="J33" i="5" s="1"/>
  <c r="O14" i="3"/>
  <c r="K24" i="5" s="1"/>
  <c r="P15" i="3"/>
  <c r="L39" i="5" s="1"/>
  <c r="AB33" i="5" s="1"/>
  <c r="P22" i="3"/>
  <c r="L16" i="5" s="1"/>
  <c r="J53" i="3"/>
  <c r="R53" i="3"/>
  <c r="N53" i="5" s="1"/>
  <c r="P53" i="3"/>
  <c r="L53" i="5" s="1"/>
  <c r="N53" i="3"/>
  <c r="J53" i="5" s="1"/>
  <c r="M53" i="3"/>
  <c r="I53" i="5" s="1"/>
  <c r="L53" i="3"/>
  <c r="H53" i="5" s="1"/>
  <c r="T34" i="5"/>
  <c r="AA36" i="5"/>
  <c r="Z36" i="5"/>
  <c r="AG36" i="5"/>
  <c r="AF36" i="5"/>
  <c r="P7" i="3"/>
  <c r="L29" i="5" s="1"/>
  <c r="O16" i="3"/>
  <c r="K13" i="5" s="1"/>
  <c r="R45" i="3"/>
  <c r="N45" i="5" s="1"/>
  <c r="Q45" i="3"/>
  <c r="M45" i="5" s="1"/>
  <c r="Z18" i="5"/>
  <c r="M11" i="3"/>
  <c r="I41" i="5" s="1"/>
  <c r="L13" i="3"/>
  <c r="H33" i="5" s="1"/>
  <c r="P23" i="3"/>
  <c r="L5" i="5" s="1"/>
  <c r="N23" i="3"/>
  <c r="J5" i="5" s="1"/>
  <c r="L23" i="3"/>
  <c r="H5" i="5" s="1"/>
  <c r="K23" i="3"/>
  <c r="G5" i="5" s="1"/>
  <c r="V26" i="5" s="1"/>
  <c r="J23" i="3"/>
  <c r="Q9" i="3"/>
  <c r="M34" i="5" s="1"/>
  <c r="J97" i="3"/>
  <c r="J98" i="3"/>
  <c r="J99" i="3"/>
  <c r="J100" i="3"/>
  <c r="V34" i="5"/>
  <c r="T36" i="5"/>
  <c r="R13" i="3"/>
  <c r="N33" i="5" s="1"/>
  <c r="Q13" i="3"/>
  <c r="M33" i="5" s="1"/>
  <c r="L83" i="3"/>
  <c r="K83" i="3"/>
  <c r="R83" i="3"/>
  <c r="Q83" i="3"/>
  <c r="P83" i="3"/>
  <c r="O83" i="3"/>
  <c r="N83" i="3"/>
  <c r="L96" i="3"/>
  <c r="L97" i="3"/>
  <c r="L98" i="3"/>
  <c r="L99" i="3"/>
  <c r="L100" i="3"/>
  <c r="AA34" i="5"/>
  <c r="T25" i="5"/>
  <c r="Q88" i="3"/>
  <c r="O88" i="3"/>
  <c r="N88" i="3"/>
  <c r="M88" i="3"/>
  <c r="L88" i="3"/>
  <c r="K88" i="3"/>
  <c r="J88" i="3"/>
  <c r="R12" i="3"/>
  <c r="N36" i="5" s="1"/>
  <c r="K52" i="3"/>
  <c r="G52" i="5" s="1"/>
  <c r="J82" i="3"/>
  <c r="N96" i="3"/>
  <c r="N97" i="3"/>
  <c r="N98" i="3"/>
  <c r="N99" i="3"/>
  <c r="O100" i="3"/>
  <c r="AH36" i="5"/>
  <c r="J21" i="3"/>
  <c r="R21" i="3"/>
  <c r="N37" i="5" s="1"/>
  <c r="P21" i="3"/>
  <c r="L37" i="5" s="1"/>
  <c r="N21" i="3"/>
  <c r="J37" i="5" s="1"/>
  <c r="M21" i="3"/>
  <c r="I37" i="5" s="1"/>
  <c r="L21" i="3"/>
  <c r="H37" i="5" s="1"/>
  <c r="K82" i="3"/>
  <c r="O96" i="3"/>
  <c r="O97" i="3"/>
  <c r="O98" i="3"/>
  <c r="O99" i="3"/>
  <c r="Z25" i="5"/>
  <c r="AA32" i="5"/>
  <c r="Z32" i="5"/>
  <c r="T32" i="5"/>
  <c r="AF34" i="5"/>
  <c r="P98" i="3"/>
  <c r="P99" i="3"/>
  <c r="R100" i="3"/>
  <c r="Q100" i="3"/>
  <c r="N100" i="3"/>
  <c r="Z22" i="5"/>
  <c r="U32" i="5"/>
  <c r="R15" i="3"/>
  <c r="N39" i="5" s="1"/>
  <c r="Z24" i="5"/>
  <c r="U24" i="5"/>
  <c r="U22" i="5"/>
  <c r="AB17" i="5"/>
  <c r="AA25" i="5"/>
  <c r="T22" i="5"/>
  <c r="AA17" i="5"/>
  <c r="U25" i="5"/>
  <c r="AB20" i="5"/>
  <c r="U17" i="5"/>
  <c r="AF40" i="5"/>
  <c r="Z34" i="5"/>
  <c r="U23" i="5"/>
  <c r="U39" i="5"/>
  <c r="AG35" i="5"/>
  <c r="AA26" i="5"/>
  <c r="T23" i="5"/>
  <c r="AA18" i="5"/>
  <c r="AA40" i="5"/>
  <c r="U34" i="5"/>
  <c r="V18" i="5"/>
  <c r="U26" i="5"/>
  <c r="U18" i="5"/>
  <c r="AA35" i="5"/>
  <c r="T26" i="5"/>
  <c r="AA21" i="5"/>
  <c r="T18" i="5"/>
  <c r="Z35" i="5"/>
  <c r="Z21" i="5"/>
  <c r="U40" i="5"/>
  <c r="U21" i="5"/>
  <c r="U35" i="5"/>
  <c r="AA24" i="5"/>
  <c r="T21" i="5"/>
  <c r="Q96" i="3"/>
  <c r="Q97" i="3"/>
  <c r="Q98" i="3"/>
  <c r="Q99" i="3"/>
  <c r="T19" i="5"/>
  <c r="AA22" i="5"/>
  <c r="Z41" i="5"/>
  <c r="U41" i="5"/>
  <c r="AG41" i="5"/>
  <c r="AF41" i="5"/>
  <c r="AA41" i="5"/>
  <c r="M82" i="3"/>
  <c r="U19" i="5"/>
  <c r="AB22" i="5"/>
  <c r="T39" i="5"/>
  <c r="T41" i="5"/>
  <c r="Q14" i="3"/>
  <c r="M24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26" i="5" s="1"/>
  <c r="L81" i="3"/>
  <c r="K95" i="3"/>
  <c r="J95" i="3"/>
  <c r="Z19" i="5"/>
  <c r="Z39" i="5"/>
  <c r="N20" i="3"/>
  <c r="J26" i="5" s="1"/>
  <c r="M20" i="3"/>
  <c r="I26" i="5" s="1"/>
  <c r="AB38" i="5" s="1"/>
  <c r="AA19" i="5"/>
  <c r="AF32" i="5"/>
  <c r="AA39" i="5"/>
  <c r="Q22" i="3"/>
  <c r="M16" i="5" s="1"/>
  <c r="O22" i="3"/>
  <c r="K16" i="5" s="1"/>
  <c r="M22" i="3"/>
  <c r="I16" i="5" s="1"/>
  <c r="L22" i="3"/>
  <c r="H16" i="5" s="1"/>
  <c r="K22" i="3"/>
  <c r="G16" i="5" s="1"/>
  <c r="L51" i="3"/>
  <c r="H51" i="5" s="1"/>
  <c r="K51" i="3"/>
  <c r="G51" i="5" s="1"/>
  <c r="R51" i="3"/>
  <c r="N51" i="5" s="1"/>
  <c r="P51" i="3"/>
  <c r="L51" i="5" s="1"/>
  <c r="O51" i="3"/>
  <c r="K51" i="5" s="1"/>
  <c r="N51" i="3"/>
  <c r="J51" i="5" s="1"/>
  <c r="N81" i="3"/>
  <c r="M81" i="3"/>
  <c r="R81" i="3"/>
  <c r="Q81" i="3"/>
  <c r="P81" i="3"/>
  <c r="L94" i="3"/>
  <c r="K94" i="3"/>
  <c r="Z26" i="5"/>
  <c r="AG32" i="5"/>
  <c r="R47" i="3"/>
  <c r="N47" i="5" s="1"/>
  <c r="Q48" i="3"/>
  <c r="M48" i="5" s="1"/>
  <c r="O50" i="3"/>
  <c r="K50" i="5" s="1"/>
  <c r="M52" i="3"/>
  <c r="I52" i="5" s="1"/>
  <c r="Q80" i="3"/>
  <c r="O82" i="3"/>
  <c r="M84" i="3"/>
  <c r="K86" i="3"/>
  <c r="AG31" i="5"/>
  <c r="N52" i="3"/>
  <c r="J52" i="5" s="1"/>
  <c r="R80" i="3"/>
  <c r="P82" i="3"/>
  <c r="N84" i="3"/>
  <c r="L86" i="3"/>
  <c r="T40" i="5"/>
  <c r="Q18" i="3"/>
  <c r="M32" i="5" s="1"/>
  <c r="O20" i="3"/>
  <c r="K26" i="5" s="1"/>
  <c r="Q50" i="3"/>
  <c r="M50" i="5" s="1"/>
  <c r="O52" i="3"/>
  <c r="K52" i="5" s="1"/>
  <c r="Q82" i="3"/>
  <c r="O84" i="3"/>
  <c r="M86" i="3"/>
  <c r="Q20" i="3"/>
  <c r="M26" i="5" s="1"/>
  <c r="Q52" i="3"/>
  <c r="M52" i="5" s="1"/>
  <c r="Q84" i="3"/>
  <c r="O86" i="3"/>
  <c r="Q86" i="3"/>
  <c r="O47" i="3"/>
  <c r="K47" i="5" s="1"/>
  <c r="L50" i="3"/>
  <c r="H50" i="5" s="1"/>
  <c r="J52" i="3"/>
  <c r="P78" i="3"/>
  <c r="O79" i="3"/>
  <c r="N80" i="3"/>
  <c r="L82" i="3"/>
  <c r="J84" i="3"/>
  <c r="P14" i="3"/>
  <c r="L24" i="5" s="1"/>
  <c r="O15" i="3"/>
  <c r="K39" i="5" s="1"/>
  <c r="L18" i="3"/>
  <c r="H32" i="5" s="1"/>
  <c r="J20" i="3"/>
  <c r="AB26" i="5" l="1"/>
  <c r="AH34" i="5"/>
  <c r="V25" i="5"/>
  <c r="V17" i="5"/>
  <c r="V36" i="5"/>
  <c r="V33" i="5"/>
  <c r="AH35" i="5"/>
  <c r="V39" i="5"/>
  <c r="V19" i="5"/>
  <c r="V22" i="5"/>
  <c r="AB40" i="5"/>
  <c r="AB24" i="5"/>
  <c r="AH37" i="5"/>
  <c r="AH32" i="5"/>
  <c r="AB25" i="5"/>
  <c r="V37" i="5"/>
  <c r="V35" i="5"/>
  <c r="V21" i="5"/>
  <c r="V40" i="5"/>
  <c r="V32" i="5"/>
  <c r="B37" i="3"/>
  <c r="B15" i="5" s="1"/>
  <c r="V24" i="5"/>
  <c r="AH40" i="5"/>
  <c r="AH38" i="5"/>
  <c r="AB19" i="5"/>
  <c r="V38" i="5"/>
  <c r="AB35" i="5"/>
  <c r="AH31" i="5"/>
  <c r="F63" i="5"/>
  <c r="B63" i="3"/>
  <c r="B63" i="5" s="1"/>
  <c r="B23" i="3"/>
  <c r="B5" i="5" s="1"/>
  <c r="F5" i="5"/>
  <c r="F39" i="5"/>
  <c r="B15" i="3"/>
  <c r="B39" i="5" s="1"/>
  <c r="B43" i="3"/>
  <c r="B43" i="5" s="1"/>
  <c r="F43" i="5"/>
  <c r="F28" i="5"/>
  <c r="B19" i="3"/>
  <c r="B28" i="5" s="1"/>
  <c r="B93" i="3"/>
  <c r="F14" i="5"/>
  <c r="B25" i="3"/>
  <c r="B14" i="5" s="1"/>
  <c r="F20" i="5"/>
  <c r="B24" i="3"/>
  <c r="B20" i="5" s="1"/>
  <c r="B29" i="3"/>
  <c r="B17" i="5" s="1"/>
  <c r="F17" i="5"/>
  <c r="B76" i="3"/>
  <c r="F46" i="5"/>
  <c r="B46" i="3"/>
  <c r="B46" i="5" s="1"/>
  <c r="B36" i="3"/>
  <c r="B18" i="5" s="1"/>
  <c r="F18" i="5"/>
  <c r="B65" i="3"/>
  <c r="B65" i="5" s="1"/>
  <c r="F65" i="5"/>
  <c r="B31" i="3"/>
  <c r="B3" i="5" s="1"/>
  <c r="F3" i="5"/>
  <c r="F57" i="5"/>
  <c r="B57" i="3"/>
  <c r="B57" i="5" s="1"/>
  <c r="B70" i="3"/>
  <c r="B70" i="5" s="1"/>
  <c r="F70" i="5"/>
  <c r="B86" i="3"/>
  <c r="B5" i="3"/>
  <c r="B19" i="5" s="1"/>
  <c r="F19" i="5"/>
  <c r="F24" i="5"/>
  <c r="B14" i="3"/>
  <c r="B24" i="5" s="1"/>
  <c r="F8" i="5"/>
  <c r="B8" i="3"/>
  <c r="B8" i="5" s="1"/>
  <c r="B59" i="3"/>
  <c r="B59" i="5" s="1"/>
  <c r="F59" i="5"/>
  <c r="F68" i="5"/>
  <c r="B68" i="3"/>
  <c r="B68" i="5" s="1"/>
  <c r="F64" i="5"/>
  <c r="B64" i="3"/>
  <c r="B64" i="5" s="1"/>
  <c r="B33" i="3"/>
  <c r="B21" i="5" s="1"/>
  <c r="F21" i="5"/>
  <c r="B89" i="3"/>
  <c r="B60" i="3"/>
  <c r="B60" i="5" s="1"/>
  <c r="F60" i="5"/>
  <c r="B2" i="3"/>
  <c r="B40" i="5" s="1"/>
  <c r="F40" i="5"/>
  <c r="F35" i="5"/>
  <c r="B17" i="3"/>
  <c r="B35" i="5" s="1"/>
  <c r="B66" i="3"/>
  <c r="B66" i="5" s="1"/>
  <c r="F66" i="5"/>
  <c r="F51" i="5"/>
  <c r="B51" i="3"/>
  <c r="B51" i="5" s="1"/>
  <c r="F41" i="5"/>
  <c r="B11" i="3"/>
  <c r="B41" i="5" s="1"/>
  <c r="B85" i="3"/>
  <c r="B61" i="3"/>
  <c r="B61" i="5" s="1"/>
  <c r="F61" i="5"/>
  <c r="B72" i="3"/>
  <c r="B72" i="5" s="1"/>
  <c r="F72" i="5"/>
  <c r="B4" i="3"/>
  <c r="B38" i="5" s="1"/>
  <c r="B48" i="3"/>
  <c r="B48" i="5" s="1"/>
  <c r="B77" i="3"/>
  <c r="B28" i="3"/>
  <c r="B25" i="5" s="1"/>
  <c r="F25" i="5"/>
  <c r="F67" i="5"/>
  <c r="B67" i="3"/>
  <c r="B67" i="5" s="1"/>
  <c r="B12" i="3"/>
  <c r="B36" i="5" s="1"/>
  <c r="B84" i="3"/>
  <c r="F23" i="5"/>
  <c r="B41" i="3"/>
  <c r="B23" i="5" s="1"/>
  <c r="F74" i="5"/>
  <c r="B74" i="3"/>
  <c r="B74" i="5" s="1"/>
  <c r="B47" i="3"/>
  <c r="B47" i="5" s="1"/>
  <c r="B26" i="3"/>
  <c r="B22" i="5" s="1"/>
  <c r="B90" i="3"/>
  <c r="B95" i="3"/>
  <c r="B16" i="3"/>
  <c r="B13" i="5" s="1"/>
  <c r="F13" i="5"/>
  <c r="F55" i="5"/>
  <c r="B55" i="3"/>
  <c r="B55" i="5" s="1"/>
  <c r="F53" i="5"/>
  <c r="B53" i="3"/>
  <c r="B53" i="5" s="1"/>
  <c r="F11" i="5"/>
  <c r="B27" i="3"/>
  <c r="B11" i="5" s="1"/>
  <c r="B35" i="3"/>
  <c r="B7" i="5" s="1"/>
  <c r="B54" i="3"/>
  <c r="B54" i="5" s="1"/>
  <c r="F31" i="5"/>
  <c r="B6" i="3"/>
  <c r="B31" i="5" s="1"/>
  <c r="F6" i="5"/>
  <c r="B30" i="3"/>
  <c r="B6" i="5" s="1"/>
  <c r="B94" i="3"/>
  <c r="F29" i="5"/>
  <c r="B7" i="3"/>
  <c r="B29" i="5" s="1"/>
  <c r="F50" i="5"/>
  <c r="B50" i="3"/>
  <c r="B50" i="5" s="1"/>
  <c r="F71" i="5"/>
  <c r="B71" i="3"/>
  <c r="B71" i="5" s="1"/>
  <c r="B32" i="3"/>
  <c r="B27" i="5" s="1"/>
  <c r="F27" i="5"/>
  <c r="B81" i="3"/>
  <c r="F52" i="5"/>
  <c r="B52" i="3"/>
  <c r="B52" i="5" s="1"/>
  <c r="B49" i="3"/>
  <c r="B49" i="5" s="1"/>
  <c r="F49" i="5"/>
  <c r="B80" i="3"/>
  <c r="B39" i="3"/>
  <c r="B9" i="5" s="1"/>
  <c r="B75" i="3"/>
  <c r="B73" i="3"/>
  <c r="B73" i="5" s="1"/>
  <c r="F73" i="5"/>
  <c r="B91" i="3"/>
  <c r="B34" i="3"/>
  <c r="B12" i="5" s="1"/>
  <c r="B92" i="3"/>
  <c r="B9" i="3"/>
  <c r="B34" i="5" s="1"/>
  <c r="F26" i="5"/>
  <c r="B20" i="3"/>
  <c r="B26" i="5" s="1"/>
  <c r="F4" i="5"/>
  <c r="B40" i="3"/>
  <c r="B4" i="5" s="1"/>
  <c r="B100" i="3"/>
  <c r="B42" i="3"/>
  <c r="B42" i="5" s="1"/>
  <c r="F42" i="5"/>
  <c r="F62" i="5"/>
  <c r="B62" i="3"/>
  <c r="B62" i="5" s="1"/>
  <c r="B82" i="3"/>
  <c r="B99" i="3"/>
  <c r="B13" i="3"/>
  <c r="B33" i="5" s="1"/>
  <c r="B38" i="3"/>
  <c r="B2" i="5" s="1"/>
  <c r="B69" i="3"/>
  <c r="B69" i="5" s="1"/>
  <c r="F69" i="5"/>
  <c r="F56" i="5"/>
  <c r="B56" i="3"/>
  <c r="B56" i="5" s="1"/>
  <c r="F45" i="5"/>
  <c r="B45" i="3"/>
  <c r="B45" i="5" s="1"/>
  <c r="F37" i="5"/>
  <c r="B21" i="3"/>
  <c r="B37" i="5" s="1"/>
  <c r="B98" i="3"/>
  <c r="B18" i="3"/>
  <c r="B32" i="5" s="1"/>
  <c r="F32" i="5"/>
  <c r="B97" i="3"/>
  <c r="F16" i="5"/>
  <c r="B22" i="3"/>
  <c r="B16" i="5" s="1"/>
  <c r="F10" i="5"/>
  <c r="B10" i="3"/>
  <c r="B10" i="5" s="1"/>
  <c r="B44" i="3"/>
  <c r="B44" i="5" s="1"/>
  <c r="B88" i="3"/>
  <c r="F30" i="5"/>
  <c r="B3" i="3"/>
  <c r="B30" i="5" s="1"/>
  <c r="B83" i="3"/>
  <c r="B58" i="3"/>
  <c r="B58" i="5" s="1"/>
  <c r="F58" i="5"/>
  <c r="V41" i="5" l="1"/>
  <c r="AH41" i="5"/>
  <c r="V27" i="5"/>
  <c r="AB41" i="5"/>
  <c r="AB27" i="5"/>
</calcChain>
</file>

<file path=xl/sharedStrings.xml><?xml version="1.0" encoding="utf-8"?>
<sst xmlns="http://schemas.openxmlformats.org/spreadsheetml/2006/main" count="1081" uniqueCount="299">
  <si>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</si>
  <si>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</si>
  <si>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</si>
  <si>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</si>
  <si>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</si>
  <si>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</si>
  <si>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</si>
  <si>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</si>
  <si>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</si>
  <si>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</si>
  <si>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</si>
  <si>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</si>
  <si>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</si>
  <si>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</si>
  <si>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</si>
  <si>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</si>
  <si>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</si>
  <si>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</si>
  <si>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</si>
  <si>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</si>
  <si>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</si>
  <si>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</si>
  <si>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</si>
  <si>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</si>
  <si>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</si>
  <si>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</si>
  <si>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</si>
  <si>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</si>
  <si>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</si>
  <si>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</si>
  <si>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</si>
  <si>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</si>
  <si>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</si>
  <si>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</si>
  <si>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</si>
  <si>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</si>
  <si>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</si>
  <si>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</si>
  <si>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</si>
  <si>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</si>
  <si>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</si>
  <si>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</si>
  <si>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</si>
  <si>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</si>
  <si>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</si>
  <si>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</si>
  <si>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</si>
  <si>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</si>
  <si>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</si>
  <si>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</si>
  <si>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</si>
  <si>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</si>
  <si>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</si>
  <si>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</si>
  <si>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</si>
  <si>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</si>
  <si>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</si>
  <si>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</si>
  <si>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</si>
  <si>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</si>
  <si>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</si>
  <si>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</si>
  <si>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</si>
  <si>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</si>
  <si>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</si>
  <si>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</si>
  <si>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</si>
  <si>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</si>
  <si>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</si>
  <si>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</si>
  <si>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</si>
  <si>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</si>
  <si>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</si>
  <si>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</si>
  <si>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</si>
  <si>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</si>
  <si>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</si>
  <si>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</si>
  <si>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</si>
  <si>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</si>
  <si>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</si>
  <si>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</si>
  <si>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</si>
  <si>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</si>
  <si>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</si>
  <si>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</si>
  <si>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</si>
  <si>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</si>
  <si>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</si>
  <si>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</si>
  <si>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</si>
  <si>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</si>
  <si>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</si>
  <si>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</si>
  <si>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</si>
  <si>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</si>
  <si>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</si>
  <si>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</si>
  <si>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</si>
  <si>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</si>
  <si>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</si>
  <si>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</si>
  <si>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</si>
  <si>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</si>
  <si>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</si>
  <si>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</si>
  <si>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</si>
  <si>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</si>
  <si>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</si>
  <si>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</si>
  <si>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</si>
  <si>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</si>
  <si>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</si>
  <si>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</si>
  <si>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</si>
  <si>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</si>
  <si>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</si>
  <si>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</si>
  <si>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</si>
  <si>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</si>
  <si>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</si>
  <si>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</si>
  <si>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</si>
  <si>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</si>
  <si>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</si>
  <si>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</si>
  <si>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</si>
  <si>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</si>
  <si>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</si>
  <si>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</si>
  <si>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</si>
  <si>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</si>
  <si>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</si>
  <si>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</si>
  <si>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</si>
  <si>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</si>
  <si>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</si>
  <si>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</si>
  <si>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</si>
  <si>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</si>
  <si>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</si>
  <si>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</si>
  <si>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</si>
  <si>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</si>
  <si>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</si>
  <si>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</si>
  <si>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</si>
  <si>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</si>
  <si>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</si>
  <si>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</si>
  <si>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</si>
  <si>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</si>
  <si>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</si>
  <si>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</si>
  <si>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</si>
  <si>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</si>
  <si>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</si>
  <si>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</si>
  <si>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</si>
  <si>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</si>
  <si>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</si>
  <si>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</si>
  <si>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</si>
  <si>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</si>
  <si>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</si>
  <si>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</si>
  <si>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</si>
  <si>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</si>
  <si>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</si>
  <si>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</si>
  <si>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</si>
  <si>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</si>
  <si>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</si>
  <si>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</si>
  <si>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</si>
  <si>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</si>
  <si>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</si>
  <si>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</si>
  <si>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</si>
  <si>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</si>
  <si>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</si>
  <si>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</si>
  <si>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</si>
  <si>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</si>
  <si>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</si>
  <si>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</si>
  <si>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</si>
  <si>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</si>
  <si>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</si>
  <si>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</si>
  <si>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</si>
  <si>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</si>
  <si>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</si>
  <si>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</si>
  <si>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</si>
  <si>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</si>
  <si>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</si>
  <si>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</si>
  <si>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</si>
  <si>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</si>
  <si>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</si>
  <si>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</si>
  <si>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</si>
  <si>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</si>
  <si>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</si>
  <si>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</si>
  <si>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</si>
  <si>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</si>
  <si>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</si>
  <si>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</si>
  <si>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</si>
  <si>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</si>
  <si>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</si>
  <si>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</si>
  <si>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</si>
  <si>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</si>
  <si>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</si>
  <si>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</si>
  <si>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</si>
  <si>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</si>
  <si>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</si>
  <si>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</si>
  <si>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</si>
  <si>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</si>
  <si>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</si>
  <si>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</si>
  <si>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</si>
  <si>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</si>
  <si>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</si>
  <si>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</si>
  <si>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</si>
  <si>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</si>
  <si>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</si>
  <si>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</si>
  <si>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</si>
  <si>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</si>
  <si>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</si>
  <si>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</si>
  <si>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</si>
  <si>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</si>
  <si>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Chosen Role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</si>
  <si>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</si>
  <si>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</si>
  <si>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</si>
  <si>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</si>
  <si>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</si>
  <si>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</si>
  <si>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</si>
  <si>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</si>
  <si>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</si>
  <si>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</si>
  <si>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</si>
  <si>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</si>
  <si>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</si>
  <si>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</si>
  <si>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</si>
  <si>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</si>
  <si>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</si>
  <si>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</si>
  <si>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</si>
  <si>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</si>
  <si>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</si>
  <si>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</si>
  <si>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</si>
  <si>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</si>
  <si>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</si>
  <si>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</si>
  <si>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</si>
  <si>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</si>
  <si>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</si>
  <si>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</si>
  <si>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</si>
  <si>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</si>
  <si>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</si>
  <si>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</si>
  <si>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</si>
  <si>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</si>
  <si>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</si>
  <si>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</si>
  <si>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ST RL</t>
  </si>
  <si>
    <t>Ghana,England,Italy</t>
  </si>
  <si>
    <t>Fabricio</t>
  </si>
  <si>
    <t>CBR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</si>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</sst>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0"/>
  <sheetViews>
    <sheetView tabSelected="1" workbookViewId="0">
      <selection activeCell="A45" sqref="A45:CI50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1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93</v>
      </c>
      <c r="G2">
        <v>177</v>
      </c>
      <c r="H2">
        <v>17</v>
      </c>
      <c r="I2">
        <v>1435</v>
      </c>
      <c r="J2" s="40">
        <v>0</v>
      </c>
      <c r="K2">
        <v>8435</v>
      </c>
      <c r="L2" t="b">
        <v>0</v>
      </c>
      <c r="M2" t="b">
        <v>0</v>
      </c>
      <c r="N2">
        <v>346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40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18</v>
      </c>
      <c r="CE2">
        <v>1</v>
      </c>
      <c r="CF2">
        <v>9</v>
      </c>
      <c r="CG2">
        <v>1</v>
      </c>
      <c r="CH2">
        <v>4</v>
      </c>
      <c r="CI2" t="s">
        <v>71</v>
      </c>
    </row>
    <row r="3" spans="1:87" x14ac:dyDescent="0.3">
      <c r="A3">
        <v>-1</v>
      </c>
      <c r="C3" t="s">
        <v>125</v>
      </c>
      <c r="D3" t="s">
        <v>128</v>
      </c>
      <c r="E3" t="s">
        <v>126</v>
      </c>
      <c r="F3">
        <v>84</v>
      </c>
      <c r="G3">
        <v>93</v>
      </c>
      <c r="H3">
        <v>24</v>
      </c>
      <c r="I3">
        <v>4296</v>
      </c>
      <c r="J3" s="40">
        <v>135598</v>
      </c>
      <c r="K3">
        <v>8733</v>
      </c>
      <c r="L3" t="b">
        <v>0</v>
      </c>
      <c r="M3" t="b">
        <v>0</v>
      </c>
      <c r="N3">
        <v>-10</v>
      </c>
      <c r="O3">
        <v>9400</v>
      </c>
      <c r="P3">
        <v>13</v>
      </c>
      <c r="Q3">
        <v>13</v>
      </c>
      <c r="R3">
        <v>15</v>
      </c>
      <c r="S3">
        <v>12</v>
      </c>
      <c r="T3">
        <v>15</v>
      </c>
      <c r="U3">
        <v>10</v>
      </c>
      <c r="V3">
        <v>10</v>
      </c>
      <c r="W3">
        <v>10</v>
      </c>
      <c r="X3">
        <v>10</v>
      </c>
      <c r="Y3">
        <v>10</v>
      </c>
      <c r="Z3">
        <v>10</v>
      </c>
      <c r="AA3">
        <v>10</v>
      </c>
      <c r="AB3">
        <v>10</v>
      </c>
      <c r="AC3">
        <v>12</v>
      </c>
      <c r="AD3">
        <v>12</v>
      </c>
      <c r="AE3" s="40">
        <v>10</v>
      </c>
      <c r="AF3">
        <v>8</v>
      </c>
      <c r="AG3">
        <v>10</v>
      </c>
      <c r="AH3">
        <v>11</v>
      </c>
      <c r="AI3">
        <v>12</v>
      </c>
      <c r="AJ3">
        <v>20</v>
      </c>
      <c r="AK3">
        <v>12</v>
      </c>
      <c r="AL3">
        <v>7</v>
      </c>
      <c r="AM3">
        <v>2</v>
      </c>
      <c r="AN3">
        <v>1</v>
      </c>
      <c r="AO3">
        <v>2</v>
      </c>
      <c r="AP3">
        <v>3</v>
      </c>
      <c r="AQ3">
        <v>3</v>
      </c>
      <c r="AR3">
        <v>3</v>
      </c>
      <c r="AS3">
        <v>2</v>
      </c>
      <c r="AT3">
        <v>1</v>
      </c>
      <c r="AU3">
        <v>3</v>
      </c>
      <c r="AV3">
        <v>2</v>
      </c>
      <c r="AW3">
        <v>1</v>
      </c>
      <c r="AX3">
        <v>9</v>
      </c>
      <c r="AY3">
        <v>10</v>
      </c>
      <c r="AZ3">
        <v>9</v>
      </c>
      <c r="BA3">
        <v>9</v>
      </c>
      <c r="BB3">
        <v>10</v>
      </c>
      <c r="BC3">
        <v>11</v>
      </c>
      <c r="BD3">
        <v>19</v>
      </c>
      <c r="BE3">
        <v>11</v>
      </c>
      <c r="BF3">
        <v>5</v>
      </c>
      <c r="BG3">
        <v>11</v>
      </c>
      <c r="BH3">
        <v>9</v>
      </c>
      <c r="BI3">
        <v>9</v>
      </c>
      <c r="BJ3">
        <v>7</v>
      </c>
      <c r="BK3">
        <v>10</v>
      </c>
      <c r="BL3">
        <v>7</v>
      </c>
      <c r="BM3">
        <v>10</v>
      </c>
      <c r="BN3">
        <v>11</v>
      </c>
      <c r="BO3">
        <v>11</v>
      </c>
      <c r="BP3">
        <v>11</v>
      </c>
      <c r="BQ3">
        <v>7</v>
      </c>
      <c r="BR3">
        <v>7</v>
      </c>
      <c r="BS3">
        <v>5</v>
      </c>
      <c r="BT3">
        <v>7</v>
      </c>
      <c r="BU3">
        <v>8</v>
      </c>
      <c r="BV3">
        <v>12</v>
      </c>
      <c r="BW3">
        <v>3</v>
      </c>
      <c r="BX3">
        <v>6</v>
      </c>
      <c r="BY3">
        <v>9</v>
      </c>
      <c r="BZ3">
        <v>1</v>
      </c>
      <c r="CA3">
        <v>15</v>
      </c>
      <c r="CB3">
        <v>1</v>
      </c>
      <c r="CC3">
        <v>1</v>
      </c>
      <c r="CD3">
        <v>3</v>
      </c>
      <c r="CE3">
        <v>20</v>
      </c>
      <c r="CF3">
        <v>1</v>
      </c>
      <c r="CG3">
        <v>18</v>
      </c>
      <c r="CH3">
        <v>1</v>
      </c>
      <c r="CI3" t="s">
        <v>71</v>
      </c>
    </row>
    <row r="4" spans="1:87" x14ac:dyDescent="0.3">
      <c r="A4">
        <v>-1</v>
      </c>
      <c r="C4" t="s">
        <v>134</v>
      </c>
      <c r="D4" t="s">
        <v>276</v>
      </c>
      <c r="E4" t="s">
        <v>76</v>
      </c>
      <c r="F4">
        <v>52</v>
      </c>
      <c r="G4">
        <v>107</v>
      </c>
      <c r="H4">
        <v>39</v>
      </c>
      <c r="I4">
        <v>2008</v>
      </c>
      <c r="J4" s="40">
        <v>0</v>
      </c>
      <c r="K4">
        <v>9643</v>
      </c>
      <c r="L4" t="b">
        <v>0</v>
      </c>
      <c r="M4" t="b">
        <v>0</v>
      </c>
      <c r="N4">
        <v>110</v>
      </c>
      <c r="O4">
        <v>10000</v>
      </c>
      <c r="P4">
        <v>13</v>
      </c>
      <c r="Q4">
        <v>5</v>
      </c>
      <c r="R4">
        <v>10</v>
      </c>
      <c r="S4">
        <v>9</v>
      </c>
      <c r="T4">
        <v>14</v>
      </c>
      <c r="U4">
        <v>15</v>
      </c>
      <c r="V4">
        <v>8</v>
      </c>
      <c r="W4">
        <v>3</v>
      </c>
      <c r="X4">
        <v>12</v>
      </c>
      <c r="Y4">
        <v>8</v>
      </c>
      <c r="Z4">
        <v>15</v>
      </c>
      <c r="AA4">
        <v>12</v>
      </c>
      <c r="AB4">
        <v>16</v>
      </c>
      <c r="AC4">
        <v>3</v>
      </c>
      <c r="AD4">
        <v>5</v>
      </c>
      <c r="AE4" s="40">
        <v>6</v>
      </c>
      <c r="AF4">
        <v>11</v>
      </c>
      <c r="AG4">
        <v>9</v>
      </c>
      <c r="AH4">
        <v>11</v>
      </c>
      <c r="AI4">
        <v>4</v>
      </c>
      <c r="AJ4">
        <v>20</v>
      </c>
      <c r="AK4">
        <v>5</v>
      </c>
      <c r="AL4">
        <v>10</v>
      </c>
      <c r="AM4">
        <v>1</v>
      </c>
      <c r="AN4">
        <v>2</v>
      </c>
      <c r="AO4">
        <v>2</v>
      </c>
      <c r="AP4">
        <v>3</v>
      </c>
      <c r="AQ4">
        <v>2</v>
      </c>
      <c r="AR4">
        <v>1</v>
      </c>
      <c r="AS4">
        <v>2</v>
      </c>
      <c r="AT4">
        <v>1</v>
      </c>
      <c r="AU4">
        <v>1</v>
      </c>
      <c r="AV4">
        <v>2</v>
      </c>
      <c r="AW4">
        <v>1</v>
      </c>
      <c r="AX4">
        <v>9</v>
      </c>
      <c r="AY4">
        <v>11</v>
      </c>
      <c r="AZ4">
        <v>12</v>
      </c>
      <c r="BA4">
        <v>9</v>
      </c>
      <c r="BB4">
        <v>10</v>
      </c>
      <c r="BC4">
        <v>10</v>
      </c>
      <c r="BD4">
        <v>9</v>
      </c>
      <c r="BE4">
        <v>7</v>
      </c>
      <c r="BF4">
        <v>15</v>
      </c>
      <c r="BG4">
        <v>7</v>
      </c>
      <c r="BH4">
        <v>11</v>
      </c>
      <c r="BI4">
        <v>11</v>
      </c>
      <c r="BJ4">
        <v>7</v>
      </c>
      <c r="BK4">
        <v>8</v>
      </c>
      <c r="BL4">
        <v>4</v>
      </c>
      <c r="BM4">
        <v>6</v>
      </c>
      <c r="BN4">
        <v>3</v>
      </c>
      <c r="BO4">
        <v>7</v>
      </c>
      <c r="BP4">
        <v>9</v>
      </c>
      <c r="BQ4">
        <v>4</v>
      </c>
      <c r="BR4">
        <v>13</v>
      </c>
      <c r="BS4">
        <v>7</v>
      </c>
      <c r="BT4">
        <v>4</v>
      </c>
      <c r="BU4">
        <v>7</v>
      </c>
      <c r="BV4">
        <v>9</v>
      </c>
      <c r="BW4">
        <v>10</v>
      </c>
      <c r="BX4">
        <v>11</v>
      </c>
      <c r="BY4">
        <v>9</v>
      </c>
      <c r="BZ4">
        <v>1</v>
      </c>
      <c r="CA4">
        <v>1</v>
      </c>
      <c r="CB4">
        <v>16</v>
      </c>
      <c r="CC4">
        <v>1</v>
      </c>
      <c r="CD4">
        <v>18</v>
      </c>
      <c r="CE4">
        <v>1</v>
      </c>
      <c r="CF4">
        <v>1</v>
      </c>
      <c r="CG4">
        <v>1</v>
      </c>
      <c r="CH4">
        <v>1</v>
      </c>
      <c r="CI4" t="s">
        <v>71</v>
      </c>
    </row>
    <row r="5" spans="1:87" x14ac:dyDescent="0.3">
      <c r="A5">
        <v>-1</v>
      </c>
      <c r="C5" t="s">
        <v>91</v>
      </c>
      <c r="D5" t="s">
        <v>94</v>
      </c>
      <c r="E5" t="s">
        <v>298</v>
      </c>
      <c r="F5">
        <v>75</v>
      </c>
      <c r="G5">
        <v>146</v>
      </c>
      <c r="H5">
        <v>16</v>
      </c>
      <c r="I5">
        <v>1402</v>
      </c>
      <c r="J5" s="40">
        <v>3418</v>
      </c>
      <c r="K5">
        <v>9535</v>
      </c>
      <c r="L5" t="b">
        <v>0</v>
      </c>
      <c r="M5" t="b">
        <v>0</v>
      </c>
      <c r="N5">
        <v>99</v>
      </c>
      <c r="O5">
        <v>10000</v>
      </c>
      <c r="P5">
        <v>15</v>
      </c>
      <c r="Q5">
        <v>9</v>
      </c>
      <c r="R5">
        <v>12</v>
      </c>
      <c r="S5">
        <v>14</v>
      </c>
      <c r="T5">
        <v>12</v>
      </c>
      <c r="U5">
        <v>12</v>
      </c>
      <c r="V5">
        <v>11</v>
      </c>
      <c r="W5">
        <v>8</v>
      </c>
      <c r="X5">
        <v>9</v>
      </c>
      <c r="Y5">
        <v>11</v>
      </c>
      <c r="Z5">
        <v>10</v>
      </c>
      <c r="AA5">
        <v>9</v>
      </c>
      <c r="AB5">
        <v>8</v>
      </c>
      <c r="AC5">
        <v>10</v>
      </c>
      <c r="AD5">
        <v>11</v>
      </c>
      <c r="AE5" s="40">
        <v>8</v>
      </c>
      <c r="AF5">
        <v>13</v>
      </c>
      <c r="AG5">
        <v>16</v>
      </c>
      <c r="AH5">
        <v>7</v>
      </c>
      <c r="AI5">
        <v>9</v>
      </c>
      <c r="AJ5">
        <v>20</v>
      </c>
      <c r="AK5">
        <v>4</v>
      </c>
      <c r="AL5">
        <v>7</v>
      </c>
      <c r="AM5">
        <v>9</v>
      </c>
      <c r="AN5">
        <v>8</v>
      </c>
      <c r="AO5">
        <v>10</v>
      </c>
      <c r="AP5">
        <v>2</v>
      </c>
      <c r="AQ5">
        <v>15</v>
      </c>
      <c r="AR5">
        <v>5</v>
      </c>
      <c r="AS5">
        <v>12</v>
      </c>
      <c r="AT5">
        <v>14</v>
      </c>
      <c r="AU5">
        <v>15</v>
      </c>
      <c r="AV5">
        <v>5</v>
      </c>
      <c r="AW5">
        <v>6</v>
      </c>
      <c r="AX5">
        <v>10</v>
      </c>
      <c r="AY5">
        <v>12</v>
      </c>
      <c r="AZ5">
        <v>6</v>
      </c>
      <c r="BA5">
        <v>5</v>
      </c>
      <c r="BB5">
        <v>11</v>
      </c>
      <c r="BC5">
        <v>11</v>
      </c>
      <c r="BD5">
        <v>8</v>
      </c>
      <c r="BE5">
        <v>3</v>
      </c>
      <c r="BF5">
        <v>5</v>
      </c>
      <c r="BG5">
        <v>3</v>
      </c>
      <c r="BH5">
        <v>6</v>
      </c>
      <c r="BI5">
        <v>10</v>
      </c>
      <c r="BJ5">
        <v>2</v>
      </c>
      <c r="BK5">
        <v>7</v>
      </c>
      <c r="BL5">
        <v>4</v>
      </c>
      <c r="BM5">
        <v>1</v>
      </c>
      <c r="BN5">
        <v>3</v>
      </c>
      <c r="BO5">
        <v>1</v>
      </c>
      <c r="BP5">
        <v>6</v>
      </c>
      <c r="BQ5">
        <v>5</v>
      </c>
      <c r="BR5">
        <v>1</v>
      </c>
      <c r="BS5">
        <v>2</v>
      </c>
      <c r="BT5">
        <v>2</v>
      </c>
      <c r="BU5">
        <v>1</v>
      </c>
      <c r="BV5">
        <v>4</v>
      </c>
      <c r="BW5">
        <v>1</v>
      </c>
      <c r="BX5">
        <v>1</v>
      </c>
      <c r="BY5">
        <v>11</v>
      </c>
      <c r="BZ5">
        <v>20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 t="s">
        <v>71</v>
      </c>
    </row>
    <row r="6" spans="1:87" x14ac:dyDescent="0.3">
      <c r="A6">
        <v>-1</v>
      </c>
      <c r="C6" t="s">
        <v>96</v>
      </c>
      <c r="D6" t="s">
        <v>277</v>
      </c>
      <c r="E6" t="s">
        <v>76</v>
      </c>
      <c r="F6">
        <v>74</v>
      </c>
      <c r="G6">
        <v>135</v>
      </c>
      <c r="H6">
        <v>16</v>
      </c>
      <c r="I6">
        <v>1113</v>
      </c>
      <c r="J6" s="40">
        <v>3454</v>
      </c>
      <c r="K6">
        <v>6930</v>
      </c>
      <c r="L6" t="b">
        <v>0</v>
      </c>
      <c r="M6" t="b">
        <v>0</v>
      </c>
      <c r="N6">
        <v>146</v>
      </c>
      <c r="O6">
        <v>10000</v>
      </c>
      <c r="P6">
        <v>11</v>
      </c>
      <c r="Q6">
        <v>14</v>
      </c>
      <c r="R6">
        <v>13</v>
      </c>
      <c r="S6">
        <v>11</v>
      </c>
      <c r="T6">
        <v>12</v>
      </c>
      <c r="U6">
        <v>10</v>
      </c>
      <c r="V6">
        <v>11</v>
      </c>
      <c r="W6">
        <v>6</v>
      </c>
      <c r="X6">
        <v>12</v>
      </c>
      <c r="Y6">
        <v>10</v>
      </c>
      <c r="Z6">
        <v>15</v>
      </c>
      <c r="AA6">
        <v>9</v>
      </c>
      <c r="AB6">
        <v>7</v>
      </c>
      <c r="AC6">
        <v>7</v>
      </c>
      <c r="AD6">
        <v>8</v>
      </c>
      <c r="AE6" s="40">
        <v>7</v>
      </c>
      <c r="AF6">
        <v>8</v>
      </c>
      <c r="AG6">
        <v>10</v>
      </c>
      <c r="AH6">
        <v>14</v>
      </c>
      <c r="AI6">
        <v>8</v>
      </c>
      <c r="AJ6">
        <v>20</v>
      </c>
      <c r="AK6">
        <v>13</v>
      </c>
      <c r="AL6">
        <v>7</v>
      </c>
      <c r="AM6">
        <v>2</v>
      </c>
      <c r="AN6">
        <v>2</v>
      </c>
      <c r="AO6">
        <v>3</v>
      </c>
      <c r="AP6">
        <v>1</v>
      </c>
      <c r="AQ6">
        <v>1</v>
      </c>
      <c r="AR6">
        <v>3</v>
      </c>
      <c r="AS6">
        <v>1</v>
      </c>
      <c r="AT6">
        <v>2</v>
      </c>
      <c r="AU6">
        <v>1</v>
      </c>
      <c r="AV6">
        <v>1</v>
      </c>
      <c r="AW6">
        <v>3</v>
      </c>
      <c r="AX6">
        <v>11</v>
      </c>
      <c r="AY6">
        <v>5</v>
      </c>
      <c r="AZ6">
        <v>9</v>
      </c>
      <c r="BA6">
        <v>9</v>
      </c>
      <c r="BB6">
        <v>11</v>
      </c>
      <c r="BC6">
        <v>13</v>
      </c>
      <c r="BD6">
        <v>17</v>
      </c>
      <c r="BE6">
        <v>11</v>
      </c>
      <c r="BF6">
        <v>8</v>
      </c>
      <c r="BG6">
        <v>10</v>
      </c>
      <c r="BH6">
        <v>6</v>
      </c>
      <c r="BI6">
        <v>14</v>
      </c>
      <c r="BJ6">
        <v>12</v>
      </c>
      <c r="BK6">
        <v>13</v>
      </c>
      <c r="BL6">
        <v>4</v>
      </c>
      <c r="BM6">
        <v>8</v>
      </c>
      <c r="BN6">
        <v>7</v>
      </c>
      <c r="BO6">
        <v>10</v>
      </c>
      <c r="BP6">
        <v>15</v>
      </c>
      <c r="BQ6">
        <v>5</v>
      </c>
      <c r="BR6">
        <v>4</v>
      </c>
      <c r="BS6">
        <v>8</v>
      </c>
      <c r="BT6">
        <v>3</v>
      </c>
      <c r="BU6">
        <v>6</v>
      </c>
      <c r="BV6">
        <v>10</v>
      </c>
      <c r="BW6">
        <v>4</v>
      </c>
      <c r="BX6">
        <v>9</v>
      </c>
      <c r="BY6">
        <v>11</v>
      </c>
      <c r="BZ6">
        <v>1</v>
      </c>
      <c r="CA6">
        <v>1</v>
      </c>
      <c r="CB6">
        <v>1</v>
      </c>
      <c r="CC6">
        <v>1</v>
      </c>
      <c r="CD6">
        <v>16</v>
      </c>
      <c r="CE6">
        <v>20</v>
      </c>
      <c r="CF6">
        <v>1</v>
      </c>
      <c r="CG6">
        <v>16</v>
      </c>
      <c r="CH6">
        <v>1</v>
      </c>
      <c r="CI6" t="s">
        <v>71</v>
      </c>
    </row>
    <row r="7" spans="1:87" x14ac:dyDescent="0.3">
      <c r="A7">
        <v>-1</v>
      </c>
      <c r="C7" t="s">
        <v>100</v>
      </c>
      <c r="D7" t="s">
        <v>102</v>
      </c>
      <c r="E7" t="s">
        <v>92</v>
      </c>
      <c r="F7">
        <v>76</v>
      </c>
      <c r="G7">
        <v>149</v>
      </c>
      <c r="H7">
        <v>16</v>
      </c>
      <c r="I7">
        <v>1115</v>
      </c>
      <c r="J7" s="40">
        <v>12890</v>
      </c>
      <c r="K7">
        <v>9264</v>
      </c>
      <c r="L7" t="b">
        <v>0</v>
      </c>
      <c r="M7" t="b">
        <v>0</v>
      </c>
      <c r="N7">
        <v>86</v>
      </c>
      <c r="O7">
        <v>9700</v>
      </c>
      <c r="P7">
        <v>9</v>
      </c>
      <c r="Q7">
        <v>14</v>
      </c>
      <c r="R7">
        <v>15</v>
      </c>
      <c r="S7">
        <v>4</v>
      </c>
      <c r="T7">
        <v>14</v>
      </c>
      <c r="U7">
        <v>11</v>
      </c>
      <c r="V7">
        <v>16</v>
      </c>
      <c r="W7">
        <v>16</v>
      </c>
      <c r="X7">
        <v>12</v>
      </c>
      <c r="Y7">
        <v>16</v>
      </c>
      <c r="Z7">
        <v>13</v>
      </c>
      <c r="AA7">
        <v>4</v>
      </c>
      <c r="AB7">
        <v>5</v>
      </c>
      <c r="AC7">
        <v>14</v>
      </c>
      <c r="AD7">
        <v>15</v>
      </c>
      <c r="AE7" s="40">
        <v>10</v>
      </c>
      <c r="AF7">
        <v>8</v>
      </c>
      <c r="AG7">
        <v>20</v>
      </c>
      <c r="AH7">
        <v>6</v>
      </c>
      <c r="AI7">
        <v>13</v>
      </c>
      <c r="AJ7">
        <v>11</v>
      </c>
      <c r="AK7">
        <v>13</v>
      </c>
      <c r="AL7">
        <v>5</v>
      </c>
      <c r="AM7">
        <v>3</v>
      </c>
      <c r="AN7">
        <v>1</v>
      </c>
      <c r="AO7">
        <v>1</v>
      </c>
      <c r="AP7">
        <v>2</v>
      </c>
      <c r="AQ7">
        <v>1</v>
      </c>
      <c r="AR7">
        <v>1</v>
      </c>
      <c r="AS7">
        <v>1</v>
      </c>
      <c r="AT7">
        <v>2</v>
      </c>
      <c r="AU7">
        <v>3</v>
      </c>
      <c r="AV7">
        <v>1</v>
      </c>
      <c r="AW7">
        <v>1</v>
      </c>
      <c r="AX7">
        <v>7</v>
      </c>
      <c r="AY7">
        <v>6</v>
      </c>
      <c r="AZ7">
        <v>10</v>
      </c>
      <c r="BA7">
        <v>7</v>
      </c>
      <c r="BB7">
        <v>6</v>
      </c>
      <c r="BC7">
        <v>5</v>
      </c>
      <c r="BD7">
        <v>18</v>
      </c>
      <c r="BE7">
        <v>12</v>
      </c>
      <c r="BF7">
        <v>6</v>
      </c>
      <c r="BG7">
        <v>9</v>
      </c>
      <c r="BH7">
        <v>4</v>
      </c>
      <c r="BI7">
        <v>6</v>
      </c>
      <c r="BJ7">
        <v>11</v>
      </c>
      <c r="BK7">
        <v>7</v>
      </c>
      <c r="BL7">
        <v>5</v>
      </c>
      <c r="BM7">
        <v>4</v>
      </c>
      <c r="BN7">
        <v>8</v>
      </c>
      <c r="BO7">
        <v>10</v>
      </c>
      <c r="BP7">
        <v>11</v>
      </c>
      <c r="BQ7">
        <v>10</v>
      </c>
      <c r="BR7">
        <v>6</v>
      </c>
      <c r="BS7">
        <v>5</v>
      </c>
      <c r="BT7">
        <v>4</v>
      </c>
      <c r="BU7">
        <v>3</v>
      </c>
      <c r="BV7">
        <v>10</v>
      </c>
      <c r="BW7">
        <v>7</v>
      </c>
      <c r="BX7">
        <v>4</v>
      </c>
      <c r="BY7">
        <v>11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4</v>
      </c>
      <c r="CG7">
        <v>20</v>
      </c>
      <c r="CH7">
        <v>4</v>
      </c>
      <c r="CI7" t="s">
        <v>71</v>
      </c>
    </row>
    <row r="8" spans="1:87" x14ac:dyDescent="0.3">
      <c r="A8">
        <v>-1</v>
      </c>
      <c r="C8" t="s">
        <v>122</v>
      </c>
      <c r="D8" t="s">
        <v>123</v>
      </c>
      <c r="E8" t="s">
        <v>76</v>
      </c>
      <c r="F8">
        <v>44</v>
      </c>
      <c r="G8">
        <v>81</v>
      </c>
      <c r="H8">
        <v>21</v>
      </c>
      <c r="I8">
        <v>2395</v>
      </c>
      <c r="J8" s="40">
        <v>0</v>
      </c>
      <c r="K8">
        <v>10000</v>
      </c>
      <c r="L8" t="b">
        <v>0</v>
      </c>
      <c r="M8" t="b">
        <v>0</v>
      </c>
      <c r="N8">
        <v>-306</v>
      </c>
      <c r="O8">
        <v>8155</v>
      </c>
      <c r="P8">
        <v>10</v>
      </c>
      <c r="Q8">
        <v>12</v>
      </c>
      <c r="R8">
        <v>8</v>
      </c>
      <c r="S8">
        <v>12</v>
      </c>
      <c r="T8">
        <v>8</v>
      </c>
      <c r="U8">
        <v>10</v>
      </c>
      <c r="V8">
        <v>10</v>
      </c>
      <c r="W8">
        <v>10</v>
      </c>
      <c r="X8">
        <v>10</v>
      </c>
      <c r="Y8">
        <v>10</v>
      </c>
      <c r="Z8">
        <v>10</v>
      </c>
      <c r="AA8">
        <v>10</v>
      </c>
      <c r="AB8">
        <v>10</v>
      </c>
      <c r="AC8">
        <v>12</v>
      </c>
      <c r="AD8">
        <v>12</v>
      </c>
      <c r="AE8" s="40">
        <v>2</v>
      </c>
      <c r="AF8">
        <v>3</v>
      </c>
      <c r="AG8">
        <v>12</v>
      </c>
      <c r="AH8">
        <v>10</v>
      </c>
      <c r="AI8">
        <v>11</v>
      </c>
      <c r="AJ8">
        <v>20</v>
      </c>
      <c r="AK8">
        <v>11</v>
      </c>
      <c r="AL8">
        <v>1</v>
      </c>
      <c r="AM8">
        <v>1</v>
      </c>
      <c r="AN8">
        <v>2</v>
      </c>
      <c r="AO8">
        <v>3</v>
      </c>
      <c r="AP8">
        <v>2</v>
      </c>
      <c r="AQ8">
        <v>4</v>
      </c>
      <c r="AR8">
        <v>1</v>
      </c>
      <c r="AS8">
        <v>1</v>
      </c>
      <c r="AT8">
        <v>2</v>
      </c>
      <c r="AU8">
        <v>1</v>
      </c>
      <c r="AV8">
        <v>2</v>
      </c>
      <c r="AW8">
        <v>1</v>
      </c>
      <c r="AX8">
        <v>12</v>
      </c>
      <c r="AY8">
        <v>6</v>
      </c>
      <c r="AZ8">
        <v>3</v>
      </c>
      <c r="BA8">
        <v>2</v>
      </c>
      <c r="BB8">
        <v>3</v>
      </c>
      <c r="BC8">
        <v>6</v>
      </c>
      <c r="BD8">
        <v>3</v>
      </c>
      <c r="BE8">
        <v>8</v>
      </c>
      <c r="BF8">
        <v>9</v>
      </c>
      <c r="BG8">
        <v>7</v>
      </c>
      <c r="BH8">
        <v>3</v>
      </c>
      <c r="BI8">
        <v>5</v>
      </c>
      <c r="BJ8">
        <v>4</v>
      </c>
      <c r="BK8">
        <v>9</v>
      </c>
      <c r="BL8">
        <v>4</v>
      </c>
      <c r="BM8">
        <v>8</v>
      </c>
      <c r="BN8">
        <v>10</v>
      </c>
      <c r="BO8">
        <v>5</v>
      </c>
      <c r="BP8">
        <v>10</v>
      </c>
      <c r="BQ8">
        <v>3</v>
      </c>
      <c r="BR8">
        <v>2</v>
      </c>
      <c r="BS8">
        <v>4</v>
      </c>
      <c r="BT8">
        <v>3</v>
      </c>
      <c r="BU8">
        <v>1</v>
      </c>
      <c r="BV8">
        <v>9</v>
      </c>
      <c r="BW8">
        <v>1</v>
      </c>
      <c r="BX8">
        <v>3</v>
      </c>
      <c r="BY8">
        <v>5</v>
      </c>
      <c r="BZ8">
        <v>1</v>
      </c>
      <c r="CA8">
        <v>1</v>
      </c>
      <c r="CB8">
        <v>1</v>
      </c>
      <c r="CC8">
        <v>1</v>
      </c>
      <c r="CD8">
        <v>1</v>
      </c>
      <c r="CE8">
        <v>20</v>
      </c>
      <c r="CF8">
        <v>2</v>
      </c>
      <c r="CG8">
        <v>16</v>
      </c>
      <c r="CH8">
        <v>1</v>
      </c>
      <c r="CI8" t="s">
        <v>71</v>
      </c>
    </row>
    <row r="9" spans="1:87" x14ac:dyDescent="0.3">
      <c r="A9">
        <v>-1</v>
      </c>
      <c r="C9" t="s">
        <v>278</v>
      </c>
      <c r="D9" t="s">
        <v>279</v>
      </c>
      <c r="E9" t="s">
        <v>280</v>
      </c>
      <c r="F9">
        <v>78</v>
      </c>
      <c r="G9">
        <v>89</v>
      </c>
      <c r="H9">
        <v>20</v>
      </c>
      <c r="I9">
        <v>3791</v>
      </c>
      <c r="J9" s="40">
        <v>0</v>
      </c>
      <c r="K9">
        <v>9651</v>
      </c>
      <c r="L9" t="b">
        <v>0</v>
      </c>
      <c r="M9" t="b">
        <v>0</v>
      </c>
      <c r="N9">
        <v>-164</v>
      </c>
      <c r="O9">
        <v>8800</v>
      </c>
      <c r="P9">
        <v>2</v>
      </c>
      <c r="Q9">
        <v>2</v>
      </c>
      <c r="R9">
        <v>10</v>
      </c>
      <c r="S9">
        <v>7</v>
      </c>
      <c r="T9">
        <v>5</v>
      </c>
      <c r="U9">
        <v>11</v>
      </c>
      <c r="V9">
        <v>15</v>
      </c>
      <c r="W9">
        <v>3</v>
      </c>
      <c r="X9">
        <v>10</v>
      </c>
      <c r="Y9">
        <v>12</v>
      </c>
      <c r="Z9">
        <v>13</v>
      </c>
      <c r="AA9">
        <v>10</v>
      </c>
      <c r="AB9">
        <v>15</v>
      </c>
      <c r="AC9">
        <v>15</v>
      </c>
      <c r="AD9">
        <v>13</v>
      </c>
      <c r="AE9" s="40">
        <v>11</v>
      </c>
      <c r="AF9">
        <v>5</v>
      </c>
      <c r="AG9">
        <v>12</v>
      </c>
      <c r="AH9">
        <v>9</v>
      </c>
      <c r="AI9">
        <v>14</v>
      </c>
      <c r="AJ9">
        <v>20</v>
      </c>
      <c r="AK9">
        <v>9</v>
      </c>
      <c r="AL9">
        <v>4</v>
      </c>
      <c r="AM9">
        <v>2</v>
      </c>
      <c r="AN9">
        <v>1</v>
      </c>
      <c r="AO9">
        <v>3</v>
      </c>
      <c r="AP9">
        <v>1</v>
      </c>
      <c r="AQ9">
        <v>2</v>
      </c>
      <c r="AR9">
        <v>1</v>
      </c>
      <c r="AS9">
        <v>3</v>
      </c>
      <c r="AT9">
        <v>2</v>
      </c>
      <c r="AU9">
        <v>1</v>
      </c>
      <c r="AV9">
        <v>1</v>
      </c>
      <c r="AW9">
        <v>1</v>
      </c>
      <c r="AX9">
        <v>6</v>
      </c>
      <c r="AY9">
        <v>9</v>
      </c>
      <c r="AZ9">
        <v>9</v>
      </c>
      <c r="BA9">
        <v>8</v>
      </c>
      <c r="BB9">
        <v>8</v>
      </c>
      <c r="BC9">
        <v>8</v>
      </c>
      <c r="BD9">
        <v>15</v>
      </c>
      <c r="BE9">
        <v>15</v>
      </c>
      <c r="BF9">
        <v>2</v>
      </c>
      <c r="BG9">
        <v>8</v>
      </c>
      <c r="BH9">
        <v>4</v>
      </c>
      <c r="BI9">
        <v>9</v>
      </c>
      <c r="BJ9">
        <v>11</v>
      </c>
      <c r="BK9">
        <v>7</v>
      </c>
      <c r="BL9">
        <v>7</v>
      </c>
      <c r="BM9">
        <v>7</v>
      </c>
      <c r="BN9">
        <v>9</v>
      </c>
      <c r="BO9">
        <v>8</v>
      </c>
      <c r="BP9">
        <v>8</v>
      </c>
      <c r="BQ9">
        <v>5</v>
      </c>
      <c r="BR9">
        <v>4</v>
      </c>
      <c r="BS9">
        <v>5</v>
      </c>
      <c r="BT9">
        <v>3</v>
      </c>
      <c r="BU9">
        <v>3</v>
      </c>
      <c r="BV9">
        <v>6</v>
      </c>
      <c r="BW9">
        <v>5</v>
      </c>
      <c r="BX9">
        <v>4</v>
      </c>
      <c r="BY9">
        <v>8</v>
      </c>
      <c r="BZ9">
        <v>1</v>
      </c>
      <c r="CA9">
        <v>1</v>
      </c>
      <c r="CB9">
        <v>1</v>
      </c>
      <c r="CC9">
        <v>1</v>
      </c>
      <c r="CD9">
        <v>1</v>
      </c>
      <c r="CE9">
        <v>15</v>
      </c>
      <c r="CF9">
        <v>1</v>
      </c>
      <c r="CG9">
        <v>15</v>
      </c>
      <c r="CH9">
        <v>20</v>
      </c>
      <c r="CI9" t="s">
        <v>71</v>
      </c>
    </row>
    <row r="10" spans="1:87" x14ac:dyDescent="0.3">
      <c r="A10">
        <v>-1</v>
      </c>
      <c r="C10" t="s">
        <v>281</v>
      </c>
      <c r="D10" t="s">
        <v>73</v>
      </c>
      <c r="E10" t="s">
        <v>126</v>
      </c>
      <c r="F10">
        <v>91</v>
      </c>
      <c r="G10">
        <v>112</v>
      </c>
      <c r="H10">
        <v>19</v>
      </c>
      <c r="I10">
        <v>4749</v>
      </c>
      <c r="J10" s="40">
        <v>257875</v>
      </c>
      <c r="K10">
        <v>8248</v>
      </c>
      <c r="L10" t="b">
        <v>0</v>
      </c>
      <c r="M10" t="b">
        <v>0</v>
      </c>
      <c r="N10">
        <v>146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40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282</v>
      </c>
    </row>
    <row r="11" spans="1:87" x14ac:dyDescent="0.3">
      <c r="A11">
        <v>-1</v>
      </c>
      <c r="C11" t="s">
        <v>88</v>
      </c>
      <c r="D11" t="s">
        <v>90</v>
      </c>
      <c r="E11" t="s">
        <v>76</v>
      </c>
      <c r="F11">
        <v>82</v>
      </c>
      <c r="G11">
        <v>158</v>
      </c>
      <c r="H11">
        <v>16</v>
      </c>
      <c r="I11">
        <v>1601</v>
      </c>
      <c r="J11" s="40">
        <v>3450</v>
      </c>
      <c r="K11">
        <v>7160</v>
      </c>
      <c r="L11" t="b">
        <v>0</v>
      </c>
      <c r="M11" t="b">
        <v>1</v>
      </c>
      <c r="N11">
        <v>126</v>
      </c>
      <c r="O11">
        <v>9300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16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0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71</v>
      </c>
    </row>
    <row r="12" spans="1:87" x14ac:dyDescent="0.3">
      <c r="A12">
        <v>-1</v>
      </c>
      <c r="C12" t="s">
        <v>283</v>
      </c>
      <c r="D12" t="s">
        <v>161</v>
      </c>
      <c r="E12" t="s">
        <v>115</v>
      </c>
      <c r="F12">
        <v>83</v>
      </c>
      <c r="G12">
        <v>100</v>
      </c>
      <c r="H12">
        <v>31</v>
      </c>
      <c r="I12">
        <v>3384</v>
      </c>
      <c r="J12" s="40">
        <v>17794</v>
      </c>
      <c r="K12">
        <v>7319</v>
      </c>
      <c r="L12" t="b">
        <v>0</v>
      </c>
      <c r="M12" t="b">
        <v>0</v>
      </c>
      <c r="N12">
        <v>112</v>
      </c>
      <c r="O12">
        <v>10000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0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10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71</v>
      </c>
    </row>
    <row r="13" spans="1:87" x14ac:dyDescent="0.3">
      <c r="A13">
        <v>-1</v>
      </c>
      <c r="C13" t="s">
        <v>109</v>
      </c>
      <c r="D13" t="s">
        <v>112</v>
      </c>
      <c r="E13" t="s">
        <v>110</v>
      </c>
      <c r="F13">
        <v>75</v>
      </c>
      <c r="G13">
        <v>97</v>
      </c>
      <c r="H13">
        <v>22</v>
      </c>
      <c r="I13">
        <v>3268</v>
      </c>
      <c r="J13" s="40">
        <v>17923</v>
      </c>
      <c r="K13">
        <v>9852</v>
      </c>
      <c r="L13" t="b">
        <v>1</v>
      </c>
      <c r="M13" t="b">
        <v>0</v>
      </c>
      <c r="N13">
        <v>-20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0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71</v>
      </c>
    </row>
    <row r="14" spans="1:87" x14ac:dyDescent="0.3">
      <c r="A14">
        <v>-1</v>
      </c>
      <c r="C14" t="s">
        <v>146</v>
      </c>
      <c r="D14" t="s">
        <v>149</v>
      </c>
      <c r="E14" t="s">
        <v>147</v>
      </c>
      <c r="F14">
        <v>63</v>
      </c>
      <c r="G14">
        <v>144</v>
      </c>
      <c r="H14">
        <v>16</v>
      </c>
      <c r="I14">
        <v>1072</v>
      </c>
      <c r="J14" s="40">
        <v>3085</v>
      </c>
      <c r="K14">
        <v>7867</v>
      </c>
      <c r="L14" t="b">
        <v>0</v>
      </c>
      <c r="M14" t="b">
        <v>0</v>
      </c>
      <c r="N14">
        <v>254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8</v>
      </c>
      <c r="AD14">
        <v>5</v>
      </c>
      <c r="AE14" s="40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8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71</v>
      </c>
    </row>
    <row r="15" spans="1:87" x14ac:dyDescent="0.3">
      <c r="A15">
        <v>-1</v>
      </c>
      <c r="C15" t="s">
        <v>114</v>
      </c>
      <c r="D15" t="s">
        <v>112</v>
      </c>
      <c r="E15" t="s">
        <v>115</v>
      </c>
      <c r="F15">
        <v>60</v>
      </c>
      <c r="G15">
        <v>93</v>
      </c>
      <c r="H15">
        <v>21</v>
      </c>
      <c r="I15">
        <v>3289</v>
      </c>
      <c r="J15" s="40">
        <v>0</v>
      </c>
      <c r="K15">
        <v>9235</v>
      </c>
      <c r="L15" t="b">
        <v>0</v>
      </c>
      <c r="M15" t="b">
        <v>0</v>
      </c>
      <c r="N15">
        <v>-142</v>
      </c>
      <c r="O15">
        <v>9400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11</v>
      </c>
      <c r="AA15">
        <v>10</v>
      </c>
      <c r="AB15">
        <v>10</v>
      </c>
      <c r="AC15">
        <v>6</v>
      </c>
      <c r="AD15">
        <v>8</v>
      </c>
      <c r="AE15" s="40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6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6</v>
      </c>
      <c r="CE15">
        <v>1</v>
      </c>
      <c r="CF15">
        <v>1</v>
      </c>
      <c r="CG15">
        <v>1</v>
      </c>
      <c r="CH15">
        <v>1</v>
      </c>
      <c r="CI15" t="s">
        <v>71</v>
      </c>
    </row>
    <row r="16" spans="1:87" x14ac:dyDescent="0.3">
      <c r="A16">
        <v>-1</v>
      </c>
      <c r="C16" t="s">
        <v>80</v>
      </c>
      <c r="D16" t="s">
        <v>83</v>
      </c>
      <c r="E16" t="s">
        <v>81</v>
      </c>
      <c r="F16">
        <v>90</v>
      </c>
      <c r="G16">
        <v>158</v>
      </c>
      <c r="H16">
        <v>16</v>
      </c>
      <c r="I16">
        <v>2403</v>
      </c>
      <c r="J16" s="40">
        <v>12600</v>
      </c>
      <c r="K16">
        <v>8324</v>
      </c>
      <c r="L16" t="b">
        <v>0</v>
      </c>
      <c r="M16" t="b">
        <v>0</v>
      </c>
      <c r="N16">
        <v>311</v>
      </c>
      <c r="O16">
        <v>10000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9</v>
      </c>
      <c r="X16">
        <v>14</v>
      </c>
      <c r="Y16">
        <v>10</v>
      </c>
      <c r="Z16">
        <v>15</v>
      </c>
      <c r="AA16">
        <v>11</v>
      </c>
      <c r="AB16">
        <v>16</v>
      </c>
      <c r="AC16">
        <v>10</v>
      </c>
      <c r="AD16">
        <v>12</v>
      </c>
      <c r="AE16" s="40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13</v>
      </c>
      <c r="AL16">
        <v>7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12</v>
      </c>
      <c r="AZ16">
        <v>9</v>
      </c>
      <c r="BA16">
        <v>12</v>
      </c>
      <c r="BB16">
        <v>8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10</v>
      </c>
      <c r="BJ16">
        <v>11</v>
      </c>
      <c r="BK16">
        <v>15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71</v>
      </c>
    </row>
    <row r="17" spans="1:87" x14ac:dyDescent="0.3">
      <c r="A17">
        <v>-1</v>
      </c>
      <c r="C17" t="s">
        <v>142</v>
      </c>
      <c r="D17" t="s">
        <v>168</v>
      </c>
      <c r="E17" t="s">
        <v>143</v>
      </c>
      <c r="F17">
        <v>71</v>
      </c>
      <c r="G17">
        <v>139</v>
      </c>
      <c r="H17">
        <v>16</v>
      </c>
      <c r="I17">
        <v>1020</v>
      </c>
      <c r="J17" s="40">
        <v>3391</v>
      </c>
      <c r="K17">
        <v>6790</v>
      </c>
      <c r="L17" t="b">
        <v>1</v>
      </c>
      <c r="M17" t="b">
        <v>0</v>
      </c>
      <c r="N17">
        <v>194</v>
      </c>
      <c r="O17">
        <v>10000</v>
      </c>
      <c r="P17">
        <v>13</v>
      </c>
      <c r="Q17">
        <v>11</v>
      </c>
      <c r="R17">
        <v>12</v>
      </c>
      <c r="S17">
        <v>11</v>
      </c>
      <c r="T17">
        <v>10</v>
      </c>
      <c r="U17">
        <v>9</v>
      </c>
      <c r="V17">
        <v>13</v>
      </c>
      <c r="W17">
        <v>4</v>
      </c>
      <c r="X17">
        <v>17</v>
      </c>
      <c r="Y17">
        <v>14</v>
      </c>
      <c r="Z17">
        <v>15</v>
      </c>
      <c r="AA17">
        <v>18</v>
      </c>
      <c r="AB17">
        <v>17</v>
      </c>
      <c r="AC17">
        <v>12</v>
      </c>
      <c r="AD17">
        <v>12</v>
      </c>
      <c r="AE17" s="40">
        <v>12</v>
      </c>
      <c r="AF17">
        <v>11</v>
      </c>
      <c r="AG17">
        <v>9</v>
      </c>
      <c r="AH17">
        <v>10</v>
      </c>
      <c r="AI17">
        <v>12</v>
      </c>
      <c r="AJ17">
        <v>20</v>
      </c>
      <c r="AK17">
        <v>7</v>
      </c>
      <c r="AL17">
        <v>6</v>
      </c>
      <c r="AM17">
        <v>2</v>
      </c>
      <c r="AN17">
        <v>3</v>
      </c>
      <c r="AO17">
        <v>2</v>
      </c>
      <c r="AP17">
        <v>1</v>
      </c>
      <c r="AQ17">
        <v>1</v>
      </c>
      <c r="AR17">
        <v>1</v>
      </c>
      <c r="AS17">
        <v>2</v>
      </c>
      <c r="AT17">
        <v>2</v>
      </c>
      <c r="AU17">
        <v>3</v>
      </c>
      <c r="AV17">
        <v>1</v>
      </c>
      <c r="AW17">
        <v>2</v>
      </c>
      <c r="AX17">
        <v>12</v>
      </c>
      <c r="AY17">
        <v>10</v>
      </c>
      <c r="AZ17">
        <v>12</v>
      </c>
      <c r="BA17">
        <v>7</v>
      </c>
      <c r="BB17">
        <v>5</v>
      </c>
      <c r="BC17">
        <v>8</v>
      </c>
      <c r="BD17">
        <v>13</v>
      </c>
      <c r="BE17">
        <v>15</v>
      </c>
      <c r="BF17">
        <v>7</v>
      </c>
      <c r="BG17">
        <v>10</v>
      </c>
      <c r="BH17">
        <v>6</v>
      </c>
      <c r="BI17">
        <v>13</v>
      </c>
      <c r="BJ17">
        <v>5</v>
      </c>
      <c r="BK17">
        <v>9</v>
      </c>
      <c r="BL17">
        <v>6</v>
      </c>
      <c r="BM17">
        <v>11</v>
      </c>
      <c r="BN17">
        <v>8</v>
      </c>
      <c r="BO17">
        <v>14</v>
      </c>
      <c r="BP17">
        <v>10</v>
      </c>
      <c r="BQ17">
        <v>4</v>
      </c>
      <c r="BR17">
        <v>4</v>
      </c>
      <c r="BS17">
        <v>5</v>
      </c>
      <c r="BT17">
        <v>1</v>
      </c>
      <c r="BU17">
        <v>5</v>
      </c>
      <c r="BV17">
        <v>10</v>
      </c>
      <c r="BW17">
        <v>7</v>
      </c>
      <c r="BX17">
        <v>5</v>
      </c>
      <c r="BY17">
        <v>14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20</v>
      </c>
      <c r="CF17">
        <v>1</v>
      </c>
      <c r="CG17">
        <v>1</v>
      </c>
      <c r="CH17">
        <v>16</v>
      </c>
      <c r="CI17" t="s">
        <v>71</v>
      </c>
    </row>
    <row r="18" spans="1:87" x14ac:dyDescent="0.3">
      <c r="A18">
        <v>-1</v>
      </c>
      <c r="C18" t="s">
        <v>137</v>
      </c>
      <c r="D18" t="s">
        <v>94</v>
      </c>
      <c r="E18" t="s">
        <v>76</v>
      </c>
      <c r="F18">
        <v>48</v>
      </c>
      <c r="G18">
        <v>49</v>
      </c>
      <c r="H18">
        <v>17</v>
      </c>
      <c r="I18">
        <v>2387</v>
      </c>
      <c r="J18" s="40">
        <v>4735</v>
      </c>
      <c r="K18">
        <v>10000</v>
      </c>
      <c r="L18" t="b">
        <v>0</v>
      </c>
      <c r="M18" t="b">
        <v>0</v>
      </c>
      <c r="N18">
        <v>23</v>
      </c>
      <c r="O18">
        <v>8500</v>
      </c>
      <c r="P18">
        <v>20</v>
      </c>
      <c r="Q18">
        <v>1</v>
      </c>
      <c r="R18">
        <v>20</v>
      </c>
      <c r="S18">
        <v>1</v>
      </c>
      <c r="T18">
        <v>20</v>
      </c>
      <c r="U18">
        <v>20</v>
      </c>
      <c r="V18">
        <v>16</v>
      </c>
      <c r="W18">
        <v>1</v>
      </c>
      <c r="X18">
        <v>16</v>
      </c>
      <c r="Y18">
        <v>20</v>
      </c>
      <c r="Z18">
        <v>15</v>
      </c>
      <c r="AA18">
        <v>20</v>
      </c>
      <c r="AB18">
        <v>20</v>
      </c>
      <c r="AC18">
        <v>7</v>
      </c>
      <c r="AD18">
        <v>13</v>
      </c>
      <c r="AE18" s="40">
        <v>4</v>
      </c>
      <c r="AF18">
        <v>11</v>
      </c>
      <c r="AG18">
        <v>9</v>
      </c>
      <c r="AH18">
        <v>12</v>
      </c>
      <c r="AI18">
        <v>12</v>
      </c>
      <c r="AJ18">
        <v>20</v>
      </c>
      <c r="AK18">
        <v>3</v>
      </c>
      <c r="AL18">
        <v>5</v>
      </c>
      <c r="AM18">
        <v>8</v>
      </c>
      <c r="AN18">
        <v>11</v>
      </c>
      <c r="AO18">
        <v>6</v>
      </c>
      <c r="AP18">
        <v>7</v>
      </c>
      <c r="AQ18">
        <v>8</v>
      </c>
      <c r="AR18">
        <v>6</v>
      </c>
      <c r="AS18">
        <v>5</v>
      </c>
      <c r="AT18">
        <v>10</v>
      </c>
      <c r="AU18">
        <v>9</v>
      </c>
      <c r="AV18">
        <v>13</v>
      </c>
      <c r="AW18">
        <v>5</v>
      </c>
      <c r="AX18">
        <v>13</v>
      </c>
      <c r="AY18">
        <v>5</v>
      </c>
      <c r="AZ18">
        <v>5</v>
      </c>
      <c r="BA18">
        <v>4</v>
      </c>
      <c r="BB18">
        <v>10</v>
      </c>
      <c r="BC18">
        <v>12</v>
      </c>
      <c r="BD18">
        <v>17</v>
      </c>
      <c r="BE18">
        <v>1</v>
      </c>
      <c r="BF18">
        <v>3</v>
      </c>
      <c r="BG18">
        <v>2</v>
      </c>
      <c r="BH18">
        <v>8</v>
      </c>
      <c r="BI18">
        <v>12</v>
      </c>
      <c r="BJ18">
        <v>5</v>
      </c>
      <c r="BK18">
        <v>6</v>
      </c>
      <c r="BL18">
        <v>2</v>
      </c>
      <c r="BM18">
        <v>3</v>
      </c>
      <c r="BN18">
        <v>1</v>
      </c>
      <c r="BO18">
        <v>3</v>
      </c>
      <c r="BP18">
        <v>3</v>
      </c>
      <c r="BQ18">
        <v>3</v>
      </c>
      <c r="BR18">
        <v>1</v>
      </c>
      <c r="BS18">
        <v>3</v>
      </c>
      <c r="BT18">
        <v>1</v>
      </c>
      <c r="BU18">
        <v>1</v>
      </c>
      <c r="BV18">
        <v>4</v>
      </c>
      <c r="BW18">
        <v>3</v>
      </c>
      <c r="BX18">
        <v>3</v>
      </c>
      <c r="BY18">
        <v>4</v>
      </c>
      <c r="BZ18">
        <v>20</v>
      </c>
      <c r="CA18">
        <v>1</v>
      </c>
      <c r="CB18">
        <v>1</v>
      </c>
      <c r="CC18">
        <v>1</v>
      </c>
      <c r="CD18">
        <v>1</v>
      </c>
      <c r="CE18">
        <v>1</v>
      </c>
      <c r="CF18">
        <v>1</v>
      </c>
      <c r="CG18">
        <v>1</v>
      </c>
      <c r="CH18">
        <v>1</v>
      </c>
      <c r="CI18" t="s">
        <v>71</v>
      </c>
    </row>
    <row r="19" spans="1:87" x14ac:dyDescent="0.3">
      <c r="A19">
        <v>-1</v>
      </c>
      <c r="C19" t="s">
        <v>85</v>
      </c>
      <c r="D19" t="s">
        <v>87</v>
      </c>
      <c r="E19" t="s">
        <v>76</v>
      </c>
      <c r="F19">
        <v>81</v>
      </c>
      <c r="G19">
        <v>156</v>
      </c>
      <c r="H19">
        <v>17</v>
      </c>
      <c r="I19">
        <v>1359</v>
      </c>
      <c r="J19" s="40">
        <v>0</v>
      </c>
      <c r="K19">
        <v>9120</v>
      </c>
      <c r="L19" t="b">
        <v>0</v>
      </c>
      <c r="M19" t="b">
        <v>0</v>
      </c>
      <c r="N19">
        <v>40</v>
      </c>
      <c r="O19">
        <v>9700</v>
      </c>
      <c r="P19">
        <v>9</v>
      </c>
      <c r="Q19">
        <v>8</v>
      </c>
      <c r="R19">
        <v>15</v>
      </c>
      <c r="S19">
        <v>4</v>
      </c>
      <c r="T19">
        <v>7</v>
      </c>
      <c r="U19">
        <v>11</v>
      </c>
      <c r="V19">
        <v>16</v>
      </c>
      <c r="W19">
        <v>5</v>
      </c>
      <c r="X19">
        <v>18</v>
      </c>
      <c r="Y19">
        <v>19</v>
      </c>
      <c r="Z19">
        <v>19</v>
      </c>
      <c r="AA19">
        <v>19</v>
      </c>
      <c r="AB19">
        <v>19</v>
      </c>
      <c r="AC19">
        <v>14</v>
      </c>
      <c r="AD19">
        <v>10</v>
      </c>
      <c r="AE19" s="40">
        <v>14</v>
      </c>
      <c r="AF19">
        <v>8</v>
      </c>
      <c r="AG19">
        <v>11</v>
      </c>
      <c r="AH19">
        <v>17</v>
      </c>
      <c r="AI19">
        <v>12</v>
      </c>
      <c r="AJ19">
        <v>20</v>
      </c>
      <c r="AK19">
        <v>12</v>
      </c>
      <c r="AL19">
        <v>4</v>
      </c>
      <c r="AM19">
        <v>3</v>
      </c>
      <c r="AN19">
        <v>4</v>
      </c>
      <c r="AO19">
        <v>1</v>
      </c>
      <c r="AP19">
        <v>2</v>
      </c>
      <c r="AQ19">
        <v>2</v>
      </c>
      <c r="AR19">
        <v>3</v>
      </c>
      <c r="AS19">
        <v>3</v>
      </c>
      <c r="AT19">
        <v>1</v>
      </c>
      <c r="AU19">
        <v>3</v>
      </c>
      <c r="AV19">
        <v>2</v>
      </c>
      <c r="AW19">
        <v>2</v>
      </c>
      <c r="AX19">
        <v>6</v>
      </c>
      <c r="AY19">
        <v>10</v>
      </c>
      <c r="AZ19">
        <v>8</v>
      </c>
      <c r="BA19">
        <v>5</v>
      </c>
      <c r="BB19">
        <v>5</v>
      </c>
      <c r="BC19">
        <v>7</v>
      </c>
      <c r="BD19">
        <v>12</v>
      </c>
      <c r="BE19">
        <v>14</v>
      </c>
      <c r="BF19">
        <v>12</v>
      </c>
      <c r="BG19">
        <v>9</v>
      </c>
      <c r="BH19">
        <v>5</v>
      </c>
      <c r="BI19">
        <v>12</v>
      </c>
      <c r="BJ19">
        <v>10</v>
      </c>
      <c r="BK19">
        <v>7</v>
      </c>
      <c r="BL19">
        <v>4</v>
      </c>
      <c r="BM19">
        <v>6</v>
      </c>
      <c r="BN19">
        <v>14</v>
      </c>
      <c r="BO19">
        <v>5</v>
      </c>
      <c r="BP19">
        <v>12</v>
      </c>
      <c r="BQ19">
        <v>5</v>
      </c>
      <c r="BR19">
        <v>5</v>
      </c>
      <c r="BS19">
        <v>8</v>
      </c>
      <c r="BT19">
        <v>1</v>
      </c>
      <c r="BU19">
        <v>7</v>
      </c>
      <c r="BV19">
        <v>11</v>
      </c>
      <c r="BW19">
        <v>6</v>
      </c>
      <c r="BX19">
        <v>4</v>
      </c>
      <c r="BY19">
        <v>14</v>
      </c>
      <c r="BZ19">
        <v>1</v>
      </c>
      <c r="CA19">
        <v>1</v>
      </c>
      <c r="CB19">
        <v>1</v>
      </c>
      <c r="CC19">
        <v>1</v>
      </c>
      <c r="CD19">
        <v>1</v>
      </c>
      <c r="CE19">
        <v>16</v>
      </c>
      <c r="CF19">
        <v>16</v>
      </c>
      <c r="CG19">
        <v>1</v>
      </c>
      <c r="CH19">
        <v>20</v>
      </c>
      <c r="CI19" t="s">
        <v>71</v>
      </c>
    </row>
    <row r="20" spans="1:87" x14ac:dyDescent="0.3">
      <c r="A20">
        <v>-1</v>
      </c>
      <c r="C20" t="s">
        <v>129</v>
      </c>
      <c r="D20" t="s">
        <v>128</v>
      </c>
      <c r="E20" t="s">
        <v>130</v>
      </c>
      <c r="F20">
        <v>72</v>
      </c>
      <c r="G20">
        <v>87</v>
      </c>
      <c r="H20">
        <v>17</v>
      </c>
      <c r="I20">
        <v>4340</v>
      </c>
      <c r="J20" s="40">
        <v>100366</v>
      </c>
      <c r="K20">
        <v>8946</v>
      </c>
      <c r="L20" t="b">
        <v>0</v>
      </c>
      <c r="M20" t="b">
        <v>0</v>
      </c>
      <c r="N20">
        <v>47</v>
      </c>
      <c r="O20">
        <v>10000</v>
      </c>
      <c r="P20">
        <v>20</v>
      </c>
      <c r="Q20">
        <v>1</v>
      </c>
      <c r="R20">
        <v>20</v>
      </c>
      <c r="S20">
        <v>1</v>
      </c>
      <c r="T20">
        <v>20</v>
      </c>
      <c r="U20">
        <v>20</v>
      </c>
      <c r="V20">
        <v>20</v>
      </c>
      <c r="W20">
        <v>1</v>
      </c>
      <c r="X20">
        <v>20</v>
      </c>
      <c r="Y20">
        <v>20</v>
      </c>
      <c r="Z20">
        <v>20</v>
      </c>
      <c r="AA20">
        <v>20</v>
      </c>
      <c r="AB20">
        <v>20</v>
      </c>
      <c r="AC20">
        <v>15</v>
      </c>
      <c r="AD20">
        <v>11</v>
      </c>
      <c r="AE20" s="40">
        <v>14</v>
      </c>
      <c r="AF20">
        <v>6</v>
      </c>
      <c r="AG20">
        <v>20</v>
      </c>
      <c r="AH20">
        <v>5</v>
      </c>
      <c r="AI20">
        <v>13</v>
      </c>
      <c r="AJ20">
        <v>11</v>
      </c>
      <c r="AK20">
        <v>13</v>
      </c>
      <c r="AL20">
        <v>6</v>
      </c>
      <c r="AM20">
        <v>3</v>
      </c>
      <c r="AN20">
        <v>4</v>
      </c>
      <c r="AO20">
        <v>2</v>
      </c>
      <c r="AP20">
        <v>4</v>
      </c>
      <c r="AQ20">
        <v>3</v>
      </c>
      <c r="AR20">
        <v>1</v>
      </c>
      <c r="AS20">
        <v>1</v>
      </c>
      <c r="AT20">
        <v>3</v>
      </c>
      <c r="AU20">
        <v>3</v>
      </c>
      <c r="AV20">
        <v>1</v>
      </c>
      <c r="AW20">
        <v>3</v>
      </c>
      <c r="AX20">
        <v>7</v>
      </c>
      <c r="AY20">
        <v>7</v>
      </c>
      <c r="AZ20">
        <v>7</v>
      </c>
      <c r="BA20">
        <v>7</v>
      </c>
      <c r="BB20">
        <v>5</v>
      </c>
      <c r="BC20">
        <v>7</v>
      </c>
      <c r="BD20">
        <v>12</v>
      </c>
      <c r="BE20">
        <v>9</v>
      </c>
      <c r="BF20">
        <v>11</v>
      </c>
      <c r="BG20">
        <v>11</v>
      </c>
      <c r="BH20">
        <v>3</v>
      </c>
      <c r="BI20">
        <v>10</v>
      </c>
      <c r="BJ20">
        <v>9</v>
      </c>
      <c r="BK20">
        <v>8</v>
      </c>
      <c r="BL20">
        <v>6</v>
      </c>
      <c r="BM20">
        <v>6</v>
      </c>
      <c r="BN20">
        <v>10</v>
      </c>
      <c r="BO20">
        <v>7</v>
      </c>
      <c r="BP20">
        <v>7</v>
      </c>
      <c r="BQ20">
        <v>9</v>
      </c>
      <c r="BR20">
        <v>5</v>
      </c>
      <c r="BS20">
        <v>5</v>
      </c>
      <c r="BT20">
        <v>3</v>
      </c>
      <c r="BU20">
        <v>3</v>
      </c>
      <c r="BV20">
        <v>7</v>
      </c>
      <c r="BW20">
        <v>3</v>
      </c>
      <c r="BX20">
        <v>1</v>
      </c>
      <c r="BY20">
        <v>8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19</v>
      </c>
      <c r="CF20">
        <v>1</v>
      </c>
      <c r="CG20">
        <v>20</v>
      </c>
      <c r="CH20">
        <v>1</v>
      </c>
      <c r="CI20" t="s">
        <v>71</v>
      </c>
    </row>
    <row r="21" spans="1:87" x14ac:dyDescent="0.3">
      <c r="A21">
        <v>-1</v>
      </c>
      <c r="C21" t="s">
        <v>107</v>
      </c>
      <c r="D21" t="s">
        <v>284</v>
      </c>
      <c r="E21" t="s">
        <v>76</v>
      </c>
      <c r="F21">
        <v>68</v>
      </c>
      <c r="G21">
        <v>109</v>
      </c>
      <c r="H21">
        <v>20</v>
      </c>
      <c r="I21">
        <v>3180</v>
      </c>
      <c r="J21" s="40">
        <v>13265</v>
      </c>
      <c r="K21">
        <v>9852</v>
      </c>
      <c r="L21" t="b">
        <v>0</v>
      </c>
      <c r="M21" t="b">
        <v>0</v>
      </c>
      <c r="N21">
        <v>-218</v>
      </c>
      <c r="O21">
        <v>9100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12</v>
      </c>
      <c r="AD21">
        <v>9</v>
      </c>
      <c r="AE21" s="40">
        <v>8</v>
      </c>
      <c r="AF21">
        <v>6</v>
      </c>
      <c r="AG21">
        <v>9</v>
      </c>
      <c r="AH21">
        <v>10</v>
      </c>
      <c r="AI21">
        <v>9</v>
      </c>
      <c r="AJ21">
        <v>20</v>
      </c>
      <c r="AK21">
        <v>11</v>
      </c>
      <c r="AL21">
        <v>8</v>
      </c>
      <c r="AM21">
        <v>1</v>
      </c>
      <c r="AN21">
        <v>1</v>
      </c>
      <c r="AO21">
        <v>1</v>
      </c>
      <c r="AP21">
        <v>2</v>
      </c>
      <c r="AQ21">
        <v>3</v>
      </c>
      <c r="AR21">
        <v>2</v>
      </c>
      <c r="AS21">
        <v>3</v>
      </c>
      <c r="AT21">
        <v>3</v>
      </c>
      <c r="AU21">
        <v>3</v>
      </c>
      <c r="AV21">
        <v>2</v>
      </c>
      <c r="AW21">
        <v>3</v>
      </c>
      <c r="AX21">
        <v>13</v>
      </c>
      <c r="AY21">
        <v>11</v>
      </c>
      <c r="AZ21">
        <v>6</v>
      </c>
      <c r="BA21">
        <v>10</v>
      </c>
      <c r="BB21">
        <v>4</v>
      </c>
      <c r="BC21">
        <v>9</v>
      </c>
      <c r="BD21">
        <v>12</v>
      </c>
      <c r="BE21">
        <v>4</v>
      </c>
      <c r="BF21">
        <v>3</v>
      </c>
      <c r="BG21">
        <v>11</v>
      </c>
      <c r="BH21">
        <v>6</v>
      </c>
      <c r="BI21">
        <v>5</v>
      </c>
      <c r="BJ21">
        <v>5</v>
      </c>
      <c r="BK21">
        <v>8</v>
      </c>
      <c r="BL21">
        <v>4</v>
      </c>
      <c r="BM21">
        <v>3</v>
      </c>
      <c r="BN21">
        <v>13</v>
      </c>
      <c r="BO21">
        <v>9</v>
      </c>
      <c r="BP21">
        <v>12</v>
      </c>
      <c r="BQ21">
        <v>4</v>
      </c>
      <c r="BR21">
        <v>13</v>
      </c>
      <c r="BS21">
        <v>4</v>
      </c>
      <c r="BT21">
        <v>1</v>
      </c>
      <c r="BU21">
        <v>6</v>
      </c>
      <c r="BV21">
        <v>4</v>
      </c>
      <c r="BW21">
        <v>6</v>
      </c>
      <c r="BX21">
        <v>4</v>
      </c>
      <c r="BY21">
        <v>9</v>
      </c>
      <c r="BZ21">
        <v>1</v>
      </c>
      <c r="CA21">
        <v>3</v>
      </c>
      <c r="CB21">
        <v>1</v>
      </c>
      <c r="CC21">
        <v>1</v>
      </c>
      <c r="CD21">
        <v>1</v>
      </c>
      <c r="CE21">
        <v>1</v>
      </c>
      <c r="CF21">
        <v>1</v>
      </c>
      <c r="CG21">
        <v>16</v>
      </c>
      <c r="CH21">
        <v>20</v>
      </c>
      <c r="CI21" t="s">
        <v>71</v>
      </c>
    </row>
    <row r="22" spans="1:87" x14ac:dyDescent="0.3">
      <c r="A22">
        <v>-1</v>
      </c>
      <c r="C22" t="s">
        <v>132</v>
      </c>
      <c r="D22" t="s">
        <v>78</v>
      </c>
      <c r="E22" t="s">
        <v>76</v>
      </c>
      <c r="F22">
        <v>62</v>
      </c>
      <c r="G22">
        <v>72</v>
      </c>
      <c r="H22">
        <v>20</v>
      </c>
      <c r="I22">
        <v>3395</v>
      </c>
      <c r="J22" s="40">
        <v>0</v>
      </c>
      <c r="K22">
        <v>8334</v>
      </c>
      <c r="L22" t="b">
        <v>0</v>
      </c>
      <c r="M22" t="b">
        <v>0</v>
      </c>
      <c r="N22">
        <v>-140</v>
      </c>
      <c r="O22">
        <v>9500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20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11</v>
      </c>
      <c r="AD22">
        <v>11</v>
      </c>
      <c r="AE22" s="40">
        <v>11</v>
      </c>
      <c r="AF22">
        <v>10</v>
      </c>
      <c r="AG22">
        <v>9</v>
      </c>
      <c r="AH22">
        <v>10</v>
      </c>
      <c r="AI22">
        <v>10</v>
      </c>
      <c r="AJ22">
        <v>20</v>
      </c>
      <c r="AK22">
        <v>7</v>
      </c>
      <c r="AL22">
        <v>7</v>
      </c>
      <c r="AM22">
        <v>2</v>
      </c>
      <c r="AN22">
        <v>1</v>
      </c>
      <c r="AO22">
        <v>3</v>
      </c>
      <c r="AP22">
        <v>1</v>
      </c>
      <c r="AQ22">
        <v>3</v>
      </c>
      <c r="AR22">
        <v>3</v>
      </c>
      <c r="AS22">
        <v>2</v>
      </c>
      <c r="AT22">
        <v>3</v>
      </c>
      <c r="AU22">
        <v>2</v>
      </c>
      <c r="AV22">
        <v>3</v>
      </c>
      <c r="AW22">
        <v>1</v>
      </c>
      <c r="AX22">
        <v>6</v>
      </c>
      <c r="AY22">
        <v>6</v>
      </c>
      <c r="AZ22">
        <v>9</v>
      </c>
      <c r="BA22">
        <v>7</v>
      </c>
      <c r="BB22">
        <v>8</v>
      </c>
      <c r="BC22">
        <v>9</v>
      </c>
      <c r="BD22">
        <v>14</v>
      </c>
      <c r="BE22">
        <v>5</v>
      </c>
      <c r="BF22">
        <v>13</v>
      </c>
      <c r="BG22">
        <v>5</v>
      </c>
      <c r="BH22">
        <v>9</v>
      </c>
      <c r="BI22">
        <v>7</v>
      </c>
      <c r="BJ22">
        <v>12</v>
      </c>
      <c r="BK22">
        <v>11</v>
      </c>
      <c r="BL22">
        <v>5</v>
      </c>
      <c r="BM22">
        <v>5</v>
      </c>
      <c r="BN22">
        <v>5</v>
      </c>
      <c r="BO22">
        <v>6</v>
      </c>
      <c r="BP22">
        <v>10</v>
      </c>
      <c r="BQ22">
        <v>5</v>
      </c>
      <c r="BR22">
        <v>6</v>
      </c>
      <c r="BS22">
        <v>7</v>
      </c>
      <c r="BT22">
        <v>1</v>
      </c>
      <c r="BU22">
        <v>10</v>
      </c>
      <c r="BV22">
        <v>11</v>
      </c>
      <c r="BW22">
        <v>1</v>
      </c>
      <c r="BX22">
        <v>8</v>
      </c>
      <c r="BY22">
        <v>14</v>
      </c>
      <c r="BZ22">
        <v>1</v>
      </c>
      <c r="CA22">
        <v>1</v>
      </c>
      <c r="CB22">
        <v>1</v>
      </c>
      <c r="CC22">
        <v>7</v>
      </c>
      <c r="CD22">
        <v>20</v>
      </c>
      <c r="CE22">
        <v>1</v>
      </c>
      <c r="CF22">
        <v>1</v>
      </c>
      <c r="CG22">
        <v>1</v>
      </c>
      <c r="CH22">
        <v>1</v>
      </c>
      <c r="CI22" t="s">
        <v>71</v>
      </c>
    </row>
    <row r="23" spans="1:87" x14ac:dyDescent="0.3">
      <c r="A23">
        <v>-1</v>
      </c>
      <c r="C23" t="s">
        <v>69</v>
      </c>
      <c r="D23" t="s">
        <v>284</v>
      </c>
      <c r="E23" t="s">
        <v>70</v>
      </c>
      <c r="F23">
        <v>81</v>
      </c>
      <c r="G23">
        <v>163</v>
      </c>
      <c r="H23">
        <v>17</v>
      </c>
      <c r="I23">
        <v>1665</v>
      </c>
      <c r="J23" s="40">
        <v>0</v>
      </c>
      <c r="K23">
        <v>8359</v>
      </c>
      <c r="L23" t="b">
        <v>0</v>
      </c>
      <c r="M23" t="b">
        <v>0</v>
      </c>
      <c r="N23">
        <v>123</v>
      </c>
      <c r="O23">
        <v>10000</v>
      </c>
      <c r="P23">
        <v>15</v>
      </c>
      <c r="Q23">
        <v>14</v>
      </c>
      <c r="R23">
        <v>9</v>
      </c>
      <c r="S23">
        <v>6</v>
      </c>
      <c r="T23">
        <v>10</v>
      </c>
      <c r="U23">
        <v>8</v>
      </c>
      <c r="V23">
        <v>3</v>
      </c>
      <c r="W23">
        <v>8</v>
      </c>
      <c r="X23">
        <v>11</v>
      </c>
      <c r="Y23">
        <v>9</v>
      </c>
      <c r="Z23">
        <v>10</v>
      </c>
      <c r="AA23">
        <v>11</v>
      </c>
      <c r="AB23">
        <v>14</v>
      </c>
      <c r="AC23">
        <v>11</v>
      </c>
      <c r="AD23">
        <v>12</v>
      </c>
      <c r="AE23" s="40">
        <v>13</v>
      </c>
      <c r="AF23">
        <v>5</v>
      </c>
      <c r="AG23">
        <v>20</v>
      </c>
      <c r="AH23">
        <v>13</v>
      </c>
      <c r="AI23">
        <v>12</v>
      </c>
      <c r="AJ23">
        <v>13</v>
      </c>
      <c r="AK23">
        <v>10</v>
      </c>
      <c r="AL23">
        <v>3</v>
      </c>
      <c r="AM23">
        <v>1</v>
      </c>
      <c r="AN23">
        <v>1</v>
      </c>
      <c r="AO23">
        <v>3</v>
      </c>
      <c r="AP23">
        <v>3</v>
      </c>
      <c r="AQ23">
        <v>2</v>
      </c>
      <c r="AR23">
        <v>2</v>
      </c>
      <c r="AS23">
        <v>3</v>
      </c>
      <c r="AT23">
        <v>3</v>
      </c>
      <c r="AU23">
        <v>1</v>
      </c>
      <c r="AV23">
        <v>1</v>
      </c>
      <c r="AW23">
        <v>2</v>
      </c>
      <c r="AX23">
        <v>11</v>
      </c>
      <c r="AY23">
        <v>10</v>
      </c>
      <c r="AZ23">
        <v>4</v>
      </c>
      <c r="BA23">
        <v>11</v>
      </c>
      <c r="BB23">
        <v>7</v>
      </c>
      <c r="BC23">
        <v>10</v>
      </c>
      <c r="BD23">
        <v>3</v>
      </c>
      <c r="BE23">
        <v>14</v>
      </c>
      <c r="BF23">
        <v>5</v>
      </c>
      <c r="BG23">
        <v>12</v>
      </c>
      <c r="BH23">
        <v>4</v>
      </c>
      <c r="BI23">
        <v>15</v>
      </c>
      <c r="BJ23">
        <v>8</v>
      </c>
      <c r="BK23">
        <v>15</v>
      </c>
      <c r="BL23">
        <v>8</v>
      </c>
      <c r="BM23">
        <v>10</v>
      </c>
      <c r="BN23">
        <v>10</v>
      </c>
      <c r="BO23">
        <v>14</v>
      </c>
      <c r="BP23">
        <v>14</v>
      </c>
      <c r="BQ23">
        <v>5</v>
      </c>
      <c r="BR23">
        <v>7</v>
      </c>
      <c r="BS23">
        <v>6</v>
      </c>
      <c r="BT23">
        <v>2</v>
      </c>
      <c r="BU23">
        <v>3</v>
      </c>
      <c r="BV23">
        <v>9</v>
      </c>
      <c r="BW23">
        <v>8</v>
      </c>
      <c r="BX23">
        <v>1</v>
      </c>
      <c r="BY23">
        <v>14</v>
      </c>
      <c r="BZ23">
        <v>1</v>
      </c>
      <c r="CA23">
        <v>1</v>
      </c>
      <c r="CB23">
        <v>1</v>
      </c>
      <c r="CC23">
        <v>1</v>
      </c>
      <c r="CD23">
        <v>1</v>
      </c>
      <c r="CE23">
        <v>9</v>
      </c>
      <c r="CF23">
        <v>1</v>
      </c>
      <c r="CG23">
        <v>16</v>
      </c>
      <c r="CH23">
        <v>20</v>
      </c>
      <c r="CI23" t="s">
        <v>71</v>
      </c>
    </row>
    <row r="24" spans="1:87" x14ac:dyDescent="0.3">
      <c r="A24">
        <v>-1</v>
      </c>
      <c r="C24" t="s">
        <v>117</v>
      </c>
      <c r="D24" t="s">
        <v>118</v>
      </c>
      <c r="E24" t="s">
        <v>76</v>
      </c>
      <c r="F24">
        <v>54</v>
      </c>
      <c r="G24">
        <v>90</v>
      </c>
      <c r="H24">
        <v>21</v>
      </c>
      <c r="I24">
        <v>2983</v>
      </c>
      <c r="J24" s="40">
        <v>0</v>
      </c>
      <c r="K24">
        <v>10000</v>
      </c>
      <c r="L24" t="b">
        <v>0</v>
      </c>
      <c r="M24" t="b">
        <v>0</v>
      </c>
      <c r="N24">
        <v>-278</v>
      </c>
      <c r="O24">
        <v>7941</v>
      </c>
      <c r="P24">
        <v>6</v>
      </c>
      <c r="Q24">
        <v>5</v>
      </c>
      <c r="R24">
        <v>10</v>
      </c>
      <c r="S24">
        <v>9</v>
      </c>
      <c r="T24">
        <v>13</v>
      </c>
      <c r="U24">
        <v>11</v>
      </c>
      <c r="V24">
        <v>10</v>
      </c>
      <c r="W24">
        <v>9</v>
      </c>
      <c r="X24">
        <v>10</v>
      </c>
      <c r="Y24">
        <v>10</v>
      </c>
      <c r="Z24">
        <v>11</v>
      </c>
      <c r="AA24">
        <v>11</v>
      </c>
      <c r="AB24">
        <v>10</v>
      </c>
      <c r="AC24">
        <v>14</v>
      </c>
      <c r="AD24">
        <v>12</v>
      </c>
      <c r="AE24" s="40">
        <v>5</v>
      </c>
      <c r="AF24">
        <v>9</v>
      </c>
      <c r="AG24">
        <v>20</v>
      </c>
      <c r="AH24">
        <v>11</v>
      </c>
      <c r="AI24">
        <v>12</v>
      </c>
      <c r="AJ24">
        <v>8</v>
      </c>
      <c r="AK24">
        <v>7</v>
      </c>
      <c r="AL24">
        <v>5</v>
      </c>
      <c r="AM24">
        <v>3</v>
      </c>
      <c r="AN24">
        <v>2</v>
      </c>
      <c r="AO24">
        <v>1</v>
      </c>
      <c r="AP24">
        <v>2</v>
      </c>
      <c r="AQ24">
        <v>1</v>
      </c>
      <c r="AR24">
        <v>3</v>
      </c>
      <c r="AS24">
        <v>1</v>
      </c>
      <c r="AT24">
        <v>1</v>
      </c>
      <c r="AU24">
        <v>3</v>
      </c>
      <c r="AV24">
        <v>3</v>
      </c>
      <c r="AW24">
        <v>2</v>
      </c>
      <c r="AX24">
        <v>10</v>
      </c>
      <c r="AY24">
        <v>9</v>
      </c>
      <c r="AZ24">
        <v>5</v>
      </c>
      <c r="BA24">
        <v>8</v>
      </c>
      <c r="BB24">
        <v>11</v>
      </c>
      <c r="BC24">
        <v>8</v>
      </c>
      <c r="BD24">
        <v>12</v>
      </c>
      <c r="BE24">
        <v>6</v>
      </c>
      <c r="BF24">
        <v>13</v>
      </c>
      <c r="BG24">
        <v>7</v>
      </c>
      <c r="BH24">
        <v>6</v>
      </c>
      <c r="BI24">
        <v>7</v>
      </c>
      <c r="BJ24">
        <v>6</v>
      </c>
      <c r="BK24">
        <v>8</v>
      </c>
      <c r="BL24">
        <v>4</v>
      </c>
      <c r="BM24">
        <v>8</v>
      </c>
      <c r="BN24">
        <v>6</v>
      </c>
      <c r="BO24">
        <v>3</v>
      </c>
      <c r="BP24">
        <v>11</v>
      </c>
      <c r="BQ24">
        <v>4</v>
      </c>
      <c r="BR24">
        <v>5</v>
      </c>
      <c r="BS24">
        <v>4</v>
      </c>
      <c r="BT24">
        <v>4</v>
      </c>
      <c r="BU24">
        <v>9</v>
      </c>
      <c r="BV24">
        <v>5</v>
      </c>
      <c r="BW24">
        <v>1</v>
      </c>
      <c r="BX24">
        <v>10</v>
      </c>
      <c r="BY24">
        <v>8</v>
      </c>
      <c r="BZ24">
        <v>1</v>
      </c>
      <c r="CA24">
        <v>1</v>
      </c>
      <c r="CB24">
        <v>1</v>
      </c>
      <c r="CC24">
        <v>18</v>
      </c>
      <c r="CD24">
        <v>1</v>
      </c>
      <c r="CE24">
        <v>1</v>
      </c>
      <c r="CF24">
        <v>1</v>
      </c>
      <c r="CG24">
        <v>1</v>
      </c>
      <c r="CH24">
        <v>1</v>
      </c>
      <c r="CI24" t="s">
        <v>71</v>
      </c>
    </row>
    <row r="25" spans="1:87" x14ac:dyDescent="0.3">
      <c r="A25">
        <v>-1</v>
      </c>
      <c r="C25" t="s">
        <v>285</v>
      </c>
      <c r="D25" t="s">
        <v>286</v>
      </c>
      <c r="E25" t="s">
        <v>287</v>
      </c>
      <c r="F25">
        <v>52</v>
      </c>
      <c r="G25">
        <v>73</v>
      </c>
      <c r="H25">
        <v>20</v>
      </c>
      <c r="I25">
        <v>3436</v>
      </c>
      <c r="J25" s="40">
        <v>0</v>
      </c>
      <c r="K25">
        <v>10000</v>
      </c>
      <c r="L25" t="b">
        <v>0</v>
      </c>
      <c r="M25" t="b">
        <v>0</v>
      </c>
      <c r="N25">
        <v>-224</v>
      </c>
      <c r="O25">
        <v>8891</v>
      </c>
      <c r="P25">
        <v>8</v>
      </c>
      <c r="Q25">
        <v>10</v>
      </c>
      <c r="R25">
        <v>6</v>
      </c>
      <c r="S25">
        <v>14</v>
      </c>
      <c r="T25">
        <v>10</v>
      </c>
      <c r="U25">
        <v>10</v>
      </c>
      <c r="V25">
        <v>10</v>
      </c>
      <c r="W25">
        <v>10</v>
      </c>
      <c r="X25">
        <v>10</v>
      </c>
      <c r="Y25">
        <v>10</v>
      </c>
      <c r="Z25">
        <v>10</v>
      </c>
      <c r="AA25">
        <v>10</v>
      </c>
      <c r="AB25">
        <v>10</v>
      </c>
      <c r="AC25">
        <v>13</v>
      </c>
      <c r="AD25">
        <v>10</v>
      </c>
      <c r="AE25" s="40">
        <v>6</v>
      </c>
      <c r="AF25">
        <v>4</v>
      </c>
      <c r="AG25">
        <v>8</v>
      </c>
      <c r="AH25">
        <v>13</v>
      </c>
      <c r="AI25">
        <v>9</v>
      </c>
      <c r="AJ25">
        <v>20</v>
      </c>
      <c r="AK25">
        <v>10</v>
      </c>
      <c r="AL25">
        <v>1</v>
      </c>
      <c r="AM25">
        <v>2</v>
      </c>
      <c r="AN25">
        <v>4</v>
      </c>
      <c r="AO25">
        <v>2</v>
      </c>
      <c r="AP25">
        <v>3</v>
      </c>
      <c r="AQ25">
        <v>2</v>
      </c>
      <c r="AR25">
        <v>1</v>
      </c>
      <c r="AS25">
        <v>3</v>
      </c>
      <c r="AT25">
        <v>2</v>
      </c>
      <c r="AU25">
        <v>1</v>
      </c>
      <c r="AV25">
        <v>3</v>
      </c>
      <c r="AW25">
        <v>4</v>
      </c>
      <c r="AX25">
        <v>8</v>
      </c>
      <c r="AY25">
        <v>8</v>
      </c>
      <c r="AZ25">
        <v>6</v>
      </c>
      <c r="BA25">
        <v>6</v>
      </c>
      <c r="BB25">
        <v>5</v>
      </c>
      <c r="BC25">
        <v>9</v>
      </c>
      <c r="BD25">
        <v>14</v>
      </c>
      <c r="BE25">
        <v>9</v>
      </c>
      <c r="BF25">
        <v>7</v>
      </c>
      <c r="BG25">
        <v>9</v>
      </c>
      <c r="BH25">
        <v>6</v>
      </c>
      <c r="BI25">
        <v>6</v>
      </c>
      <c r="BJ25">
        <v>8</v>
      </c>
      <c r="BK25">
        <v>7</v>
      </c>
      <c r="BL25">
        <v>3</v>
      </c>
      <c r="BM25">
        <v>9</v>
      </c>
      <c r="BN25">
        <v>7</v>
      </c>
      <c r="BO25">
        <v>9</v>
      </c>
      <c r="BP25">
        <v>12</v>
      </c>
      <c r="BQ25">
        <v>1</v>
      </c>
      <c r="BR25">
        <v>6</v>
      </c>
      <c r="BS25">
        <v>6</v>
      </c>
      <c r="BT25">
        <v>4</v>
      </c>
      <c r="BU25">
        <v>4</v>
      </c>
      <c r="BV25">
        <v>7</v>
      </c>
      <c r="BW25">
        <v>4</v>
      </c>
      <c r="BX25">
        <v>6</v>
      </c>
      <c r="BY25">
        <v>11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1</v>
      </c>
      <c r="CF25">
        <v>16</v>
      </c>
      <c r="CG25">
        <v>20</v>
      </c>
      <c r="CH25">
        <v>1</v>
      </c>
      <c r="CI25" t="s">
        <v>71</v>
      </c>
    </row>
    <row r="26" spans="1:87" x14ac:dyDescent="0.3">
      <c r="A26">
        <v>-1</v>
      </c>
      <c r="C26" t="s">
        <v>140</v>
      </c>
      <c r="D26" t="s">
        <v>141</v>
      </c>
      <c r="E26" t="s">
        <v>76</v>
      </c>
      <c r="F26">
        <v>40</v>
      </c>
      <c r="G26">
        <v>50</v>
      </c>
      <c r="H26">
        <v>28</v>
      </c>
      <c r="I26">
        <v>2367</v>
      </c>
      <c r="J26" s="40">
        <v>0</v>
      </c>
      <c r="K26">
        <v>10000</v>
      </c>
      <c r="L26" t="b">
        <v>0</v>
      </c>
      <c r="M26" t="b">
        <v>0</v>
      </c>
      <c r="N26">
        <v>-265</v>
      </c>
      <c r="O26">
        <v>9198</v>
      </c>
      <c r="P26">
        <v>20</v>
      </c>
      <c r="Q26">
        <v>1</v>
      </c>
      <c r="R26">
        <v>20</v>
      </c>
      <c r="S26">
        <v>1</v>
      </c>
      <c r="T26">
        <v>20</v>
      </c>
      <c r="U26">
        <v>20</v>
      </c>
      <c r="V26">
        <v>20</v>
      </c>
      <c r="W26">
        <v>1</v>
      </c>
      <c r="X26">
        <v>20</v>
      </c>
      <c r="Y26">
        <v>20</v>
      </c>
      <c r="Z26">
        <v>20</v>
      </c>
      <c r="AA26">
        <v>20</v>
      </c>
      <c r="AB26">
        <v>20</v>
      </c>
      <c r="AC26">
        <v>12</v>
      </c>
      <c r="AD26">
        <v>9</v>
      </c>
      <c r="AE26" s="40">
        <v>5</v>
      </c>
      <c r="AF26">
        <v>8</v>
      </c>
      <c r="AG26">
        <v>9</v>
      </c>
      <c r="AH26">
        <v>9</v>
      </c>
      <c r="AI26">
        <v>10</v>
      </c>
      <c r="AJ26">
        <v>20</v>
      </c>
      <c r="AK26">
        <v>12</v>
      </c>
      <c r="AL26">
        <v>4</v>
      </c>
      <c r="AM26">
        <v>3</v>
      </c>
      <c r="AN26">
        <v>1</v>
      </c>
      <c r="AO26">
        <v>3</v>
      </c>
      <c r="AP26">
        <v>3</v>
      </c>
      <c r="AQ26">
        <v>3</v>
      </c>
      <c r="AR26">
        <v>4</v>
      </c>
      <c r="AS26">
        <v>3</v>
      </c>
      <c r="AT26">
        <v>2</v>
      </c>
      <c r="AU26">
        <v>3</v>
      </c>
      <c r="AV26">
        <v>2</v>
      </c>
      <c r="AW26">
        <v>3</v>
      </c>
      <c r="AX26">
        <v>13</v>
      </c>
      <c r="AY26">
        <v>8</v>
      </c>
      <c r="AZ26">
        <v>2</v>
      </c>
      <c r="BA26">
        <v>6</v>
      </c>
      <c r="BB26">
        <v>3</v>
      </c>
      <c r="BC26">
        <v>7</v>
      </c>
      <c r="BD26">
        <v>12</v>
      </c>
      <c r="BE26">
        <v>6</v>
      </c>
      <c r="BF26">
        <v>13</v>
      </c>
      <c r="BG26">
        <v>5</v>
      </c>
      <c r="BH26">
        <v>4</v>
      </c>
      <c r="BI26">
        <v>6</v>
      </c>
      <c r="BJ26">
        <v>4</v>
      </c>
      <c r="BK26">
        <v>11</v>
      </c>
      <c r="BL26">
        <v>4</v>
      </c>
      <c r="BM26">
        <v>10</v>
      </c>
      <c r="BN26">
        <v>6</v>
      </c>
      <c r="BO26">
        <v>4</v>
      </c>
      <c r="BP26">
        <v>10</v>
      </c>
      <c r="BQ26">
        <v>4</v>
      </c>
      <c r="BR26">
        <v>4</v>
      </c>
      <c r="BS26">
        <v>2</v>
      </c>
      <c r="BT26">
        <v>3</v>
      </c>
      <c r="BU26">
        <v>4</v>
      </c>
      <c r="BV26">
        <v>7</v>
      </c>
      <c r="BW26">
        <v>1</v>
      </c>
      <c r="BX26">
        <v>1</v>
      </c>
      <c r="BY26">
        <v>6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18</v>
      </c>
      <c r="CF26">
        <v>2</v>
      </c>
      <c r="CG26">
        <v>1</v>
      </c>
      <c r="CH26">
        <v>1</v>
      </c>
      <c r="CI26" t="s">
        <v>71</v>
      </c>
    </row>
    <row r="27" spans="1:87" x14ac:dyDescent="0.3">
      <c r="A27">
        <v>-1</v>
      </c>
      <c r="C27" t="s">
        <v>288</v>
      </c>
      <c r="D27" t="s">
        <v>73</v>
      </c>
      <c r="E27" t="s">
        <v>76</v>
      </c>
      <c r="F27">
        <v>51</v>
      </c>
      <c r="G27">
        <v>89</v>
      </c>
      <c r="H27">
        <v>19</v>
      </c>
      <c r="I27">
        <v>2371</v>
      </c>
      <c r="J27" s="40">
        <v>0</v>
      </c>
      <c r="K27">
        <v>10000</v>
      </c>
      <c r="L27" t="b">
        <v>0</v>
      </c>
      <c r="M27" t="b">
        <v>0</v>
      </c>
      <c r="N27">
        <v>-224</v>
      </c>
      <c r="O27">
        <v>5850</v>
      </c>
      <c r="P27">
        <v>8</v>
      </c>
      <c r="Q27">
        <v>13</v>
      </c>
      <c r="R27">
        <v>8</v>
      </c>
      <c r="S27">
        <v>6</v>
      </c>
      <c r="T27">
        <v>8</v>
      </c>
      <c r="U27">
        <v>10</v>
      </c>
      <c r="V27">
        <v>10</v>
      </c>
      <c r="W27">
        <v>10</v>
      </c>
      <c r="X27">
        <v>10</v>
      </c>
      <c r="Y27">
        <v>10</v>
      </c>
      <c r="Z27">
        <v>10</v>
      </c>
      <c r="AA27">
        <v>10</v>
      </c>
      <c r="AB27">
        <v>10</v>
      </c>
      <c r="AC27">
        <v>12</v>
      </c>
      <c r="AD27">
        <v>11</v>
      </c>
      <c r="AE27" s="40">
        <v>12</v>
      </c>
      <c r="AF27">
        <v>7</v>
      </c>
      <c r="AG27">
        <v>17</v>
      </c>
      <c r="AH27">
        <v>11</v>
      </c>
      <c r="AI27">
        <v>12</v>
      </c>
      <c r="AJ27">
        <v>20</v>
      </c>
      <c r="AK27">
        <v>3</v>
      </c>
      <c r="AL27">
        <v>4</v>
      </c>
      <c r="AM27">
        <v>1</v>
      </c>
      <c r="AN27">
        <v>3</v>
      </c>
      <c r="AO27">
        <v>2</v>
      </c>
      <c r="AP27">
        <v>2</v>
      </c>
      <c r="AQ27">
        <v>1</v>
      </c>
      <c r="AR27">
        <v>3</v>
      </c>
      <c r="AS27">
        <v>1</v>
      </c>
      <c r="AT27">
        <v>3</v>
      </c>
      <c r="AU27">
        <v>2</v>
      </c>
      <c r="AV27">
        <v>2</v>
      </c>
      <c r="AW27">
        <v>1</v>
      </c>
      <c r="AX27">
        <v>13</v>
      </c>
      <c r="AY27">
        <v>7</v>
      </c>
      <c r="AZ27">
        <v>3</v>
      </c>
      <c r="BA27">
        <v>7</v>
      </c>
      <c r="BB27">
        <v>4</v>
      </c>
      <c r="BC27">
        <v>3</v>
      </c>
      <c r="BD27">
        <v>9</v>
      </c>
      <c r="BE27">
        <v>11</v>
      </c>
      <c r="BF27">
        <v>9</v>
      </c>
      <c r="BG27">
        <v>10</v>
      </c>
      <c r="BH27">
        <v>1</v>
      </c>
      <c r="BI27">
        <v>2</v>
      </c>
      <c r="BJ27">
        <v>4</v>
      </c>
      <c r="BK27">
        <v>4</v>
      </c>
      <c r="BL27">
        <v>2</v>
      </c>
      <c r="BM27">
        <v>1</v>
      </c>
      <c r="BN27">
        <v>11</v>
      </c>
      <c r="BO27">
        <v>12</v>
      </c>
      <c r="BP27">
        <v>12</v>
      </c>
      <c r="BQ27">
        <v>2</v>
      </c>
      <c r="BR27">
        <v>6</v>
      </c>
      <c r="BS27">
        <v>4</v>
      </c>
      <c r="BT27">
        <v>1</v>
      </c>
      <c r="BU27">
        <v>2</v>
      </c>
      <c r="BV27">
        <v>10</v>
      </c>
      <c r="BW27">
        <v>5</v>
      </c>
      <c r="BX27">
        <v>1</v>
      </c>
      <c r="BY27">
        <v>10</v>
      </c>
      <c r="BZ27">
        <v>1</v>
      </c>
      <c r="CA27">
        <v>1</v>
      </c>
      <c r="CB27">
        <v>1</v>
      </c>
      <c r="CC27">
        <v>4</v>
      </c>
      <c r="CD27">
        <v>1</v>
      </c>
      <c r="CE27">
        <v>1</v>
      </c>
      <c r="CF27">
        <v>1</v>
      </c>
      <c r="CG27">
        <v>1</v>
      </c>
      <c r="CH27">
        <v>20</v>
      </c>
      <c r="CI27" t="s">
        <v>71</v>
      </c>
    </row>
    <row r="28" spans="1:87" x14ac:dyDescent="0.3">
      <c r="A28">
        <v>-1</v>
      </c>
      <c r="C28" t="s">
        <v>170</v>
      </c>
      <c r="D28" t="s">
        <v>172</v>
      </c>
      <c r="E28" t="s">
        <v>76</v>
      </c>
      <c r="F28">
        <v>55</v>
      </c>
      <c r="G28">
        <v>63</v>
      </c>
      <c r="H28">
        <v>20</v>
      </c>
      <c r="I28">
        <v>2704</v>
      </c>
      <c r="J28" s="40">
        <v>6946</v>
      </c>
      <c r="K28">
        <v>10000</v>
      </c>
      <c r="L28" t="b">
        <v>0</v>
      </c>
      <c r="M28" t="b">
        <v>0</v>
      </c>
      <c r="N28">
        <v>-224</v>
      </c>
      <c r="O28">
        <v>6844</v>
      </c>
      <c r="P28">
        <v>18</v>
      </c>
      <c r="Q28">
        <v>11</v>
      </c>
      <c r="R28">
        <v>10</v>
      </c>
      <c r="S28">
        <v>6</v>
      </c>
      <c r="T28">
        <v>8</v>
      </c>
      <c r="U28">
        <v>10</v>
      </c>
      <c r="V28">
        <v>10</v>
      </c>
      <c r="W28">
        <v>10</v>
      </c>
      <c r="X28">
        <v>10</v>
      </c>
      <c r="Y28">
        <v>11</v>
      </c>
      <c r="Z28">
        <v>12</v>
      </c>
      <c r="AA28">
        <v>10</v>
      </c>
      <c r="AB28">
        <v>10</v>
      </c>
      <c r="AC28">
        <v>9</v>
      </c>
      <c r="AD28">
        <v>8</v>
      </c>
      <c r="AE28" s="40">
        <v>7</v>
      </c>
      <c r="AF28">
        <v>6</v>
      </c>
      <c r="AG28">
        <v>12</v>
      </c>
      <c r="AH28">
        <v>12</v>
      </c>
      <c r="AI28">
        <v>10</v>
      </c>
      <c r="AJ28">
        <v>20</v>
      </c>
      <c r="AK28">
        <v>9</v>
      </c>
      <c r="AL28">
        <v>6</v>
      </c>
      <c r="AM28">
        <v>3</v>
      </c>
      <c r="AN28">
        <v>2</v>
      </c>
      <c r="AO28">
        <v>1</v>
      </c>
      <c r="AP28">
        <v>3</v>
      </c>
      <c r="AQ28">
        <v>2</v>
      </c>
      <c r="AR28">
        <v>2</v>
      </c>
      <c r="AS28">
        <v>2</v>
      </c>
      <c r="AT28">
        <v>2</v>
      </c>
      <c r="AU28">
        <v>3</v>
      </c>
      <c r="AV28">
        <v>3</v>
      </c>
      <c r="AW28">
        <v>1</v>
      </c>
      <c r="AX28">
        <v>6</v>
      </c>
      <c r="AY28">
        <v>6</v>
      </c>
      <c r="AZ28">
        <v>3</v>
      </c>
      <c r="BA28">
        <v>6</v>
      </c>
      <c r="BB28">
        <v>2</v>
      </c>
      <c r="BC28">
        <v>12</v>
      </c>
      <c r="BD28">
        <v>14</v>
      </c>
      <c r="BE28">
        <v>11</v>
      </c>
      <c r="BF28">
        <v>12</v>
      </c>
      <c r="BG28">
        <v>12</v>
      </c>
      <c r="BH28">
        <v>5</v>
      </c>
      <c r="BI28">
        <v>13</v>
      </c>
      <c r="BJ28">
        <v>8</v>
      </c>
      <c r="BK28">
        <v>8</v>
      </c>
      <c r="BL28">
        <v>5</v>
      </c>
      <c r="BM28">
        <v>7</v>
      </c>
      <c r="BN28">
        <v>6</v>
      </c>
      <c r="BO28">
        <v>8</v>
      </c>
      <c r="BP28">
        <v>14</v>
      </c>
      <c r="BQ28">
        <v>5</v>
      </c>
      <c r="BR28">
        <v>5</v>
      </c>
      <c r="BS28">
        <v>6</v>
      </c>
      <c r="BT28">
        <v>3</v>
      </c>
      <c r="BU28">
        <v>7</v>
      </c>
      <c r="BV28">
        <v>12</v>
      </c>
      <c r="BW28">
        <v>3</v>
      </c>
      <c r="BX28">
        <v>3</v>
      </c>
      <c r="BY28">
        <v>12</v>
      </c>
      <c r="BZ28">
        <v>1</v>
      </c>
      <c r="CA28">
        <v>3</v>
      </c>
      <c r="CB28">
        <v>1</v>
      </c>
      <c r="CC28">
        <v>1</v>
      </c>
      <c r="CD28">
        <v>3</v>
      </c>
      <c r="CE28">
        <v>1</v>
      </c>
      <c r="CF28">
        <v>15</v>
      </c>
      <c r="CG28">
        <v>1</v>
      </c>
      <c r="CH28">
        <v>1</v>
      </c>
      <c r="CI28" t="s">
        <v>71</v>
      </c>
    </row>
    <row r="29" spans="1:87" x14ac:dyDescent="0.3">
      <c r="A29">
        <v>-1</v>
      </c>
      <c r="C29" t="s">
        <v>289</v>
      </c>
      <c r="D29" t="s">
        <v>112</v>
      </c>
      <c r="E29" t="s">
        <v>76</v>
      </c>
      <c r="F29">
        <v>56</v>
      </c>
      <c r="G29">
        <v>81</v>
      </c>
      <c r="H29">
        <v>19</v>
      </c>
      <c r="I29">
        <v>2146</v>
      </c>
      <c r="J29" s="40">
        <v>0</v>
      </c>
      <c r="K29">
        <v>8926</v>
      </c>
      <c r="L29" t="b">
        <v>0</v>
      </c>
      <c r="M29" t="b">
        <v>0</v>
      </c>
      <c r="N29">
        <v>-182</v>
      </c>
      <c r="O29">
        <v>7100</v>
      </c>
      <c r="P29">
        <v>9</v>
      </c>
      <c r="Q29">
        <v>7</v>
      </c>
      <c r="R29">
        <v>7</v>
      </c>
      <c r="S29">
        <v>8</v>
      </c>
      <c r="T29">
        <v>11</v>
      </c>
      <c r="U29">
        <v>10</v>
      </c>
      <c r="V29">
        <v>10</v>
      </c>
      <c r="W29">
        <v>10</v>
      </c>
      <c r="X29">
        <v>9</v>
      </c>
      <c r="Y29">
        <v>10</v>
      </c>
      <c r="Z29">
        <v>11</v>
      </c>
      <c r="AA29">
        <v>10</v>
      </c>
      <c r="AB29">
        <v>10</v>
      </c>
      <c r="AC29">
        <v>8</v>
      </c>
      <c r="AD29">
        <v>10</v>
      </c>
      <c r="AE29" s="40">
        <v>6</v>
      </c>
      <c r="AF29">
        <v>13</v>
      </c>
      <c r="AG29">
        <v>8</v>
      </c>
      <c r="AH29">
        <v>7</v>
      </c>
      <c r="AI29">
        <v>11</v>
      </c>
      <c r="AJ29">
        <v>20</v>
      </c>
      <c r="AK29">
        <v>5</v>
      </c>
      <c r="AL29">
        <v>7</v>
      </c>
      <c r="AM29">
        <v>1</v>
      </c>
      <c r="AN29">
        <v>3</v>
      </c>
      <c r="AO29">
        <v>1</v>
      </c>
      <c r="AP29">
        <v>3</v>
      </c>
      <c r="AQ29">
        <v>2</v>
      </c>
      <c r="AR29">
        <v>3</v>
      </c>
      <c r="AS29">
        <v>2</v>
      </c>
      <c r="AT29">
        <v>2</v>
      </c>
      <c r="AU29">
        <v>2</v>
      </c>
      <c r="AV29">
        <v>1</v>
      </c>
      <c r="AW29">
        <v>2</v>
      </c>
      <c r="AX29">
        <v>10</v>
      </c>
      <c r="AY29">
        <v>11</v>
      </c>
      <c r="AZ29">
        <v>7</v>
      </c>
      <c r="BA29">
        <v>1</v>
      </c>
      <c r="BB29">
        <v>8</v>
      </c>
      <c r="BC29">
        <v>13</v>
      </c>
      <c r="BD29">
        <v>6</v>
      </c>
      <c r="BE29">
        <v>5</v>
      </c>
      <c r="BF29">
        <v>10</v>
      </c>
      <c r="BG29">
        <v>3</v>
      </c>
      <c r="BH29">
        <v>7</v>
      </c>
      <c r="BI29">
        <v>3</v>
      </c>
      <c r="BJ29">
        <v>5</v>
      </c>
      <c r="BK29">
        <v>4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12</v>
      </c>
      <c r="BS29">
        <v>1</v>
      </c>
      <c r="BT29">
        <v>1</v>
      </c>
      <c r="BU29">
        <v>13</v>
      </c>
      <c r="BV29">
        <v>3</v>
      </c>
      <c r="BW29">
        <v>1</v>
      </c>
      <c r="BX29">
        <v>10</v>
      </c>
      <c r="BY29">
        <v>4</v>
      </c>
      <c r="BZ29">
        <v>1</v>
      </c>
      <c r="CA29">
        <v>1</v>
      </c>
      <c r="CB29">
        <v>20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 t="s">
        <v>71</v>
      </c>
    </row>
    <row r="30" spans="1:87" x14ac:dyDescent="0.3">
      <c r="A30">
        <v>-1</v>
      </c>
      <c r="C30" t="s">
        <v>274</v>
      </c>
      <c r="D30" t="s">
        <v>290</v>
      </c>
      <c r="E30" t="s">
        <v>76</v>
      </c>
      <c r="F30">
        <v>42</v>
      </c>
      <c r="G30">
        <v>75</v>
      </c>
      <c r="H30">
        <v>19</v>
      </c>
      <c r="I30">
        <v>2055</v>
      </c>
      <c r="J30" s="40">
        <v>0</v>
      </c>
      <c r="K30">
        <v>7926</v>
      </c>
      <c r="L30" t="b">
        <v>0</v>
      </c>
      <c r="M30" t="b">
        <v>0</v>
      </c>
      <c r="N30">
        <v>-142</v>
      </c>
      <c r="O30">
        <v>7500</v>
      </c>
      <c r="P30">
        <v>6</v>
      </c>
      <c r="Q30">
        <v>10</v>
      </c>
      <c r="R30">
        <v>6</v>
      </c>
      <c r="S30">
        <v>14</v>
      </c>
      <c r="T30">
        <v>12</v>
      </c>
      <c r="U30">
        <v>10</v>
      </c>
      <c r="V30">
        <v>10</v>
      </c>
      <c r="W30">
        <v>10</v>
      </c>
      <c r="X30">
        <v>10</v>
      </c>
      <c r="Y30">
        <v>10</v>
      </c>
      <c r="Z30">
        <v>10</v>
      </c>
      <c r="AA30">
        <v>10</v>
      </c>
      <c r="AB30">
        <v>10</v>
      </c>
      <c r="AC30">
        <v>13</v>
      </c>
      <c r="AD30">
        <v>9</v>
      </c>
      <c r="AE30" s="40">
        <v>3</v>
      </c>
      <c r="AF30">
        <v>11</v>
      </c>
      <c r="AG30">
        <v>20</v>
      </c>
      <c r="AH30">
        <v>7</v>
      </c>
      <c r="AI30">
        <v>12</v>
      </c>
      <c r="AJ30">
        <v>9</v>
      </c>
      <c r="AK30">
        <v>5</v>
      </c>
      <c r="AL30">
        <v>4</v>
      </c>
      <c r="AM30">
        <v>3</v>
      </c>
      <c r="AN30">
        <v>3</v>
      </c>
      <c r="AO30">
        <v>3</v>
      </c>
      <c r="AP30">
        <v>1</v>
      </c>
      <c r="AQ30">
        <v>1</v>
      </c>
      <c r="AR30">
        <v>2</v>
      </c>
      <c r="AS30">
        <v>1</v>
      </c>
      <c r="AT30">
        <v>3</v>
      </c>
      <c r="AU30">
        <v>1</v>
      </c>
      <c r="AV30">
        <v>1</v>
      </c>
      <c r="AW30">
        <v>2</v>
      </c>
      <c r="AX30">
        <v>6</v>
      </c>
      <c r="AY30">
        <v>7</v>
      </c>
      <c r="AZ30">
        <v>7</v>
      </c>
      <c r="BA30">
        <v>4</v>
      </c>
      <c r="BB30">
        <v>7</v>
      </c>
      <c r="BC30">
        <v>13</v>
      </c>
      <c r="BD30">
        <v>4</v>
      </c>
      <c r="BE30">
        <v>9</v>
      </c>
      <c r="BF30">
        <v>10</v>
      </c>
      <c r="BG30">
        <v>2</v>
      </c>
      <c r="BH30">
        <v>5</v>
      </c>
      <c r="BI30">
        <v>6</v>
      </c>
      <c r="BJ30">
        <v>6</v>
      </c>
      <c r="BK30">
        <v>6</v>
      </c>
      <c r="BL30">
        <v>4</v>
      </c>
      <c r="BM30">
        <v>10</v>
      </c>
      <c r="BN30">
        <v>5</v>
      </c>
      <c r="BO30">
        <v>1</v>
      </c>
      <c r="BP30">
        <v>8</v>
      </c>
      <c r="BQ30">
        <v>2</v>
      </c>
      <c r="BR30">
        <v>5</v>
      </c>
      <c r="BS30">
        <v>1</v>
      </c>
      <c r="BT30">
        <v>4</v>
      </c>
      <c r="BU30">
        <v>7</v>
      </c>
      <c r="BV30">
        <v>4</v>
      </c>
      <c r="BW30">
        <v>1</v>
      </c>
      <c r="BX30">
        <v>12</v>
      </c>
      <c r="BY30">
        <v>5</v>
      </c>
      <c r="BZ30">
        <v>1</v>
      </c>
      <c r="CA30">
        <v>16</v>
      </c>
      <c r="CB30">
        <v>1</v>
      </c>
      <c r="CC30">
        <v>20</v>
      </c>
      <c r="CD30">
        <v>1</v>
      </c>
      <c r="CE30">
        <v>1</v>
      </c>
      <c r="CF30">
        <v>1</v>
      </c>
      <c r="CG30">
        <v>1</v>
      </c>
      <c r="CH30">
        <v>1</v>
      </c>
      <c r="CI30" t="s">
        <v>71</v>
      </c>
    </row>
    <row r="31" spans="1:87" x14ac:dyDescent="0.3">
      <c r="A31">
        <v>-1</v>
      </c>
      <c r="C31" t="s">
        <v>165</v>
      </c>
      <c r="D31" t="s">
        <v>166</v>
      </c>
      <c r="E31" t="s">
        <v>76</v>
      </c>
      <c r="F31">
        <v>52</v>
      </c>
      <c r="G31">
        <v>81</v>
      </c>
      <c r="H31">
        <v>20</v>
      </c>
      <c r="I31">
        <v>2220</v>
      </c>
      <c r="J31" s="40">
        <v>0</v>
      </c>
      <c r="K31">
        <v>8844</v>
      </c>
      <c r="L31" t="b">
        <v>0</v>
      </c>
      <c r="M31" t="b">
        <v>0</v>
      </c>
      <c r="N31">
        <v>-153</v>
      </c>
      <c r="O31">
        <v>9100</v>
      </c>
      <c r="P31">
        <v>18</v>
      </c>
      <c r="Q31">
        <v>5</v>
      </c>
      <c r="R31">
        <v>2</v>
      </c>
      <c r="S31">
        <v>12</v>
      </c>
      <c r="T31">
        <v>10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7</v>
      </c>
      <c r="AD31">
        <v>11</v>
      </c>
      <c r="AE31" s="40">
        <v>5</v>
      </c>
      <c r="AF31">
        <v>11</v>
      </c>
      <c r="AG31">
        <v>11</v>
      </c>
      <c r="AH31">
        <v>7</v>
      </c>
      <c r="AI31">
        <v>12</v>
      </c>
      <c r="AJ31">
        <v>20</v>
      </c>
      <c r="AK31">
        <v>7</v>
      </c>
      <c r="AL31">
        <v>3</v>
      </c>
      <c r="AM31">
        <v>2</v>
      </c>
      <c r="AN31">
        <v>1</v>
      </c>
      <c r="AO31">
        <v>2</v>
      </c>
      <c r="AP31">
        <v>1</v>
      </c>
      <c r="AQ31">
        <v>1</v>
      </c>
      <c r="AR31">
        <v>1</v>
      </c>
      <c r="AS31">
        <v>2</v>
      </c>
      <c r="AT31">
        <v>1</v>
      </c>
      <c r="AU31">
        <v>1</v>
      </c>
      <c r="AV31">
        <v>3</v>
      </c>
      <c r="AW31">
        <v>2</v>
      </c>
      <c r="AX31">
        <v>10</v>
      </c>
      <c r="AY31">
        <v>7</v>
      </c>
      <c r="AZ31">
        <v>6</v>
      </c>
      <c r="BA31">
        <v>7</v>
      </c>
      <c r="BB31">
        <v>4</v>
      </c>
      <c r="BC31">
        <v>12</v>
      </c>
      <c r="BD31">
        <v>5</v>
      </c>
      <c r="BE31">
        <v>12</v>
      </c>
      <c r="BF31">
        <v>2</v>
      </c>
      <c r="BG31">
        <v>8</v>
      </c>
      <c r="BH31">
        <v>4</v>
      </c>
      <c r="BI31">
        <v>5</v>
      </c>
      <c r="BJ31">
        <v>11</v>
      </c>
      <c r="BK31">
        <v>10</v>
      </c>
      <c r="BL31">
        <v>4</v>
      </c>
      <c r="BM31">
        <v>3</v>
      </c>
      <c r="BN31">
        <v>7</v>
      </c>
      <c r="BO31">
        <v>8</v>
      </c>
      <c r="BP31">
        <v>13</v>
      </c>
      <c r="BQ31">
        <v>3</v>
      </c>
      <c r="BR31">
        <v>4</v>
      </c>
      <c r="BS31">
        <v>5</v>
      </c>
      <c r="BT31">
        <v>3</v>
      </c>
      <c r="BU31">
        <v>7</v>
      </c>
      <c r="BV31">
        <v>6</v>
      </c>
      <c r="BW31">
        <v>2</v>
      </c>
      <c r="BX31">
        <v>5</v>
      </c>
      <c r="BY31">
        <v>12</v>
      </c>
      <c r="BZ31">
        <v>1</v>
      </c>
      <c r="CA31">
        <v>1</v>
      </c>
      <c r="CB31">
        <v>1</v>
      </c>
      <c r="CC31">
        <v>1</v>
      </c>
      <c r="CD31">
        <v>10</v>
      </c>
      <c r="CE31">
        <v>3</v>
      </c>
      <c r="CF31">
        <v>17</v>
      </c>
      <c r="CG31">
        <v>2</v>
      </c>
      <c r="CH31">
        <v>1</v>
      </c>
      <c r="CI31" t="s">
        <v>71</v>
      </c>
    </row>
    <row r="32" spans="1:87" x14ac:dyDescent="0.3">
      <c r="A32">
        <v>-1</v>
      </c>
      <c r="C32" t="s">
        <v>291</v>
      </c>
      <c r="D32" t="s">
        <v>78</v>
      </c>
      <c r="E32" t="s">
        <v>76</v>
      </c>
      <c r="F32">
        <v>57</v>
      </c>
      <c r="G32">
        <v>70</v>
      </c>
      <c r="H32">
        <v>19</v>
      </c>
      <c r="I32">
        <v>2878</v>
      </c>
      <c r="J32" s="40">
        <v>8774</v>
      </c>
      <c r="K32">
        <v>8107</v>
      </c>
      <c r="L32" t="b">
        <v>0</v>
      </c>
      <c r="M32" t="b">
        <v>0</v>
      </c>
      <c r="N32">
        <v>-3</v>
      </c>
      <c r="O32">
        <v>9600</v>
      </c>
      <c r="P32">
        <v>10</v>
      </c>
      <c r="Q32">
        <v>13</v>
      </c>
      <c r="R32">
        <v>3</v>
      </c>
      <c r="S32">
        <v>12</v>
      </c>
      <c r="T32">
        <v>11</v>
      </c>
      <c r="U32">
        <v>10</v>
      </c>
      <c r="V32">
        <v>11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9</v>
      </c>
      <c r="AD32">
        <v>13</v>
      </c>
      <c r="AE32" s="40">
        <v>10</v>
      </c>
      <c r="AF32">
        <v>8</v>
      </c>
      <c r="AG32">
        <v>9</v>
      </c>
      <c r="AH32">
        <v>7</v>
      </c>
      <c r="AI32">
        <v>9</v>
      </c>
      <c r="AJ32">
        <v>20</v>
      </c>
      <c r="AK32">
        <v>12</v>
      </c>
      <c r="AL32">
        <v>7</v>
      </c>
      <c r="AM32">
        <v>3</v>
      </c>
      <c r="AN32">
        <v>3</v>
      </c>
      <c r="AO32">
        <v>3</v>
      </c>
      <c r="AP32">
        <v>2</v>
      </c>
      <c r="AQ32">
        <v>1</v>
      </c>
      <c r="AR32">
        <v>3</v>
      </c>
      <c r="AS32">
        <v>2</v>
      </c>
      <c r="AT32">
        <v>3</v>
      </c>
      <c r="AU32">
        <v>1</v>
      </c>
      <c r="AV32">
        <v>2</v>
      </c>
      <c r="AW32">
        <v>3</v>
      </c>
      <c r="AX32">
        <v>15</v>
      </c>
      <c r="AY32">
        <v>10</v>
      </c>
      <c r="AZ32">
        <v>6</v>
      </c>
      <c r="BA32">
        <v>9</v>
      </c>
      <c r="BB32">
        <v>6</v>
      </c>
      <c r="BC32">
        <v>6</v>
      </c>
      <c r="BD32">
        <v>16</v>
      </c>
      <c r="BE32">
        <v>5</v>
      </c>
      <c r="BF32">
        <v>7</v>
      </c>
      <c r="BG32">
        <v>9</v>
      </c>
      <c r="BH32">
        <v>8</v>
      </c>
      <c r="BI32">
        <v>11</v>
      </c>
      <c r="BJ32">
        <v>10</v>
      </c>
      <c r="BK32">
        <v>14</v>
      </c>
      <c r="BL32">
        <v>7</v>
      </c>
      <c r="BM32">
        <v>6</v>
      </c>
      <c r="BN32">
        <v>3</v>
      </c>
      <c r="BO32">
        <v>7</v>
      </c>
      <c r="BP32">
        <v>9</v>
      </c>
      <c r="BQ32">
        <v>7</v>
      </c>
      <c r="BR32">
        <v>3</v>
      </c>
      <c r="BS32">
        <v>9</v>
      </c>
      <c r="BT32">
        <v>1</v>
      </c>
      <c r="BU32">
        <v>5</v>
      </c>
      <c r="BV32">
        <v>8</v>
      </c>
      <c r="BW32">
        <v>3</v>
      </c>
      <c r="BX32">
        <v>5</v>
      </c>
      <c r="BY32">
        <v>13</v>
      </c>
      <c r="BZ32">
        <v>1</v>
      </c>
      <c r="CA32">
        <v>1</v>
      </c>
      <c r="CB32">
        <v>1</v>
      </c>
      <c r="CC32">
        <v>1</v>
      </c>
      <c r="CD32">
        <v>20</v>
      </c>
      <c r="CE32">
        <v>1</v>
      </c>
      <c r="CF32">
        <v>1</v>
      </c>
      <c r="CG32">
        <v>1</v>
      </c>
      <c r="CH32">
        <v>1</v>
      </c>
      <c r="CI32" t="s">
        <v>71</v>
      </c>
    </row>
    <row r="33" spans="1:87" x14ac:dyDescent="0.3">
      <c r="A33">
        <v>-2</v>
      </c>
      <c r="C33" t="s">
        <v>150</v>
      </c>
      <c r="D33" t="s">
        <v>73</v>
      </c>
      <c r="E33" t="s">
        <v>151</v>
      </c>
      <c r="F33">
        <v>45</v>
      </c>
      <c r="G33">
        <v>93</v>
      </c>
      <c r="H33">
        <v>17</v>
      </c>
      <c r="I33">
        <v>2441</v>
      </c>
      <c r="J33" s="40">
        <v>-1</v>
      </c>
      <c r="K33">
        <v>10000</v>
      </c>
      <c r="L33" t="b">
        <v>0</v>
      </c>
      <c r="M33" t="b">
        <v>0</v>
      </c>
      <c r="N33">
        <v>22</v>
      </c>
      <c r="O33">
        <v>5950</v>
      </c>
      <c r="P33">
        <v>5</v>
      </c>
      <c r="Q33">
        <v>8</v>
      </c>
      <c r="R33">
        <v>10</v>
      </c>
      <c r="S33">
        <v>8</v>
      </c>
      <c r="T33">
        <v>7</v>
      </c>
      <c r="U33">
        <v>14</v>
      </c>
      <c r="V33">
        <v>10</v>
      </c>
      <c r="W33">
        <v>8</v>
      </c>
      <c r="X33">
        <v>16</v>
      </c>
      <c r="Y33">
        <v>11</v>
      </c>
      <c r="Z33">
        <v>9</v>
      </c>
      <c r="AA33">
        <v>9</v>
      </c>
      <c r="AB33">
        <v>15</v>
      </c>
      <c r="AC33">
        <v>11</v>
      </c>
      <c r="AD33">
        <v>8</v>
      </c>
      <c r="AE33" s="40">
        <v>12</v>
      </c>
      <c r="AF33">
        <v>7</v>
      </c>
      <c r="AG33">
        <v>20</v>
      </c>
      <c r="AH33">
        <v>14</v>
      </c>
      <c r="AI33">
        <v>8</v>
      </c>
      <c r="AJ33">
        <v>12</v>
      </c>
      <c r="AK33">
        <v>9</v>
      </c>
      <c r="AL33">
        <v>6</v>
      </c>
      <c r="AM33">
        <v>2</v>
      </c>
      <c r="AN33">
        <v>3</v>
      </c>
      <c r="AO33">
        <v>3</v>
      </c>
      <c r="AP33">
        <v>2</v>
      </c>
      <c r="AQ33">
        <v>2</v>
      </c>
      <c r="AR33">
        <v>3</v>
      </c>
      <c r="AS33">
        <v>1</v>
      </c>
      <c r="AT33">
        <v>1</v>
      </c>
      <c r="AU33">
        <v>3</v>
      </c>
      <c r="AV33">
        <v>1</v>
      </c>
      <c r="AW33">
        <v>2</v>
      </c>
      <c r="AX33">
        <v>9</v>
      </c>
      <c r="AY33">
        <v>7</v>
      </c>
      <c r="AZ33">
        <v>16</v>
      </c>
      <c r="BA33">
        <v>7</v>
      </c>
      <c r="BB33">
        <v>4</v>
      </c>
      <c r="BC33">
        <v>9</v>
      </c>
      <c r="BD33">
        <v>5</v>
      </c>
      <c r="BE33">
        <v>8</v>
      </c>
      <c r="BF33">
        <v>5</v>
      </c>
      <c r="BG33">
        <v>8</v>
      </c>
      <c r="BH33">
        <v>2</v>
      </c>
      <c r="BI33">
        <v>3</v>
      </c>
      <c r="BJ33">
        <v>5</v>
      </c>
      <c r="BK33">
        <v>7</v>
      </c>
      <c r="BL33">
        <v>3</v>
      </c>
      <c r="BM33">
        <v>7</v>
      </c>
      <c r="BN33">
        <v>11</v>
      </c>
      <c r="BO33">
        <v>10</v>
      </c>
      <c r="BP33">
        <v>10</v>
      </c>
      <c r="BQ33">
        <v>1</v>
      </c>
      <c r="BR33">
        <v>6</v>
      </c>
      <c r="BS33">
        <v>4</v>
      </c>
      <c r="BT33">
        <v>3</v>
      </c>
      <c r="BU33">
        <v>3</v>
      </c>
      <c r="BV33">
        <v>7</v>
      </c>
      <c r="BW33">
        <v>4</v>
      </c>
      <c r="BX33">
        <v>2</v>
      </c>
      <c r="BY33">
        <v>9</v>
      </c>
      <c r="BZ33">
        <v>1</v>
      </c>
      <c r="CA33">
        <v>1</v>
      </c>
      <c r="CB33">
        <v>1</v>
      </c>
      <c r="CC33">
        <v>1</v>
      </c>
      <c r="CD33">
        <v>1</v>
      </c>
      <c r="CE33">
        <v>1</v>
      </c>
      <c r="CF33">
        <v>1</v>
      </c>
      <c r="CG33">
        <v>1</v>
      </c>
      <c r="CH33">
        <v>20</v>
      </c>
    </row>
    <row r="34" spans="1:87" x14ac:dyDescent="0.3">
      <c r="A34">
        <v>-1</v>
      </c>
      <c r="C34" t="s">
        <v>158</v>
      </c>
      <c r="D34" t="s">
        <v>159</v>
      </c>
      <c r="E34" t="s">
        <v>76</v>
      </c>
      <c r="F34">
        <v>60</v>
      </c>
      <c r="G34">
        <v>80</v>
      </c>
      <c r="H34">
        <v>20</v>
      </c>
      <c r="I34">
        <v>2776</v>
      </c>
      <c r="J34" s="40">
        <v>0</v>
      </c>
      <c r="K34">
        <v>7318</v>
      </c>
      <c r="L34" t="b">
        <v>0</v>
      </c>
      <c r="M34" t="b">
        <v>0</v>
      </c>
      <c r="N34">
        <v>63</v>
      </c>
      <c r="O34">
        <v>10000</v>
      </c>
      <c r="P34">
        <v>7</v>
      </c>
      <c r="Q34">
        <v>5</v>
      </c>
      <c r="R34">
        <v>12</v>
      </c>
      <c r="S34">
        <v>10</v>
      </c>
      <c r="T34">
        <v>14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8</v>
      </c>
      <c r="AD34">
        <v>9</v>
      </c>
      <c r="AE34" s="40">
        <v>8</v>
      </c>
      <c r="AF34">
        <v>13</v>
      </c>
      <c r="AG34">
        <v>10</v>
      </c>
      <c r="AH34">
        <v>11</v>
      </c>
      <c r="AI34">
        <v>12</v>
      </c>
      <c r="AJ34">
        <v>20</v>
      </c>
      <c r="AK34">
        <v>6</v>
      </c>
      <c r="AL34">
        <v>7</v>
      </c>
      <c r="AM34">
        <v>1</v>
      </c>
      <c r="AN34">
        <v>1</v>
      </c>
      <c r="AO34">
        <v>3</v>
      </c>
      <c r="AP34">
        <v>3</v>
      </c>
      <c r="AQ34">
        <v>3</v>
      </c>
      <c r="AR34">
        <v>2</v>
      </c>
      <c r="AS34">
        <v>2</v>
      </c>
      <c r="AT34">
        <v>3</v>
      </c>
      <c r="AU34">
        <v>1</v>
      </c>
      <c r="AV34">
        <v>3</v>
      </c>
      <c r="AW34">
        <v>4</v>
      </c>
      <c r="AX34">
        <v>15</v>
      </c>
      <c r="AY34">
        <v>7</v>
      </c>
      <c r="AZ34">
        <v>11</v>
      </c>
      <c r="BA34">
        <v>12</v>
      </c>
      <c r="BB34">
        <v>7</v>
      </c>
      <c r="BC34">
        <v>12</v>
      </c>
      <c r="BD34">
        <v>5</v>
      </c>
      <c r="BE34">
        <v>6</v>
      </c>
      <c r="BF34">
        <v>4</v>
      </c>
      <c r="BG34">
        <v>5</v>
      </c>
      <c r="BH34">
        <v>11</v>
      </c>
      <c r="BI34">
        <v>7</v>
      </c>
      <c r="BJ34">
        <v>3</v>
      </c>
      <c r="BK34">
        <v>8</v>
      </c>
      <c r="BL34">
        <v>6</v>
      </c>
      <c r="BM34">
        <v>6</v>
      </c>
      <c r="BN34">
        <v>6</v>
      </c>
      <c r="BO34">
        <v>3</v>
      </c>
      <c r="BP34">
        <v>8</v>
      </c>
      <c r="BQ34">
        <v>6</v>
      </c>
      <c r="BR34">
        <v>9</v>
      </c>
      <c r="BS34">
        <v>4</v>
      </c>
      <c r="BT34">
        <v>10</v>
      </c>
      <c r="BU34">
        <v>9</v>
      </c>
      <c r="BV34">
        <v>6</v>
      </c>
      <c r="BW34">
        <v>1</v>
      </c>
      <c r="BX34">
        <v>11</v>
      </c>
      <c r="BY34">
        <v>7</v>
      </c>
      <c r="BZ34">
        <v>1</v>
      </c>
      <c r="CA34">
        <v>20</v>
      </c>
      <c r="CB34">
        <v>16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 t="s">
        <v>71</v>
      </c>
    </row>
    <row r="35" spans="1:87" x14ac:dyDescent="0.3">
      <c r="A35">
        <v>-1</v>
      </c>
      <c r="C35" t="s">
        <v>167</v>
      </c>
      <c r="D35" t="s">
        <v>168</v>
      </c>
      <c r="E35" t="s">
        <v>76</v>
      </c>
      <c r="F35">
        <v>53</v>
      </c>
      <c r="G35">
        <v>73</v>
      </c>
      <c r="H35">
        <v>20</v>
      </c>
      <c r="I35">
        <v>2780</v>
      </c>
      <c r="J35" s="40">
        <v>0</v>
      </c>
      <c r="K35">
        <v>9268</v>
      </c>
      <c r="L35" t="b">
        <v>0</v>
      </c>
      <c r="M35" t="b">
        <v>0</v>
      </c>
      <c r="N35">
        <v>-200</v>
      </c>
      <c r="O35">
        <v>6800</v>
      </c>
      <c r="P35">
        <v>2</v>
      </c>
      <c r="Q35">
        <v>12</v>
      </c>
      <c r="R35">
        <v>13</v>
      </c>
      <c r="S35">
        <v>5</v>
      </c>
      <c r="T35">
        <v>10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10</v>
      </c>
      <c r="AC35">
        <v>11</v>
      </c>
      <c r="AD35">
        <v>9</v>
      </c>
      <c r="AE35" s="40">
        <v>9</v>
      </c>
      <c r="AF35">
        <v>6</v>
      </c>
      <c r="AG35">
        <v>12</v>
      </c>
      <c r="AH35">
        <v>12</v>
      </c>
      <c r="AI35">
        <v>10</v>
      </c>
      <c r="AJ35">
        <v>20</v>
      </c>
      <c r="AK35">
        <v>11</v>
      </c>
      <c r="AL35">
        <v>8</v>
      </c>
      <c r="AM35">
        <v>1</v>
      </c>
      <c r="AN35">
        <v>3</v>
      </c>
      <c r="AO35">
        <v>1</v>
      </c>
      <c r="AP35">
        <v>1</v>
      </c>
      <c r="AQ35">
        <v>2</v>
      </c>
      <c r="AR35">
        <v>3</v>
      </c>
      <c r="AS35">
        <v>1</v>
      </c>
      <c r="AT35">
        <v>2</v>
      </c>
      <c r="AU35">
        <v>2</v>
      </c>
      <c r="AV35">
        <v>1</v>
      </c>
      <c r="AW35">
        <v>3</v>
      </c>
      <c r="AX35">
        <v>6</v>
      </c>
      <c r="AY35">
        <v>8</v>
      </c>
      <c r="AZ35">
        <v>6</v>
      </c>
      <c r="BA35">
        <v>8</v>
      </c>
      <c r="BB35">
        <v>7</v>
      </c>
      <c r="BC35">
        <v>6</v>
      </c>
      <c r="BD35">
        <v>16</v>
      </c>
      <c r="BE35">
        <v>7</v>
      </c>
      <c r="BF35">
        <v>5</v>
      </c>
      <c r="BG35">
        <v>11</v>
      </c>
      <c r="BH35">
        <v>8</v>
      </c>
      <c r="BI35">
        <v>7</v>
      </c>
      <c r="BJ35">
        <v>6</v>
      </c>
      <c r="BK35">
        <v>8</v>
      </c>
      <c r="BL35">
        <v>5</v>
      </c>
      <c r="BM35">
        <v>7</v>
      </c>
      <c r="BN35">
        <v>11</v>
      </c>
      <c r="BO35">
        <v>8</v>
      </c>
      <c r="BP35">
        <v>7</v>
      </c>
      <c r="BQ35">
        <v>5</v>
      </c>
      <c r="BR35">
        <v>6</v>
      </c>
      <c r="BS35">
        <v>4</v>
      </c>
      <c r="BT35">
        <v>6</v>
      </c>
      <c r="BU35">
        <v>7</v>
      </c>
      <c r="BV35">
        <v>8</v>
      </c>
      <c r="BW35">
        <v>5</v>
      </c>
      <c r="BX35">
        <v>4</v>
      </c>
      <c r="BY35">
        <v>7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18</v>
      </c>
      <c r="CF35">
        <v>13</v>
      </c>
      <c r="CG35">
        <v>1</v>
      </c>
      <c r="CH35">
        <v>20</v>
      </c>
      <c r="CI35" t="s">
        <v>71</v>
      </c>
    </row>
    <row r="36" spans="1:87" x14ac:dyDescent="0.3">
      <c r="A36">
        <v>-1</v>
      </c>
      <c r="C36" t="s">
        <v>160</v>
      </c>
      <c r="D36" t="s">
        <v>161</v>
      </c>
      <c r="E36" t="s">
        <v>115</v>
      </c>
      <c r="F36">
        <v>40</v>
      </c>
      <c r="G36">
        <v>78</v>
      </c>
      <c r="H36">
        <v>20</v>
      </c>
      <c r="I36">
        <v>2003</v>
      </c>
      <c r="J36" s="40">
        <v>0</v>
      </c>
      <c r="K36">
        <v>10000</v>
      </c>
      <c r="L36" t="b">
        <v>0</v>
      </c>
      <c r="M36" t="b">
        <v>0</v>
      </c>
      <c r="N36">
        <v>-224</v>
      </c>
      <c r="O36">
        <v>6000</v>
      </c>
      <c r="P36">
        <v>19</v>
      </c>
      <c r="Q36">
        <v>10</v>
      </c>
      <c r="R36">
        <v>1</v>
      </c>
      <c r="S36">
        <v>13</v>
      </c>
      <c r="T36">
        <v>6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13</v>
      </c>
      <c r="AD36">
        <v>13</v>
      </c>
      <c r="AE36" s="40">
        <v>3</v>
      </c>
      <c r="AF36">
        <v>5</v>
      </c>
      <c r="AG36">
        <v>20</v>
      </c>
      <c r="AH36">
        <v>14</v>
      </c>
      <c r="AI36">
        <v>14</v>
      </c>
      <c r="AJ36">
        <v>8</v>
      </c>
      <c r="AK36">
        <v>8</v>
      </c>
      <c r="AL36">
        <v>2</v>
      </c>
      <c r="AM36">
        <v>1</v>
      </c>
      <c r="AN36">
        <v>3</v>
      </c>
      <c r="AO36">
        <v>1</v>
      </c>
      <c r="AP36">
        <v>2</v>
      </c>
      <c r="AQ36">
        <v>2</v>
      </c>
      <c r="AR36">
        <v>3</v>
      </c>
      <c r="AS36">
        <v>4</v>
      </c>
      <c r="AT36">
        <v>3</v>
      </c>
      <c r="AU36">
        <v>2</v>
      </c>
      <c r="AV36">
        <v>2</v>
      </c>
      <c r="AW36">
        <v>3</v>
      </c>
      <c r="AX36">
        <v>10</v>
      </c>
      <c r="AY36">
        <v>7</v>
      </c>
      <c r="AZ36">
        <v>6</v>
      </c>
      <c r="BA36">
        <v>5</v>
      </c>
      <c r="BB36">
        <v>6</v>
      </c>
      <c r="BC36">
        <v>10</v>
      </c>
      <c r="BD36">
        <v>3</v>
      </c>
      <c r="BE36">
        <v>7</v>
      </c>
      <c r="BF36">
        <v>5</v>
      </c>
      <c r="BG36">
        <v>3</v>
      </c>
      <c r="BH36">
        <v>6</v>
      </c>
      <c r="BI36">
        <v>7</v>
      </c>
      <c r="BJ36">
        <v>2</v>
      </c>
      <c r="BK36">
        <v>6</v>
      </c>
      <c r="BL36">
        <v>3</v>
      </c>
      <c r="BM36">
        <v>8</v>
      </c>
      <c r="BN36">
        <v>6</v>
      </c>
      <c r="BO36">
        <v>2</v>
      </c>
      <c r="BP36">
        <v>5</v>
      </c>
      <c r="BQ36">
        <v>1</v>
      </c>
      <c r="BR36">
        <v>4</v>
      </c>
      <c r="BS36">
        <v>3</v>
      </c>
      <c r="BT36">
        <v>4</v>
      </c>
      <c r="BU36">
        <v>5</v>
      </c>
      <c r="BV36">
        <v>8</v>
      </c>
      <c r="BW36">
        <v>1</v>
      </c>
      <c r="BX36">
        <v>9</v>
      </c>
      <c r="BY36">
        <v>10</v>
      </c>
      <c r="BZ36">
        <v>1</v>
      </c>
      <c r="CA36">
        <v>1</v>
      </c>
      <c r="CB36">
        <v>1</v>
      </c>
      <c r="CC36">
        <v>20</v>
      </c>
      <c r="CD36">
        <v>1</v>
      </c>
      <c r="CE36">
        <v>1</v>
      </c>
      <c r="CF36">
        <v>1</v>
      </c>
      <c r="CG36">
        <v>7</v>
      </c>
      <c r="CH36">
        <v>1</v>
      </c>
      <c r="CI36" t="s">
        <v>71</v>
      </c>
    </row>
    <row r="37" spans="1:87" x14ac:dyDescent="0.3">
      <c r="A37">
        <v>-1</v>
      </c>
      <c r="C37" t="s">
        <v>156</v>
      </c>
      <c r="D37" t="s">
        <v>73</v>
      </c>
      <c r="E37" t="s">
        <v>76</v>
      </c>
      <c r="F37">
        <v>40</v>
      </c>
      <c r="G37">
        <v>91</v>
      </c>
      <c r="H37">
        <v>17</v>
      </c>
      <c r="I37">
        <v>1560</v>
      </c>
      <c r="J37" s="40">
        <v>1748</v>
      </c>
      <c r="K37">
        <v>8714</v>
      </c>
      <c r="L37" t="b">
        <v>0</v>
      </c>
      <c r="M37" t="b">
        <v>0</v>
      </c>
      <c r="N37">
        <v>45</v>
      </c>
      <c r="O37">
        <v>9700</v>
      </c>
      <c r="P37">
        <v>8</v>
      </c>
      <c r="Q37">
        <v>11</v>
      </c>
      <c r="R37">
        <v>8</v>
      </c>
      <c r="S37">
        <v>7</v>
      </c>
      <c r="T37">
        <v>9</v>
      </c>
      <c r="U37">
        <v>9</v>
      </c>
      <c r="V37">
        <v>11</v>
      </c>
      <c r="W37">
        <v>10</v>
      </c>
      <c r="X37">
        <v>10</v>
      </c>
      <c r="Y37">
        <v>7</v>
      </c>
      <c r="Z37">
        <v>13</v>
      </c>
      <c r="AA37">
        <v>12</v>
      </c>
      <c r="AB37">
        <v>12</v>
      </c>
      <c r="AC37">
        <v>11</v>
      </c>
      <c r="AD37">
        <v>8</v>
      </c>
      <c r="AE37" s="40">
        <v>5</v>
      </c>
      <c r="AF37">
        <v>12</v>
      </c>
      <c r="AG37">
        <v>9</v>
      </c>
      <c r="AH37">
        <v>12</v>
      </c>
      <c r="AI37">
        <v>8</v>
      </c>
      <c r="AJ37">
        <v>20</v>
      </c>
      <c r="AK37">
        <v>7</v>
      </c>
      <c r="AL37">
        <v>9</v>
      </c>
      <c r="AM37">
        <v>3</v>
      </c>
      <c r="AN37">
        <v>3</v>
      </c>
      <c r="AO37">
        <v>1</v>
      </c>
      <c r="AP37">
        <v>2</v>
      </c>
      <c r="AQ37">
        <v>4</v>
      </c>
      <c r="AR37">
        <v>3</v>
      </c>
      <c r="AS37">
        <v>1</v>
      </c>
      <c r="AT37">
        <v>1</v>
      </c>
      <c r="AU37">
        <v>3</v>
      </c>
      <c r="AV37">
        <v>3</v>
      </c>
      <c r="AW37">
        <v>1</v>
      </c>
      <c r="AX37">
        <v>10</v>
      </c>
      <c r="AY37">
        <v>6</v>
      </c>
      <c r="AZ37">
        <v>16</v>
      </c>
      <c r="BA37">
        <v>6</v>
      </c>
      <c r="BB37">
        <v>3</v>
      </c>
      <c r="BC37">
        <v>7</v>
      </c>
      <c r="BD37">
        <v>12</v>
      </c>
      <c r="BE37">
        <v>16</v>
      </c>
      <c r="BF37">
        <v>9</v>
      </c>
      <c r="BG37">
        <v>3</v>
      </c>
      <c r="BH37">
        <v>4</v>
      </c>
      <c r="BI37">
        <v>10</v>
      </c>
      <c r="BJ37">
        <v>3</v>
      </c>
      <c r="BK37">
        <v>5</v>
      </c>
      <c r="BL37">
        <v>5</v>
      </c>
      <c r="BM37">
        <v>2</v>
      </c>
      <c r="BN37">
        <v>9</v>
      </c>
      <c r="BO37">
        <v>7</v>
      </c>
      <c r="BP37">
        <v>10</v>
      </c>
      <c r="BQ37">
        <v>8</v>
      </c>
      <c r="BR37">
        <v>13</v>
      </c>
      <c r="BS37">
        <v>3</v>
      </c>
      <c r="BT37">
        <v>1</v>
      </c>
      <c r="BU37">
        <v>1</v>
      </c>
      <c r="BV37">
        <v>9</v>
      </c>
      <c r="BW37">
        <v>1</v>
      </c>
      <c r="BX37">
        <v>1</v>
      </c>
      <c r="BY37">
        <v>15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20</v>
      </c>
      <c r="CI37" t="s">
        <v>71</v>
      </c>
    </row>
    <row r="38" spans="1:87" x14ac:dyDescent="0.3">
      <c r="A38">
        <v>-1</v>
      </c>
      <c r="C38" t="s">
        <v>292</v>
      </c>
      <c r="D38" t="s">
        <v>73</v>
      </c>
      <c r="E38" t="s">
        <v>76</v>
      </c>
      <c r="F38">
        <v>45</v>
      </c>
      <c r="G38">
        <v>85</v>
      </c>
      <c r="H38">
        <v>21</v>
      </c>
      <c r="I38">
        <v>2260</v>
      </c>
      <c r="J38" s="40">
        <v>0</v>
      </c>
      <c r="K38">
        <v>10000</v>
      </c>
      <c r="L38" t="b">
        <v>0</v>
      </c>
      <c r="M38" t="b">
        <v>0</v>
      </c>
      <c r="N38">
        <v>-311</v>
      </c>
      <c r="O38">
        <v>5950</v>
      </c>
      <c r="P38">
        <v>8</v>
      </c>
      <c r="Q38">
        <v>8</v>
      </c>
      <c r="R38">
        <v>7</v>
      </c>
      <c r="S38">
        <v>9</v>
      </c>
      <c r="T38">
        <v>9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11</v>
      </c>
      <c r="AD38">
        <v>9</v>
      </c>
      <c r="AE38" s="40">
        <v>4</v>
      </c>
      <c r="AF38">
        <v>6</v>
      </c>
      <c r="AG38">
        <v>8</v>
      </c>
      <c r="AH38">
        <v>13</v>
      </c>
      <c r="AI38">
        <v>11</v>
      </c>
      <c r="AJ38">
        <v>20</v>
      </c>
      <c r="AK38">
        <v>2</v>
      </c>
      <c r="AL38">
        <v>6</v>
      </c>
      <c r="AM38">
        <v>1</v>
      </c>
      <c r="AN38">
        <v>2</v>
      </c>
      <c r="AO38">
        <v>2</v>
      </c>
      <c r="AP38">
        <v>2</v>
      </c>
      <c r="AQ38">
        <v>2</v>
      </c>
      <c r="AR38">
        <v>2</v>
      </c>
      <c r="AS38">
        <v>1</v>
      </c>
      <c r="AT38">
        <v>3</v>
      </c>
      <c r="AU38">
        <v>3</v>
      </c>
      <c r="AV38">
        <v>4</v>
      </c>
      <c r="AW38">
        <v>3</v>
      </c>
      <c r="AX38">
        <v>9</v>
      </c>
      <c r="AY38">
        <v>11</v>
      </c>
      <c r="AZ38">
        <v>6</v>
      </c>
      <c r="BA38">
        <v>6</v>
      </c>
      <c r="BB38">
        <v>5</v>
      </c>
      <c r="BC38">
        <v>7</v>
      </c>
      <c r="BD38">
        <v>7</v>
      </c>
      <c r="BE38">
        <v>12</v>
      </c>
      <c r="BF38">
        <v>11</v>
      </c>
      <c r="BG38">
        <v>12</v>
      </c>
      <c r="BH38">
        <v>2</v>
      </c>
      <c r="BI38">
        <v>4</v>
      </c>
      <c r="BJ38">
        <v>3</v>
      </c>
      <c r="BK38">
        <v>5</v>
      </c>
      <c r="BL38">
        <v>5</v>
      </c>
      <c r="BM38">
        <v>5</v>
      </c>
      <c r="BN38">
        <v>7</v>
      </c>
      <c r="BO38">
        <v>12</v>
      </c>
      <c r="BP38">
        <v>9</v>
      </c>
      <c r="BQ38">
        <v>4</v>
      </c>
      <c r="BR38">
        <v>13</v>
      </c>
      <c r="BS38">
        <v>5</v>
      </c>
      <c r="BT38">
        <v>1</v>
      </c>
      <c r="BU38">
        <v>3</v>
      </c>
      <c r="BV38">
        <v>11</v>
      </c>
      <c r="BW38">
        <v>3</v>
      </c>
      <c r="BX38">
        <v>1</v>
      </c>
      <c r="BY38">
        <v>10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5</v>
      </c>
      <c r="CF38">
        <v>1</v>
      </c>
      <c r="CG38">
        <v>1</v>
      </c>
      <c r="CH38">
        <v>20</v>
      </c>
      <c r="CI38" t="s">
        <v>71</v>
      </c>
    </row>
    <row r="39" spans="1:87" x14ac:dyDescent="0.3">
      <c r="A39">
        <v>-1</v>
      </c>
      <c r="C39" t="s">
        <v>293</v>
      </c>
      <c r="D39" t="s">
        <v>172</v>
      </c>
      <c r="E39" t="s">
        <v>76</v>
      </c>
      <c r="F39">
        <v>30</v>
      </c>
      <c r="G39">
        <v>75</v>
      </c>
      <c r="H39">
        <v>20</v>
      </c>
      <c r="I39">
        <v>1524</v>
      </c>
      <c r="J39" s="40">
        <v>0</v>
      </c>
      <c r="K39">
        <v>10000</v>
      </c>
      <c r="L39" t="b">
        <v>0</v>
      </c>
      <c r="M39" t="b">
        <v>0</v>
      </c>
      <c r="N39">
        <v>-225</v>
      </c>
      <c r="O39">
        <v>5950</v>
      </c>
      <c r="P39">
        <v>18</v>
      </c>
      <c r="Q39">
        <v>5</v>
      </c>
      <c r="R39">
        <v>6</v>
      </c>
      <c r="S39">
        <v>5</v>
      </c>
      <c r="T39">
        <v>12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9</v>
      </c>
      <c r="AD39">
        <v>8</v>
      </c>
      <c r="AE39" s="40">
        <v>5</v>
      </c>
      <c r="AF39">
        <v>9</v>
      </c>
      <c r="AG39">
        <v>11</v>
      </c>
      <c r="AH39">
        <v>13</v>
      </c>
      <c r="AI39">
        <v>9</v>
      </c>
      <c r="AJ39">
        <v>20</v>
      </c>
      <c r="AK39">
        <v>7</v>
      </c>
      <c r="AL39">
        <v>4</v>
      </c>
      <c r="AM39">
        <v>1</v>
      </c>
      <c r="AN39">
        <v>2</v>
      </c>
      <c r="AO39">
        <v>2</v>
      </c>
      <c r="AP39">
        <v>2</v>
      </c>
      <c r="AQ39">
        <v>2</v>
      </c>
      <c r="AR39">
        <v>1</v>
      </c>
      <c r="AS39">
        <v>1</v>
      </c>
      <c r="AT39">
        <v>3</v>
      </c>
      <c r="AU39">
        <v>3</v>
      </c>
      <c r="AV39">
        <v>3</v>
      </c>
      <c r="AW39">
        <v>1</v>
      </c>
      <c r="AX39">
        <v>10</v>
      </c>
      <c r="AY39">
        <v>7</v>
      </c>
      <c r="AZ39">
        <v>1</v>
      </c>
      <c r="BA39">
        <v>4</v>
      </c>
      <c r="BB39">
        <v>3</v>
      </c>
      <c r="BC39">
        <v>12</v>
      </c>
      <c r="BD39">
        <v>11</v>
      </c>
      <c r="BE39">
        <v>6</v>
      </c>
      <c r="BF39">
        <v>11</v>
      </c>
      <c r="BG39">
        <v>6</v>
      </c>
      <c r="BH39">
        <v>4</v>
      </c>
      <c r="BI39">
        <v>7</v>
      </c>
      <c r="BJ39">
        <v>6</v>
      </c>
      <c r="BK39">
        <v>11</v>
      </c>
      <c r="BL39">
        <v>4</v>
      </c>
      <c r="BM39">
        <v>1</v>
      </c>
      <c r="BN39">
        <v>4</v>
      </c>
      <c r="BO39">
        <v>2</v>
      </c>
      <c r="BP39">
        <v>13</v>
      </c>
      <c r="BQ39">
        <v>4</v>
      </c>
      <c r="BR39">
        <v>1</v>
      </c>
      <c r="BS39">
        <v>5</v>
      </c>
      <c r="BT39">
        <v>1</v>
      </c>
      <c r="BU39">
        <v>8</v>
      </c>
      <c r="BV39">
        <v>7</v>
      </c>
      <c r="BW39">
        <v>2</v>
      </c>
      <c r="BX39">
        <v>5</v>
      </c>
      <c r="BY39">
        <v>9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1</v>
      </c>
      <c r="CI39" t="s">
        <v>71</v>
      </c>
    </row>
    <row r="40" spans="1:87" x14ac:dyDescent="0.3">
      <c r="A40">
        <v>-1</v>
      </c>
      <c r="C40" t="s">
        <v>153</v>
      </c>
      <c r="D40" t="s">
        <v>149</v>
      </c>
      <c r="E40" t="s">
        <v>154</v>
      </c>
      <c r="F40">
        <v>61</v>
      </c>
      <c r="G40">
        <v>78</v>
      </c>
      <c r="H40">
        <v>17</v>
      </c>
      <c r="I40">
        <v>977</v>
      </c>
      <c r="J40" s="40">
        <v>0</v>
      </c>
      <c r="K40">
        <v>8102</v>
      </c>
      <c r="L40" t="b">
        <v>0</v>
      </c>
      <c r="M40" t="b">
        <v>0</v>
      </c>
      <c r="N40">
        <v>260</v>
      </c>
      <c r="O40">
        <v>10000</v>
      </c>
      <c r="P40">
        <v>9</v>
      </c>
      <c r="Q40">
        <v>12</v>
      </c>
      <c r="R40">
        <v>12</v>
      </c>
      <c r="S40">
        <v>8</v>
      </c>
      <c r="T40">
        <v>11</v>
      </c>
      <c r="U40">
        <v>7</v>
      </c>
      <c r="V40">
        <v>18</v>
      </c>
      <c r="W40">
        <v>9</v>
      </c>
      <c r="X40">
        <v>18</v>
      </c>
      <c r="Y40">
        <v>18</v>
      </c>
      <c r="Z40">
        <v>17</v>
      </c>
      <c r="AA40">
        <v>18</v>
      </c>
      <c r="AB40">
        <v>18</v>
      </c>
      <c r="AC40">
        <v>8</v>
      </c>
      <c r="AD40">
        <v>7</v>
      </c>
      <c r="AE40" s="40">
        <v>13</v>
      </c>
      <c r="AF40">
        <v>13</v>
      </c>
      <c r="AG40">
        <v>20</v>
      </c>
      <c r="AH40">
        <v>12</v>
      </c>
      <c r="AI40">
        <v>11</v>
      </c>
      <c r="AJ40">
        <v>9</v>
      </c>
      <c r="AK40">
        <v>6</v>
      </c>
      <c r="AL40">
        <v>6</v>
      </c>
      <c r="AM40">
        <v>1</v>
      </c>
      <c r="AN40">
        <v>3</v>
      </c>
      <c r="AO40">
        <v>1</v>
      </c>
      <c r="AP40">
        <v>1</v>
      </c>
      <c r="AQ40">
        <v>3</v>
      </c>
      <c r="AR40">
        <v>1</v>
      </c>
      <c r="AS40">
        <v>1</v>
      </c>
      <c r="AT40">
        <v>3</v>
      </c>
      <c r="AU40">
        <v>3</v>
      </c>
      <c r="AV40">
        <v>1</v>
      </c>
      <c r="AW40">
        <v>3</v>
      </c>
      <c r="AX40">
        <v>12</v>
      </c>
      <c r="AY40">
        <v>6</v>
      </c>
      <c r="AZ40">
        <v>17</v>
      </c>
      <c r="BA40">
        <v>6</v>
      </c>
      <c r="BB40">
        <v>9</v>
      </c>
      <c r="BC40">
        <v>9</v>
      </c>
      <c r="BD40">
        <v>14</v>
      </c>
      <c r="BE40">
        <v>2</v>
      </c>
      <c r="BF40">
        <v>12</v>
      </c>
      <c r="BG40">
        <v>3</v>
      </c>
      <c r="BH40">
        <v>12</v>
      </c>
      <c r="BI40">
        <v>4</v>
      </c>
      <c r="BJ40">
        <v>4</v>
      </c>
      <c r="BK40">
        <v>8</v>
      </c>
      <c r="BL40">
        <v>2</v>
      </c>
      <c r="BM40">
        <v>6</v>
      </c>
      <c r="BN40">
        <v>4</v>
      </c>
      <c r="BO40">
        <v>2</v>
      </c>
      <c r="BP40">
        <v>7</v>
      </c>
      <c r="BQ40">
        <v>3</v>
      </c>
      <c r="BR40">
        <v>11</v>
      </c>
      <c r="BS40">
        <v>4</v>
      </c>
      <c r="BT40">
        <v>4</v>
      </c>
      <c r="BU40">
        <v>12</v>
      </c>
      <c r="BV40">
        <v>5</v>
      </c>
      <c r="BW40">
        <v>2</v>
      </c>
      <c r="BX40">
        <v>10</v>
      </c>
      <c r="BY40">
        <v>7</v>
      </c>
      <c r="BZ40">
        <v>1</v>
      </c>
      <c r="CA40">
        <v>1</v>
      </c>
      <c r="CB40">
        <v>20</v>
      </c>
      <c r="CC40">
        <v>15</v>
      </c>
      <c r="CD40">
        <v>1</v>
      </c>
      <c r="CE40">
        <v>1</v>
      </c>
      <c r="CF40">
        <v>1</v>
      </c>
      <c r="CG40">
        <v>1</v>
      </c>
      <c r="CH40">
        <v>1</v>
      </c>
      <c r="CI40" t="s">
        <v>71</v>
      </c>
    </row>
    <row r="41" spans="1:87" x14ac:dyDescent="0.3">
      <c r="A41">
        <v>-1</v>
      </c>
      <c r="C41" t="s">
        <v>163</v>
      </c>
      <c r="D41" t="s">
        <v>164</v>
      </c>
      <c r="E41" t="s">
        <v>76</v>
      </c>
      <c r="F41">
        <v>46</v>
      </c>
      <c r="G41">
        <v>71</v>
      </c>
      <c r="H41">
        <v>20</v>
      </c>
      <c r="I41">
        <v>2589</v>
      </c>
      <c r="J41" s="40">
        <v>0</v>
      </c>
      <c r="K41">
        <v>10000</v>
      </c>
      <c r="L41" t="b">
        <v>0</v>
      </c>
      <c r="M41" t="b">
        <v>0</v>
      </c>
      <c r="N41">
        <v>-225</v>
      </c>
      <c r="O41">
        <v>6050</v>
      </c>
      <c r="P41">
        <v>16</v>
      </c>
      <c r="Q41">
        <v>5</v>
      </c>
      <c r="R41">
        <v>11</v>
      </c>
      <c r="S41">
        <v>6</v>
      </c>
      <c r="T41">
        <v>9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13</v>
      </c>
      <c r="AD41">
        <v>10</v>
      </c>
      <c r="AE41" s="40">
        <v>6</v>
      </c>
      <c r="AF41">
        <v>5</v>
      </c>
      <c r="AG41">
        <v>20</v>
      </c>
      <c r="AH41">
        <v>15</v>
      </c>
      <c r="AI41">
        <v>12</v>
      </c>
      <c r="AJ41">
        <v>8</v>
      </c>
      <c r="AK41">
        <v>8</v>
      </c>
      <c r="AL41">
        <v>3</v>
      </c>
      <c r="AM41">
        <v>3</v>
      </c>
      <c r="AN41">
        <v>1</v>
      </c>
      <c r="AO41">
        <v>4</v>
      </c>
      <c r="AP41">
        <v>2</v>
      </c>
      <c r="AQ41">
        <v>4</v>
      </c>
      <c r="AR41">
        <v>1</v>
      </c>
      <c r="AS41">
        <v>3</v>
      </c>
      <c r="AT41">
        <v>3</v>
      </c>
      <c r="AU41">
        <v>3</v>
      </c>
      <c r="AV41">
        <v>1</v>
      </c>
      <c r="AW41">
        <v>3</v>
      </c>
      <c r="AX41">
        <v>12</v>
      </c>
      <c r="AY41">
        <v>6</v>
      </c>
      <c r="AZ41">
        <v>5</v>
      </c>
      <c r="BA41">
        <v>6</v>
      </c>
      <c r="BB41">
        <v>5</v>
      </c>
      <c r="BC41">
        <v>9</v>
      </c>
      <c r="BD41">
        <v>4</v>
      </c>
      <c r="BE41">
        <v>8</v>
      </c>
      <c r="BF41">
        <v>10</v>
      </c>
      <c r="BG41">
        <v>9</v>
      </c>
      <c r="BH41">
        <v>4</v>
      </c>
      <c r="BI41">
        <v>4</v>
      </c>
      <c r="BJ41">
        <v>5</v>
      </c>
      <c r="BK41">
        <v>6</v>
      </c>
      <c r="BL41">
        <v>3</v>
      </c>
      <c r="BM41">
        <v>6</v>
      </c>
      <c r="BN41">
        <v>10</v>
      </c>
      <c r="BO41">
        <v>9</v>
      </c>
      <c r="BP41">
        <v>4</v>
      </c>
      <c r="BQ41">
        <v>3</v>
      </c>
      <c r="BR41">
        <v>6</v>
      </c>
      <c r="BS41">
        <v>6</v>
      </c>
      <c r="BT41">
        <v>3</v>
      </c>
      <c r="BU41">
        <v>2</v>
      </c>
      <c r="BV41">
        <v>7</v>
      </c>
      <c r="BW41">
        <v>4</v>
      </c>
      <c r="BX41">
        <v>1</v>
      </c>
      <c r="BY41">
        <v>9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12</v>
      </c>
      <c r="CG41">
        <v>20</v>
      </c>
      <c r="CH41">
        <v>18</v>
      </c>
      <c r="CI41" t="s">
        <v>71</v>
      </c>
    </row>
    <row r="42" spans="1:87" x14ac:dyDescent="0.3">
      <c r="A42">
        <v>-1</v>
      </c>
      <c r="C42" t="s">
        <v>120</v>
      </c>
      <c r="D42" t="s">
        <v>112</v>
      </c>
      <c r="E42" t="s">
        <v>76</v>
      </c>
      <c r="F42">
        <v>40</v>
      </c>
      <c r="G42">
        <v>58</v>
      </c>
      <c r="H42">
        <v>20</v>
      </c>
      <c r="I42">
        <v>2224</v>
      </c>
      <c r="J42" s="40">
        <v>3423</v>
      </c>
      <c r="K42">
        <v>10000</v>
      </c>
      <c r="L42" t="b">
        <v>0</v>
      </c>
      <c r="M42" t="b">
        <v>0</v>
      </c>
      <c r="N42">
        <v>-226</v>
      </c>
      <c r="O42">
        <v>5850</v>
      </c>
      <c r="P42">
        <v>8</v>
      </c>
      <c r="Q42">
        <v>5</v>
      </c>
      <c r="R42">
        <v>12</v>
      </c>
      <c r="S42">
        <v>6</v>
      </c>
      <c r="T42">
        <v>6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7</v>
      </c>
      <c r="AD42">
        <v>6</v>
      </c>
      <c r="AE42" s="40">
        <v>6</v>
      </c>
      <c r="AF42">
        <v>16</v>
      </c>
      <c r="AG42">
        <v>7</v>
      </c>
      <c r="AH42">
        <v>11</v>
      </c>
      <c r="AI42">
        <v>8</v>
      </c>
      <c r="AJ42">
        <v>20</v>
      </c>
      <c r="AK42">
        <v>6</v>
      </c>
      <c r="AL42">
        <v>8</v>
      </c>
      <c r="AM42">
        <v>2</v>
      </c>
      <c r="AN42">
        <v>3</v>
      </c>
      <c r="AO42">
        <v>2</v>
      </c>
      <c r="AP42">
        <v>2</v>
      </c>
      <c r="AQ42">
        <v>1</v>
      </c>
      <c r="AR42">
        <v>2</v>
      </c>
      <c r="AS42">
        <v>3</v>
      </c>
      <c r="AT42">
        <v>3</v>
      </c>
      <c r="AU42">
        <v>1</v>
      </c>
      <c r="AV42">
        <v>2</v>
      </c>
      <c r="AW42">
        <v>1</v>
      </c>
      <c r="AX42">
        <v>15</v>
      </c>
      <c r="AY42">
        <v>7</v>
      </c>
      <c r="AZ42">
        <v>15</v>
      </c>
      <c r="BA42">
        <v>6</v>
      </c>
      <c r="BB42">
        <v>4</v>
      </c>
      <c r="BC42">
        <v>7</v>
      </c>
      <c r="BD42">
        <v>10</v>
      </c>
      <c r="BE42">
        <v>5</v>
      </c>
      <c r="BF42">
        <v>5</v>
      </c>
      <c r="BG42">
        <v>4</v>
      </c>
      <c r="BH42">
        <v>13</v>
      </c>
      <c r="BI42">
        <v>4</v>
      </c>
      <c r="BJ42">
        <v>1</v>
      </c>
      <c r="BK42">
        <v>5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12</v>
      </c>
      <c r="BS42">
        <v>3</v>
      </c>
      <c r="BT42">
        <v>1</v>
      </c>
      <c r="BU42">
        <v>11</v>
      </c>
      <c r="BV42">
        <v>1</v>
      </c>
      <c r="BW42">
        <v>3</v>
      </c>
      <c r="BX42">
        <v>5</v>
      </c>
      <c r="BY42">
        <v>1</v>
      </c>
      <c r="BZ42">
        <v>1</v>
      </c>
      <c r="CA42">
        <v>1</v>
      </c>
      <c r="CB42">
        <v>20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 t="s">
        <v>71</v>
      </c>
    </row>
    <row r="43" spans="1:87" x14ac:dyDescent="0.3">
      <c r="A43">
        <v>-1</v>
      </c>
      <c r="C43" t="s">
        <v>294</v>
      </c>
      <c r="D43" t="s">
        <v>186</v>
      </c>
      <c r="E43" t="s">
        <v>76</v>
      </c>
      <c r="F43">
        <v>49</v>
      </c>
      <c r="G43">
        <v>71</v>
      </c>
      <c r="H43">
        <v>19</v>
      </c>
      <c r="I43">
        <v>2244</v>
      </c>
      <c r="J43" s="40">
        <v>3322</v>
      </c>
      <c r="K43">
        <v>9931</v>
      </c>
      <c r="L43" t="b">
        <v>0</v>
      </c>
      <c r="M43" t="b">
        <v>0</v>
      </c>
      <c r="N43">
        <v>-206</v>
      </c>
      <c r="O43">
        <v>7800</v>
      </c>
      <c r="P43">
        <v>18</v>
      </c>
      <c r="Q43">
        <v>10</v>
      </c>
      <c r="R43">
        <v>10</v>
      </c>
      <c r="S43">
        <v>9</v>
      </c>
      <c r="T43">
        <v>7</v>
      </c>
      <c r="U43">
        <v>10</v>
      </c>
      <c r="V43">
        <v>10</v>
      </c>
      <c r="W43">
        <v>10</v>
      </c>
      <c r="X43">
        <v>10</v>
      </c>
      <c r="Y43">
        <v>10</v>
      </c>
      <c r="Z43">
        <v>10</v>
      </c>
      <c r="AA43">
        <v>10</v>
      </c>
      <c r="AB43">
        <v>10</v>
      </c>
      <c r="AC43">
        <v>14</v>
      </c>
      <c r="AD43">
        <v>12</v>
      </c>
      <c r="AE43" s="40">
        <v>15</v>
      </c>
      <c r="AF43">
        <v>8</v>
      </c>
      <c r="AG43">
        <v>20</v>
      </c>
      <c r="AH43">
        <v>15</v>
      </c>
      <c r="AI43">
        <v>14</v>
      </c>
      <c r="AJ43">
        <v>7</v>
      </c>
      <c r="AK43">
        <v>9</v>
      </c>
      <c r="AL43">
        <v>2</v>
      </c>
      <c r="AM43">
        <v>3</v>
      </c>
      <c r="AN43">
        <v>3</v>
      </c>
      <c r="AO43">
        <v>3</v>
      </c>
      <c r="AP43">
        <v>1</v>
      </c>
      <c r="AQ43">
        <v>2</v>
      </c>
      <c r="AR43">
        <v>2</v>
      </c>
      <c r="AS43">
        <v>1</v>
      </c>
      <c r="AT43">
        <v>3</v>
      </c>
      <c r="AU43">
        <v>1</v>
      </c>
      <c r="AV43">
        <v>3</v>
      </c>
      <c r="AW43">
        <v>3</v>
      </c>
      <c r="AX43">
        <v>8</v>
      </c>
      <c r="AY43">
        <v>4</v>
      </c>
      <c r="AZ43">
        <v>5</v>
      </c>
      <c r="BA43">
        <v>6</v>
      </c>
      <c r="BB43">
        <v>7</v>
      </c>
      <c r="BC43">
        <v>9</v>
      </c>
      <c r="BD43">
        <v>12</v>
      </c>
      <c r="BE43">
        <v>6</v>
      </c>
      <c r="BF43">
        <v>11</v>
      </c>
      <c r="BG43">
        <v>5</v>
      </c>
      <c r="BH43">
        <v>5</v>
      </c>
      <c r="BI43">
        <v>13</v>
      </c>
      <c r="BJ43">
        <v>5</v>
      </c>
      <c r="BK43">
        <v>14</v>
      </c>
      <c r="BL43">
        <v>4</v>
      </c>
      <c r="BM43">
        <v>11</v>
      </c>
      <c r="BN43">
        <v>10</v>
      </c>
      <c r="BO43">
        <v>1</v>
      </c>
      <c r="BP43">
        <v>5</v>
      </c>
      <c r="BQ43">
        <v>1</v>
      </c>
      <c r="BR43">
        <v>6</v>
      </c>
      <c r="BS43">
        <v>2</v>
      </c>
      <c r="BT43">
        <v>4</v>
      </c>
      <c r="BU43">
        <v>7</v>
      </c>
      <c r="BV43">
        <v>5</v>
      </c>
      <c r="BW43">
        <v>1</v>
      </c>
      <c r="BX43">
        <v>6</v>
      </c>
      <c r="BY43">
        <v>9</v>
      </c>
      <c r="BZ43">
        <v>1</v>
      </c>
      <c r="CA43">
        <v>1</v>
      </c>
      <c r="CB43">
        <v>1</v>
      </c>
      <c r="CC43">
        <v>20</v>
      </c>
      <c r="CD43">
        <v>1</v>
      </c>
      <c r="CE43">
        <v>1</v>
      </c>
      <c r="CF43">
        <v>1</v>
      </c>
      <c r="CG43">
        <v>1</v>
      </c>
      <c r="CH43">
        <v>1</v>
      </c>
      <c r="CI43" t="s">
        <v>71</v>
      </c>
    </row>
    <row r="44" spans="1:87" x14ac:dyDescent="0.3">
      <c r="A44">
        <v>-1</v>
      </c>
      <c r="C44" t="s">
        <v>295</v>
      </c>
      <c r="D44" t="s">
        <v>296</v>
      </c>
      <c r="E44" t="s">
        <v>297</v>
      </c>
      <c r="F44">
        <v>33</v>
      </c>
      <c r="G44">
        <v>74</v>
      </c>
      <c r="H44">
        <v>20</v>
      </c>
      <c r="I44">
        <v>499</v>
      </c>
      <c r="J44" s="40">
        <v>0</v>
      </c>
      <c r="K44">
        <v>8571</v>
      </c>
      <c r="L44" t="b">
        <v>0</v>
      </c>
      <c r="M44" t="b">
        <v>0</v>
      </c>
      <c r="N44">
        <v>-176</v>
      </c>
      <c r="O44">
        <v>7500</v>
      </c>
      <c r="P44">
        <v>6</v>
      </c>
      <c r="Q44">
        <v>10</v>
      </c>
      <c r="R44">
        <v>13</v>
      </c>
      <c r="S44">
        <v>5</v>
      </c>
      <c r="T44">
        <v>9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10</v>
      </c>
      <c r="AC44">
        <v>13</v>
      </c>
      <c r="AD44">
        <v>13</v>
      </c>
      <c r="AE44" s="40">
        <v>6</v>
      </c>
      <c r="AF44">
        <v>13</v>
      </c>
      <c r="AG44">
        <v>7</v>
      </c>
      <c r="AH44">
        <v>11</v>
      </c>
      <c r="AI44">
        <v>13</v>
      </c>
      <c r="AJ44">
        <v>20</v>
      </c>
      <c r="AK44">
        <v>5</v>
      </c>
      <c r="AL44">
        <v>5</v>
      </c>
      <c r="AM44">
        <v>2</v>
      </c>
      <c r="AN44">
        <v>1</v>
      </c>
      <c r="AO44">
        <v>2</v>
      </c>
      <c r="AP44">
        <v>1</v>
      </c>
      <c r="AQ44">
        <v>2</v>
      </c>
      <c r="AR44">
        <v>2</v>
      </c>
      <c r="AS44">
        <v>2</v>
      </c>
      <c r="AT44">
        <v>2</v>
      </c>
      <c r="AU44">
        <v>2</v>
      </c>
      <c r="AV44">
        <v>2</v>
      </c>
      <c r="AW44">
        <v>3</v>
      </c>
      <c r="AX44">
        <v>10</v>
      </c>
      <c r="AY44">
        <v>8</v>
      </c>
      <c r="AZ44">
        <v>5</v>
      </c>
      <c r="BA44">
        <v>3</v>
      </c>
      <c r="BB44">
        <v>4</v>
      </c>
      <c r="BC44">
        <v>8</v>
      </c>
      <c r="BD44">
        <v>13</v>
      </c>
      <c r="BE44">
        <v>7</v>
      </c>
      <c r="BF44">
        <v>7</v>
      </c>
      <c r="BG44">
        <v>2</v>
      </c>
      <c r="BH44">
        <v>4</v>
      </c>
      <c r="BI44">
        <v>5</v>
      </c>
      <c r="BJ44">
        <v>1</v>
      </c>
      <c r="BK44">
        <v>5</v>
      </c>
      <c r="BL44">
        <v>4</v>
      </c>
      <c r="BM44">
        <v>10</v>
      </c>
      <c r="BN44">
        <v>2</v>
      </c>
      <c r="BO44">
        <v>1</v>
      </c>
      <c r="BP44">
        <v>5</v>
      </c>
      <c r="BQ44">
        <v>1</v>
      </c>
      <c r="BR44">
        <v>6</v>
      </c>
      <c r="BS44">
        <v>3</v>
      </c>
      <c r="BT44">
        <v>4</v>
      </c>
      <c r="BU44">
        <v>5</v>
      </c>
      <c r="BV44">
        <v>6</v>
      </c>
      <c r="BW44">
        <v>1</v>
      </c>
      <c r="BX44">
        <v>8</v>
      </c>
      <c r="BY44">
        <v>7</v>
      </c>
      <c r="BZ44">
        <v>1</v>
      </c>
      <c r="CA44">
        <v>20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1</v>
      </c>
      <c r="CI44" t="s">
        <v>71</v>
      </c>
    </row>
    <row r="45" spans="1:87" x14ac:dyDescent="0.3">
      <c r="A45">
        <v>-1</v>
      </c>
      <c r="C45" t="s">
        <v>104</v>
      </c>
      <c r="D45" t="s">
        <v>275</v>
      </c>
      <c r="E45" t="s">
        <v>105</v>
      </c>
      <c r="F45">
        <v>71</v>
      </c>
      <c r="G45">
        <v>146</v>
      </c>
      <c r="H45">
        <v>16</v>
      </c>
      <c r="I45">
        <v>996</v>
      </c>
      <c r="J45" s="40">
        <v>3196</v>
      </c>
      <c r="K45">
        <v>9855</v>
      </c>
      <c r="L45" t="b">
        <v>0</v>
      </c>
      <c r="M45" t="b">
        <v>0</v>
      </c>
      <c r="N45">
        <v>76</v>
      </c>
      <c r="O45">
        <v>9700</v>
      </c>
      <c r="P45">
        <v>13</v>
      </c>
      <c r="Q45">
        <v>8</v>
      </c>
      <c r="R45">
        <v>15</v>
      </c>
      <c r="S45">
        <v>8</v>
      </c>
      <c r="T45">
        <v>9</v>
      </c>
      <c r="U45">
        <v>11</v>
      </c>
      <c r="V45">
        <v>9</v>
      </c>
      <c r="W45">
        <v>7</v>
      </c>
      <c r="X45">
        <v>14</v>
      </c>
      <c r="Y45">
        <v>17</v>
      </c>
      <c r="Z45">
        <v>12</v>
      </c>
      <c r="AA45">
        <v>13</v>
      </c>
      <c r="AB45">
        <v>14</v>
      </c>
      <c r="AC45">
        <v>13</v>
      </c>
      <c r="AD45">
        <v>15</v>
      </c>
      <c r="AE45" s="40">
        <v>10</v>
      </c>
      <c r="AF45">
        <v>4</v>
      </c>
      <c r="AG45">
        <v>12</v>
      </c>
      <c r="AH45">
        <v>13</v>
      </c>
      <c r="AI45">
        <v>12</v>
      </c>
      <c r="AJ45">
        <v>20</v>
      </c>
      <c r="AK45">
        <v>13</v>
      </c>
      <c r="AL45">
        <v>4</v>
      </c>
      <c r="AM45">
        <v>3</v>
      </c>
      <c r="AN45">
        <v>1</v>
      </c>
      <c r="AO45">
        <v>2</v>
      </c>
      <c r="AP45">
        <v>2</v>
      </c>
      <c r="AQ45">
        <v>2</v>
      </c>
      <c r="AR45">
        <v>2</v>
      </c>
      <c r="AS45">
        <v>1</v>
      </c>
      <c r="AT45">
        <v>3</v>
      </c>
      <c r="AU45">
        <v>3</v>
      </c>
      <c r="AV45">
        <v>4</v>
      </c>
      <c r="AW45">
        <v>2</v>
      </c>
      <c r="AX45">
        <v>10</v>
      </c>
      <c r="AY45">
        <v>7</v>
      </c>
      <c r="AZ45">
        <v>13</v>
      </c>
      <c r="BA45">
        <v>5</v>
      </c>
      <c r="BB45">
        <v>4</v>
      </c>
      <c r="BC45">
        <v>9</v>
      </c>
      <c r="BD45">
        <v>14</v>
      </c>
      <c r="BE45">
        <v>10</v>
      </c>
      <c r="BF45">
        <v>1</v>
      </c>
      <c r="BG45">
        <v>5</v>
      </c>
      <c r="BH45">
        <v>2</v>
      </c>
      <c r="BI45">
        <v>7</v>
      </c>
      <c r="BJ45">
        <v>11</v>
      </c>
      <c r="BK45">
        <v>12</v>
      </c>
      <c r="BL45">
        <v>4</v>
      </c>
      <c r="BM45">
        <v>9</v>
      </c>
      <c r="BN45">
        <v>6</v>
      </c>
      <c r="BO45">
        <v>8</v>
      </c>
      <c r="BP45">
        <v>8</v>
      </c>
      <c r="BQ45">
        <v>3</v>
      </c>
      <c r="BR45">
        <v>3</v>
      </c>
      <c r="BS45">
        <v>5</v>
      </c>
      <c r="BT45">
        <v>3</v>
      </c>
      <c r="BU45">
        <v>3</v>
      </c>
      <c r="BV45">
        <v>10</v>
      </c>
      <c r="BW45">
        <v>5</v>
      </c>
      <c r="BX45">
        <v>3</v>
      </c>
      <c r="BY45">
        <v>9</v>
      </c>
      <c r="BZ45">
        <v>1</v>
      </c>
      <c r="CA45">
        <v>1</v>
      </c>
      <c r="CB45">
        <v>1</v>
      </c>
      <c r="CC45">
        <v>1</v>
      </c>
      <c r="CD45">
        <v>16</v>
      </c>
      <c r="CE45">
        <v>6</v>
      </c>
      <c r="CF45">
        <v>16</v>
      </c>
      <c r="CG45">
        <v>1</v>
      </c>
      <c r="CH45">
        <v>1</v>
      </c>
      <c r="CI45" t="s">
        <v>71</v>
      </c>
    </row>
    <row r="46" spans="1:87" x14ac:dyDescent="0.3">
      <c r="A46">
        <v>-1</v>
      </c>
      <c r="C46" t="s">
        <v>175</v>
      </c>
      <c r="D46" t="s">
        <v>73</v>
      </c>
      <c r="E46" t="s">
        <v>76</v>
      </c>
      <c r="F46">
        <v>15</v>
      </c>
      <c r="G46">
        <v>61</v>
      </c>
      <c r="H46">
        <v>16</v>
      </c>
      <c r="I46">
        <v>714</v>
      </c>
      <c r="J46" s="40">
        <v>1687</v>
      </c>
      <c r="K46">
        <v>8881</v>
      </c>
      <c r="L46" t="b">
        <v>0</v>
      </c>
      <c r="M46" t="b">
        <v>0</v>
      </c>
      <c r="N46">
        <v>94</v>
      </c>
      <c r="O46">
        <v>10000</v>
      </c>
      <c r="P46">
        <v>6</v>
      </c>
      <c r="Q46">
        <v>10</v>
      </c>
      <c r="R46">
        <v>7</v>
      </c>
      <c r="S46">
        <v>6</v>
      </c>
      <c r="T46">
        <v>8</v>
      </c>
      <c r="U46">
        <v>5</v>
      </c>
      <c r="V46">
        <v>14</v>
      </c>
      <c r="W46">
        <v>8</v>
      </c>
      <c r="X46">
        <v>5</v>
      </c>
      <c r="Y46">
        <v>9</v>
      </c>
      <c r="Z46">
        <v>12</v>
      </c>
      <c r="AA46">
        <v>12</v>
      </c>
      <c r="AB46">
        <v>11</v>
      </c>
      <c r="AC46">
        <v>10</v>
      </c>
      <c r="AD46">
        <v>10</v>
      </c>
      <c r="AE46" s="40">
        <v>2</v>
      </c>
      <c r="AF46">
        <v>9</v>
      </c>
      <c r="AG46">
        <v>9</v>
      </c>
      <c r="AH46">
        <v>12</v>
      </c>
      <c r="AI46">
        <v>11</v>
      </c>
      <c r="AJ46">
        <v>20</v>
      </c>
      <c r="AK46">
        <v>5</v>
      </c>
      <c r="AL46">
        <v>1</v>
      </c>
      <c r="AM46">
        <v>1</v>
      </c>
      <c r="AN46">
        <v>3</v>
      </c>
      <c r="AO46">
        <v>3</v>
      </c>
      <c r="AP46">
        <v>1</v>
      </c>
      <c r="AQ46">
        <v>4</v>
      </c>
      <c r="AR46">
        <v>1</v>
      </c>
      <c r="AS46">
        <v>1</v>
      </c>
      <c r="AT46">
        <v>1</v>
      </c>
      <c r="AU46">
        <v>1</v>
      </c>
      <c r="AV46">
        <v>4</v>
      </c>
      <c r="AW46">
        <v>1</v>
      </c>
      <c r="AX46">
        <v>8</v>
      </c>
      <c r="AY46">
        <v>5</v>
      </c>
      <c r="AZ46">
        <v>7</v>
      </c>
      <c r="BA46">
        <v>7</v>
      </c>
      <c r="BB46">
        <v>2</v>
      </c>
      <c r="BC46">
        <v>4</v>
      </c>
      <c r="BD46">
        <v>13</v>
      </c>
      <c r="BE46">
        <v>11</v>
      </c>
      <c r="BF46">
        <v>10</v>
      </c>
      <c r="BG46">
        <v>6</v>
      </c>
      <c r="BH46">
        <v>2</v>
      </c>
      <c r="BI46">
        <v>4</v>
      </c>
      <c r="BJ46">
        <v>2</v>
      </c>
      <c r="BK46">
        <v>3</v>
      </c>
      <c r="BL46">
        <v>1</v>
      </c>
      <c r="BM46">
        <v>2</v>
      </c>
      <c r="BN46">
        <v>8</v>
      </c>
      <c r="BO46">
        <v>13</v>
      </c>
      <c r="BP46">
        <v>5</v>
      </c>
      <c r="BQ46">
        <v>3</v>
      </c>
      <c r="BR46">
        <v>4</v>
      </c>
      <c r="BS46">
        <v>2</v>
      </c>
      <c r="BT46">
        <v>2</v>
      </c>
      <c r="BU46">
        <v>1</v>
      </c>
      <c r="BV46">
        <v>1</v>
      </c>
      <c r="BW46">
        <v>5</v>
      </c>
      <c r="BX46">
        <v>1</v>
      </c>
      <c r="BY46">
        <v>10</v>
      </c>
      <c r="BZ46">
        <v>1</v>
      </c>
      <c r="CA46">
        <v>1</v>
      </c>
      <c r="CB46">
        <v>1</v>
      </c>
      <c r="CC46">
        <v>1</v>
      </c>
      <c r="CD46">
        <v>2</v>
      </c>
      <c r="CE46">
        <v>1</v>
      </c>
      <c r="CF46">
        <v>1</v>
      </c>
      <c r="CG46">
        <v>1</v>
      </c>
      <c r="CH46">
        <v>20</v>
      </c>
      <c r="CI46" t="s">
        <v>71</v>
      </c>
    </row>
    <row r="47" spans="1:87" x14ac:dyDescent="0.3">
      <c r="A47">
        <v>-1</v>
      </c>
      <c r="C47" t="s">
        <v>178</v>
      </c>
      <c r="D47" t="s">
        <v>145</v>
      </c>
      <c r="E47" t="s">
        <v>179</v>
      </c>
      <c r="F47">
        <v>43</v>
      </c>
      <c r="G47">
        <v>98</v>
      </c>
      <c r="H47">
        <v>16</v>
      </c>
      <c r="I47">
        <v>817</v>
      </c>
      <c r="J47" s="40">
        <v>2760</v>
      </c>
      <c r="K47">
        <v>8073</v>
      </c>
      <c r="L47" t="b">
        <v>0</v>
      </c>
      <c r="M47" t="b">
        <v>0</v>
      </c>
      <c r="N47">
        <v>104</v>
      </c>
      <c r="O47">
        <v>10000</v>
      </c>
      <c r="P47">
        <v>6</v>
      </c>
      <c r="Q47">
        <v>12</v>
      </c>
      <c r="R47">
        <v>12</v>
      </c>
      <c r="S47">
        <v>3</v>
      </c>
      <c r="T47">
        <v>11</v>
      </c>
      <c r="U47">
        <v>5</v>
      </c>
      <c r="V47">
        <v>10</v>
      </c>
      <c r="W47">
        <v>11</v>
      </c>
      <c r="X47">
        <v>10</v>
      </c>
      <c r="Y47">
        <v>12</v>
      </c>
      <c r="Z47">
        <v>11</v>
      </c>
      <c r="AA47">
        <v>9</v>
      </c>
      <c r="AB47">
        <v>10</v>
      </c>
      <c r="AC47">
        <v>14</v>
      </c>
      <c r="AD47">
        <v>13</v>
      </c>
      <c r="AE47" s="40">
        <v>11</v>
      </c>
      <c r="AF47">
        <v>4</v>
      </c>
      <c r="AG47">
        <v>10</v>
      </c>
      <c r="AH47">
        <v>13</v>
      </c>
      <c r="AI47">
        <v>13</v>
      </c>
      <c r="AJ47">
        <v>20</v>
      </c>
      <c r="AK47">
        <v>6</v>
      </c>
      <c r="AL47">
        <v>1</v>
      </c>
      <c r="AM47">
        <v>3</v>
      </c>
      <c r="AN47">
        <v>3</v>
      </c>
      <c r="AO47">
        <v>2</v>
      </c>
      <c r="AP47">
        <v>2</v>
      </c>
      <c r="AQ47">
        <v>3</v>
      </c>
      <c r="AR47">
        <v>3</v>
      </c>
      <c r="AS47">
        <v>1</v>
      </c>
      <c r="AT47">
        <v>1</v>
      </c>
      <c r="AU47">
        <v>1</v>
      </c>
      <c r="AV47">
        <v>2</v>
      </c>
      <c r="AW47">
        <v>1</v>
      </c>
      <c r="AX47">
        <v>9</v>
      </c>
      <c r="AY47">
        <v>4</v>
      </c>
      <c r="AZ47">
        <v>8</v>
      </c>
      <c r="BA47">
        <v>4</v>
      </c>
      <c r="BB47">
        <v>3</v>
      </c>
      <c r="BC47">
        <v>3</v>
      </c>
      <c r="BD47">
        <v>8</v>
      </c>
      <c r="BE47">
        <v>11</v>
      </c>
      <c r="BF47">
        <v>6</v>
      </c>
      <c r="BG47">
        <v>5</v>
      </c>
      <c r="BH47">
        <v>1</v>
      </c>
      <c r="BI47">
        <v>2</v>
      </c>
      <c r="BJ47">
        <v>6</v>
      </c>
      <c r="BK47">
        <v>6</v>
      </c>
      <c r="BL47">
        <v>3</v>
      </c>
      <c r="BM47">
        <v>6</v>
      </c>
      <c r="BN47">
        <v>5</v>
      </c>
      <c r="BO47">
        <v>7</v>
      </c>
      <c r="BP47">
        <v>13</v>
      </c>
      <c r="BQ47">
        <v>1</v>
      </c>
      <c r="BR47">
        <v>1</v>
      </c>
      <c r="BS47">
        <v>2</v>
      </c>
      <c r="BT47">
        <v>3</v>
      </c>
      <c r="BU47">
        <v>1</v>
      </c>
      <c r="BV47">
        <v>7</v>
      </c>
      <c r="BW47">
        <v>2</v>
      </c>
      <c r="BX47">
        <v>1</v>
      </c>
      <c r="BY47">
        <v>10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20</v>
      </c>
      <c r="CF47">
        <v>5</v>
      </c>
      <c r="CG47">
        <v>1</v>
      </c>
      <c r="CH47">
        <v>1</v>
      </c>
      <c r="CI47" t="s">
        <v>71</v>
      </c>
    </row>
    <row r="48" spans="1:87" x14ac:dyDescent="0.3">
      <c r="A48">
        <v>-1</v>
      </c>
      <c r="C48" t="s">
        <v>184</v>
      </c>
      <c r="D48" t="s">
        <v>186</v>
      </c>
      <c r="E48" t="s">
        <v>76</v>
      </c>
      <c r="F48">
        <v>37</v>
      </c>
      <c r="G48">
        <v>85</v>
      </c>
      <c r="H48">
        <v>16</v>
      </c>
      <c r="I48">
        <v>660</v>
      </c>
      <c r="J48" s="40">
        <v>1895</v>
      </c>
      <c r="K48">
        <v>5960</v>
      </c>
      <c r="L48" t="b">
        <v>0</v>
      </c>
      <c r="M48" t="b">
        <v>1</v>
      </c>
      <c r="N48">
        <v>100</v>
      </c>
      <c r="O48">
        <v>9100</v>
      </c>
      <c r="P48">
        <v>5</v>
      </c>
      <c r="Q48">
        <v>6</v>
      </c>
      <c r="R48">
        <v>15</v>
      </c>
      <c r="S48">
        <v>11</v>
      </c>
      <c r="T48">
        <v>7</v>
      </c>
      <c r="U48">
        <v>11</v>
      </c>
      <c r="V48">
        <v>10</v>
      </c>
      <c r="W48">
        <v>17</v>
      </c>
      <c r="X48">
        <v>8</v>
      </c>
      <c r="Y48">
        <v>15</v>
      </c>
      <c r="Z48">
        <v>10</v>
      </c>
      <c r="AA48">
        <v>4</v>
      </c>
      <c r="AB48">
        <v>3</v>
      </c>
      <c r="AC48">
        <v>12</v>
      </c>
      <c r="AD48">
        <v>13</v>
      </c>
      <c r="AE48" s="41">
        <v>4</v>
      </c>
      <c r="AF48">
        <v>6</v>
      </c>
      <c r="AG48">
        <v>20</v>
      </c>
      <c r="AH48">
        <v>8</v>
      </c>
      <c r="AI48">
        <v>12</v>
      </c>
      <c r="AJ48">
        <v>9</v>
      </c>
      <c r="AK48">
        <v>9</v>
      </c>
      <c r="AL48">
        <v>4</v>
      </c>
      <c r="AM48">
        <v>3</v>
      </c>
      <c r="AN48">
        <v>3</v>
      </c>
      <c r="AO48">
        <v>3</v>
      </c>
      <c r="AP48">
        <v>2</v>
      </c>
      <c r="AQ48">
        <v>2</v>
      </c>
      <c r="AR48">
        <v>2</v>
      </c>
      <c r="AS48">
        <v>3</v>
      </c>
      <c r="AT48">
        <v>1</v>
      </c>
      <c r="AU48">
        <v>1</v>
      </c>
      <c r="AV48">
        <v>3</v>
      </c>
      <c r="AW48">
        <v>3</v>
      </c>
      <c r="AX48">
        <v>7</v>
      </c>
      <c r="AY48">
        <v>3</v>
      </c>
      <c r="AZ48">
        <v>15</v>
      </c>
      <c r="BA48">
        <v>4</v>
      </c>
      <c r="BB48">
        <v>4</v>
      </c>
      <c r="BC48">
        <v>9</v>
      </c>
      <c r="BD48">
        <v>9</v>
      </c>
      <c r="BE48">
        <v>9</v>
      </c>
      <c r="BF48">
        <v>10</v>
      </c>
      <c r="BG48">
        <v>5</v>
      </c>
      <c r="BH48">
        <v>6</v>
      </c>
      <c r="BI48">
        <v>9</v>
      </c>
      <c r="BJ48">
        <v>3</v>
      </c>
      <c r="BK48">
        <v>13</v>
      </c>
      <c r="BL48">
        <v>2</v>
      </c>
      <c r="BM48">
        <v>6</v>
      </c>
      <c r="BN48">
        <v>4</v>
      </c>
      <c r="BO48">
        <v>3</v>
      </c>
      <c r="BP48">
        <v>4</v>
      </c>
      <c r="BQ48">
        <v>2</v>
      </c>
      <c r="BR48">
        <v>3</v>
      </c>
      <c r="BS48">
        <v>1</v>
      </c>
      <c r="BT48">
        <v>1</v>
      </c>
      <c r="BU48">
        <v>7</v>
      </c>
      <c r="BV48">
        <v>6</v>
      </c>
      <c r="BW48">
        <v>2</v>
      </c>
      <c r="BX48">
        <v>5</v>
      </c>
      <c r="BY48">
        <v>9</v>
      </c>
      <c r="BZ48">
        <v>1</v>
      </c>
      <c r="CA48">
        <v>6</v>
      </c>
      <c r="CB48">
        <v>1</v>
      </c>
      <c r="CC48">
        <v>20</v>
      </c>
      <c r="CD48">
        <v>1</v>
      </c>
      <c r="CE48">
        <v>1</v>
      </c>
      <c r="CF48">
        <v>1</v>
      </c>
      <c r="CG48">
        <v>2</v>
      </c>
      <c r="CH48">
        <v>1</v>
      </c>
      <c r="CI48" t="s">
        <v>71</v>
      </c>
    </row>
    <row r="49" spans="1:87" x14ac:dyDescent="0.3">
      <c r="A49">
        <v>-1</v>
      </c>
      <c r="C49" t="s">
        <v>181</v>
      </c>
      <c r="D49" t="s">
        <v>123</v>
      </c>
      <c r="E49" t="s">
        <v>182</v>
      </c>
      <c r="F49">
        <v>59</v>
      </c>
      <c r="G49">
        <v>86</v>
      </c>
      <c r="H49">
        <v>16</v>
      </c>
      <c r="I49">
        <v>884</v>
      </c>
      <c r="J49" s="40">
        <v>2837</v>
      </c>
      <c r="K49">
        <v>6040</v>
      </c>
      <c r="L49" t="b">
        <v>0</v>
      </c>
      <c r="M49" t="b">
        <v>0</v>
      </c>
      <c r="N49">
        <v>140</v>
      </c>
      <c r="O49">
        <v>10000</v>
      </c>
      <c r="P49">
        <v>6</v>
      </c>
      <c r="Q49">
        <v>10</v>
      </c>
      <c r="R49">
        <v>9</v>
      </c>
      <c r="S49">
        <v>12</v>
      </c>
      <c r="T49">
        <v>9</v>
      </c>
      <c r="U49">
        <v>17</v>
      </c>
      <c r="V49">
        <v>6</v>
      </c>
      <c r="W49">
        <v>6</v>
      </c>
      <c r="X49">
        <v>11</v>
      </c>
      <c r="Y49">
        <v>9</v>
      </c>
      <c r="Z49">
        <v>14</v>
      </c>
      <c r="AA49">
        <v>11</v>
      </c>
      <c r="AB49">
        <v>11</v>
      </c>
      <c r="AC49">
        <v>12</v>
      </c>
      <c r="AD49">
        <v>14</v>
      </c>
      <c r="AE49" s="41">
        <v>9</v>
      </c>
      <c r="AF49">
        <v>4</v>
      </c>
      <c r="AG49">
        <v>20</v>
      </c>
      <c r="AH49">
        <v>7</v>
      </c>
      <c r="AI49">
        <v>13</v>
      </c>
      <c r="AJ49">
        <v>8</v>
      </c>
      <c r="AK49">
        <v>11</v>
      </c>
      <c r="AL49">
        <v>4</v>
      </c>
      <c r="AM49">
        <v>2</v>
      </c>
      <c r="AN49">
        <v>3</v>
      </c>
      <c r="AO49">
        <v>1</v>
      </c>
      <c r="AP49">
        <v>2</v>
      </c>
      <c r="AQ49">
        <v>3</v>
      </c>
      <c r="AR49">
        <v>3</v>
      </c>
      <c r="AS49">
        <v>1</v>
      </c>
      <c r="AT49">
        <v>3</v>
      </c>
      <c r="AU49">
        <v>2</v>
      </c>
      <c r="AV49">
        <v>1</v>
      </c>
      <c r="AW49">
        <v>2</v>
      </c>
      <c r="AX49">
        <v>12</v>
      </c>
      <c r="AY49">
        <v>6</v>
      </c>
      <c r="AZ49">
        <v>8</v>
      </c>
      <c r="BA49">
        <v>6</v>
      </c>
      <c r="BB49">
        <v>4</v>
      </c>
      <c r="BC49">
        <v>5</v>
      </c>
      <c r="BD49">
        <v>4</v>
      </c>
      <c r="BE49">
        <v>9</v>
      </c>
      <c r="BF49">
        <v>6</v>
      </c>
      <c r="BG49">
        <v>7</v>
      </c>
      <c r="BH49">
        <v>2</v>
      </c>
      <c r="BI49">
        <v>10</v>
      </c>
      <c r="BJ49">
        <v>5</v>
      </c>
      <c r="BK49">
        <v>14</v>
      </c>
      <c r="BL49">
        <v>5</v>
      </c>
      <c r="BM49">
        <v>8</v>
      </c>
      <c r="BN49">
        <v>10</v>
      </c>
      <c r="BO49">
        <v>6</v>
      </c>
      <c r="BP49">
        <v>6</v>
      </c>
      <c r="BQ49">
        <v>10</v>
      </c>
      <c r="BR49">
        <v>1</v>
      </c>
      <c r="BS49">
        <v>4</v>
      </c>
      <c r="BT49">
        <v>4</v>
      </c>
      <c r="BU49">
        <v>1</v>
      </c>
      <c r="BV49">
        <v>5</v>
      </c>
      <c r="BW49">
        <v>1</v>
      </c>
      <c r="BX49">
        <v>4</v>
      </c>
      <c r="BY49">
        <v>8</v>
      </c>
      <c r="BZ49">
        <v>1</v>
      </c>
      <c r="CA49">
        <v>1</v>
      </c>
      <c r="CB49">
        <v>1</v>
      </c>
      <c r="CC49">
        <v>1</v>
      </c>
      <c r="CD49">
        <v>1</v>
      </c>
      <c r="CE49">
        <v>4</v>
      </c>
      <c r="CF49">
        <v>1</v>
      </c>
      <c r="CG49">
        <v>16</v>
      </c>
      <c r="CH49">
        <v>1</v>
      </c>
      <c r="CI49" t="s">
        <v>71</v>
      </c>
    </row>
    <row r="50" spans="1:87" x14ac:dyDescent="0.3">
      <c r="A50">
        <v>-1</v>
      </c>
      <c r="C50" t="s">
        <v>173</v>
      </c>
      <c r="D50" t="s">
        <v>123</v>
      </c>
      <c r="E50" t="s">
        <v>76</v>
      </c>
      <c r="F50">
        <v>54</v>
      </c>
      <c r="G50">
        <v>59</v>
      </c>
      <c r="H50">
        <v>16</v>
      </c>
      <c r="I50">
        <v>806</v>
      </c>
      <c r="J50" s="40">
        <v>2585</v>
      </c>
      <c r="K50">
        <v>10000</v>
      </c>
      <c r="L50" t="b">
        <v>0</v>
      </c>
      <c r="M50" t="b">
        <v>0</v>
      </c>
      <c r="N50">
        <v>74</v>
      </c>
      <c r="O50">
        <v>6300</v>
      </c>
      <c r="P50">
        <v>9</v>
      </c>
      <c r="Q50">
        <v>5</v>
      </c>
      <c r="R50">
        <v>13</v>
      </c>
      <c r="S50">
        <v>2</v>
      </c>
      <c r="T50">
        <v>13</v>
      </c>
      <c r="U50">
        <v>14</v>
      </c>
      <c r="V50">
        <v>8</v>
      </c>
      <c r="W50">
        <v>10</v>
      </c>
      <c r="X50">
        <v>11</v>
      </c>
      <c r="Y50">
        <v>12</v>
      </c>
      <c r="Z50">
        <v>3</v>
      </c>
      <c r="AA50">
        <v>12</v>
      </c>
      <c r="AB50">
        <v>13</v>
      </c>
      <c r="AC50">
        <v>15</v>
      </c>
      <c r="AD50">
        <v>12</v>
      </c>
      <c r="AE50" s="41">
        <v>6</v>
      </c>
      <c r="AF50">
        <v>5</v>
      </c>
      <c r="AG50">
        <v>11</v>
      </c>
      <c r="AH50">
        <v>16</v>
      </c>
      <c r="AI50">
        <v>13</v>
      </c>
      <c r="AJ50">
        <v>20</v>
      </c>
      <c r="AK50">
        <v>9</v>
      </c>
      <c r="AL50">
        <v>3</v>
      </c>
      <c r="AM50">
        <v>3</v>
      </c>
      <c r="AN50">
        <v>3</v>
      </c>
      <c r="AO50">
        <v>1</v>
      </c>
      <c r="AP50">
        <v>3</v>
      </c>
      <c r="AQ50">
        <v>2</v>
      </c>
      <c r="AR50">
        <v>3</v>
      </c>
      <c r="AS50">
        <v>1</v>
      </c>
      <c r="AT50">
        <v>3</v>
      </c>
      <c r="AU50">
        <v>1</v>
      </c>
      <c r="AV50">
        <v>3</v>
      </c>
      <c r="AW50">
        <v>1</v>
      </c>
      <c r="AX50">
        <v>8</v>
      </c>
      <c r="AY50">
        <v>4</v>
      </c>
      <c r="AZ50">
        <v>4</v>
      </c>
      <c r="BA50">
        <v>5</v>
      </c>
      <c r="BB50">
        <v>4</v>
      </c>
      <c r="BC50">
        <v>4</v>
      </c>
      <c r="BD50">
        <v>4</v>
      </c>
      <c r="BE50">
        <v>6</v>
      </c>
      <c r="BF50">
        <v>9</v>
      </c>
      <c r="BG50">
        <v>6</v>
      </c>
      <c r="BH50">
        <v>3</v>
      </c>
      <c r="BI50">
        <v>6</v>
      </c>
      <c r="BJ50">
        <v>6</v>
      </c>
      <c r="BK50">
        <v>5</v>
      </c>
      <c r="BL50">
        <v>4</v>
      </c>
      <c r="BM50">
        <v>8</v>
      </c>
      <c r="BN50">
        <v>8</v>
      </c>
      <c r="BO50">
        <v>5</v>
      </c>
      <c r="BP50">
        <v>7</v>
      </c>
      <c r="BQ50">
        <v>4</v>
      </c>
      <c r="BR50">
        <v>5</v>
      </c>
      <c r="BS50">
        <v>6</v>
      </c>
      <c r="BT50">
        <v>3</v>
      </c>
      <c r="BU50">
        <v>3</v>
      </c>
      <c r="BV50">
        <v>6</v>
      </c>
      <c r="BW50">
        <v>1</v>
      </c>
      <c r="BX50">
        <v>4</v>
      </c>
      <c r="BY50">
        <v>10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16</v>
      </c>
      <c r="CF50">
        <v>1</v>
      </c>
      <c r="CG50">
        <v>12</v>
      </c>
      <c r="CH50">
        <v>1</v>
      </c>
      <c r="CI50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93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0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96.051998281048554</v>
      </c>
      <c r="K2" s="14">
        <f>AVERAGE(SUMPRODUCT($S2:$BM2,AttWeights!$C$7:$AW$7)/SUM(AttWeights!$C$7:$AW$7),SUMPRODUCT($S2:$BM2,AttWeights!$C$15:$AW$15)/SUM(AttWeights!$C$15:$AW$15))*10</f>
        <v>96.565282553116447</v>
      </c>
      <c r="L2" s="14">
        <f>AVERAGE(SUMPRODUCT($S2:$BM2,AttWeights!$C$8:$AW$8)/SUM(AttWeights!$C$8:$AW$8),SUMPRODUCT($S2:$BM2,AttWeights!$C$16:$AW$16)/SUM(AttWeights!$C$16:$AW$16))*10</f>
        <v>97.998610441539284</v>
      </c>
      <c r="M2" s="14">
        <f>AVERAGE(SUMPRODUCT($S2:$BM2,AttWeights!$C$9:$AW$9)/SUM(AttWeights!$C$9:$AW$9),SUMPRODUCT($S2:$BM2,AttWeights!$C$15:$AW$15)/SUM(AttWeights!$C$15:$AW$15))*10</f>
        <v>95.663952699428137</v>
      </c>
      <c r="N2" s="14">
        <f>AVERAGE(SUMPRODUCT($S2:$BM2,AttWeights!$C$6:$AW$6)/SUM(AttWeights!$C$6:$AW$6),SUMPRODUCT($S2:$BM2,AttWeights!$C$14:$AW$14)/SUM(AttWeights!$C$14:$AW$14))*10</f>
        <v>93.683218440327465</v>
      </c>
      <c r="O2" s="14">
        <f>AVERAGE(SUMPRODUCT($S2:$BM2,AttWeights!$C$5:$AW$5)/SUM(AttWeights!$C$5:$AW$5),SUMPRODUCT($S2:$BM2,AttWeights!$C$14:$AW$14)/SUM(AttWeights!$C$14:$AW$14))*10</f>
        <v>90.068419800095185</v>
      </c>
      <c r="P2" s="14">
        <f>AVERAGE(SUMPRODUCT($S2:$BM2,AttWeights!$C$4:$AW$4)/SUM(AttWeights!$C$4:$AW$4),SUMPRODUCT($S2:$BM2,AttWeights!$C$13:$AW$13)/SUM(AttWeights!$C$13:$AW$13))*10</f>
        <v>86.998626373626394</v>
      </c>
      <c r="Q2" s="14">
        <f>AVERAGE(SUMPRODUCT($S2:$BM2,AttWeights!$C$3:$AW$3)/SUM(AttWeights!$C$3:$AW$3),SUMPRODUCT($S2:$BM2,AttWeights!$C$12:$AW$12)/SUM(AttWeights!$C$12:$AW$12))*10</f>
        <v>88.421777221526909</v>
      </c>
      <c r="R2" s="14">
        <f>AVERAGE(SUMPRODUCT($S2:$BM2,AttWeights!$C$2:$AW$2)/SUM(AttWeights!$C$2:$AW$2),SUMPRODUCT($S2:$BM2,AttWeights!$C$11:$AW$11)/SUM(AttWeights!$C$11:$AW$11))*10</f>
        <v>60.674359424359423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Andrey Quintino</v>
      </c>
      <c r="B3" t="str">
        <f t="shared" si="0"/>
        <v>AM(R)</v>
      </c>
      <c r="C3" s="2">
        <f>IF(ISBLANK('Paste Full'!H3),"",'Paste Full'!H3)</f>
        <v>24</v>
      </c>
      <c r="D3" s="2">
        <f>IF(ISBLANK('Paste Full'!F3),"",'Paste Full'!F3)</f>
        <v>84</v>
      </c>
      <c r="E3" s="2">
        <f>IF(ISBLANK('Paste Full'!G3),"",'Paste Full'!G3)</f>
        <v>93</v>
      </c>
      <c r="F3" s="22" t="str">
        <f>IF(ISBLANK('Paste Full'!E3),"",'Paste Full'!E3)</f>
        <v>Brazil</v>
      </c>
      <c r="G3" t="str">
        <f>IF(ISBLANK('Paste Full'!CI3),"",'Paste Full'!CI3)</f>
        <v>Brixham</v>
      </c>
      <c r="H3" s="22">
        <f>IF(ISBLANK('Paste Full'!J3),"",'Paste Full'!J3)</f>
        <v>135598</v>
      </c>
      <c r="I3" s="22" t="str">
        <f>IF(ISBLANK('Paste Full'!D3),"",'Paste Full'!D3)</f>
        <v>AM RL</v>
      </c>
      <c r="J3" s="14">
        <f>AVERAGE(SUMPRODUCT($S3:$BM3,AttWeights!$C$10:$AW$10)/SUM(AttWeights!$C$10:$AW$10),SUMPRODUCT($S3:$BM3,AttWeights!$C$17:$AW$17)/SUM(AttWeights!$C$17:$AW$17))*10</f>
        <v>91.304540896719658</v>
      </c>
      <c r="K3" s="14">
        <f>AVERAGE(SUMPRODUCT($S3:$BM3,AttWeights!$C$7:$AW$7)/SUM(AttWeights!$C$7:$AW$7),SUMPRODUCT($S3:$BM3,AttWeights!$C$15:$AW$15)/SUM(AttWeights!$C$15:$AW$15))*10</f>
        <v>92.163595756560568</v>
      </c>
      <c r="L3" s="14">
        <f>AVERAGE(SUMPRODUCT($S3:$BM3,AttWeights!$C$8:$AW$8)/SUM(AttWeights!$C$8:$AW$8),SUMPRODUCT($S3:$BM3,AttWeights!$C$16:$AW$16)/SUM(AttWeights!$C$16:$AW$16))*10</f>
        <v>91.972322264129531</v>
      </c>
      <c r="M3" s="14">
        <f>AVERAGE(SUMPRODUCT($S3:$BM3,AttWeights!$C$9:$AW$9)/SUM(AttWeights!$C$9:$AW$9),SUMPRODUCT($S3:$BM3,AttWeights!$C$15:$AW$15)/SUM(AttWeights!$C$15:$AW$15))*10</f>
        <v>92.793124616329038</v>
      </c>
      <c r="N3" s="14">
        <f>AVERAGE(SUMPRODUCT($S3:$BM3,AttWeights!$C$6:$AW$6)/SUM(AttWeights!$C$6:$AW$6),SUMPRODUCT($S3:$BM3,AttWeights!$C$14:$AW$14)/SUM(AttWeights!$C$14:$AW$14))*10</f>
        <v>90.081188065489002</v>
      </c>
      <c r="O3" s="14">
        <f>AVERAGE(SUMPRODUCT($S3:$BM3,AttWeights!$C$5:$AW$5)/SUM(AttWeights!$C$5:$AW$5),SUMPRODUCT($S3:$BM3,AttWeights!$C$14:$AW$14)/SUM(AttWeights!$C$14:$AW$14))*10</f>
        <v>89.320412898619708</v>
      </c>
      <c r="P3" s="14">
        <f>AVERAGE(SUMPRODUCT($S3:$BM3,AttWeights!$C$4:$AW$4)/SUM(AttWeights!$C$4:$AW$4),SUMPRODUCT($S3:$BM3,AttWeights!$C$13:$AW$13)/SUM(AttWeights!$C$13:$AW$13))*10</f>
        <v>85.837912087912088</v>
      </c>
      <c r="Q3" s="14">
        <f>AVERAGE(SUMPRODUCT($S3:$BM3,AttWeights!$C$3:$AW$3)/SUM(AttWeights!$C$3:$AW$3),SUMPRODUCT($S3:$BM3,AttWeights!$C$12:$AW$12)/SUM(AttWeights!$C$12:$AW$12))*10</f>
        <v>89.253441802252809</v>
      </c>
      <c r="R3" s="14">
        <f>AVERAGE(SUMPRODUCT($S3:$BM3,AttWeights!$C$2:$AW$2)/SUM(AttWeights!$C$2:$AW$2),SUMPRODUCT($S3:$BM3,AttWeights!$C$11:$AW$11)/SUM(AttWeights!$C$11:$AW$11))*10</f>
        <v>60.88101088101088</v>
      </c>
      <c r="S3" s="3">
        <f>IF(ISBLANK('Paste Full'!AC3),"",'Paste Full'!AC3)</f>
        <v>12</v>
      </c>
      <c r="T3" s="3">
        <f>IF(ISBLANK('Paste Full'!AD3),"",'Paste Full'!AD3)</f>
        <v>12</v>
      </c>
      <c r="U3" s="3">
        <f>IF(ISBLANK('Paste Full'!AE3),"",'Paste Full'!AE3)</f>
        <v>10</v>
      </c>
      <c r="V3" s="3">
        <f>IF(ISBLANK('Paste Full'!AF3),"",'Paste Full'!AF3)</f>
        <v>8</v>
      </c>
      <c r="W3" s="3">
        <f>IF(ISBLANK('Paste Full'!AH3),"",'Paste Full'!AH3)</f>
        <v>11</v>
      </c>
      <c r="X3" s="3">
        <f>IF(ISBLANK('Paste Full'!AI3),"",'Paste Full'!AI3)</f>
        <v>12</v>
      </c>
      <c r="Y3" s="3">
        <f>IF(ISBLANK('Paste Full'!AK3),"",'Paste Full'!AK3)</f>
        <v>12</v>
      </c>
      <c r="Z3" s="3">
        <f>IF(ISBLANK('Paste Full'!AL3),"",'Paste Full'!AL3)</f>
        <v>7</v>
      </c>
      <c r="AA3" s="4">
        <f>IF(ISBLANK('Paste Full'!AM3),"",'Paste Full'!AM3)</f>
        <v>2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3</v>
      </c>
      <c r="AE3" s="4">
        <f>IF(ISBLANK('Paste Full'!AQ3),"",'Paste Full'!AQ3)</f>
        <v>3</v>
      </c>
      <c r="AF3" s="4">
        <f>IF(ISBLANK('Paste Full'!AR3),"",'Paste Full'!AR3)</f>
        <v>3</v>
      </c>
      <c r="AG3" s="4">
        <f>IF(ISBLANK('Paste Full'!AS3),"",'Paste Full'!AS3)</f>
        <v>2</v>
      </c>
      <c r="AH3" s="4">
        <f>IF(ISBLANK('Paste Full'!AV3),"",'Paste Full'!AV3)</f>
        <v>2</v>
      </c>
      <c r="AI3" s="4">
        <f>IF(ISBLANK('Paste Full'!AT3),"",'Paste Full'!AT3)</f>
        <v>1</v>
      </c>
      <c r="AJ3" s="4">
        <f>IF(ISBLANK('Paste Full'!AU3),"",'Paste Full'!AU3)</f>
        <v>3</v>
      </c>
      <c r="AK3" s="4">
        <f>IF(ISBLANK('Paste Full'!AW3),"",'Paste Full'!AW3)</f>
        <v>1</v>
      </c>
      <c r="AL3" s="5">
        <f>IF(ISBLANK('Paste Full'!AX3),"",'Paste Full'!AX3)</f>
        <v>9</v>
      </c>
      <c r="AM3" s="5">
        <f>IF(ISBLANK('Paste Full'!AY3),"",'Paste Full'!AY3)</f>
        <v>10</v>
      </c>
      <c r="AN3" s="5">
        <f>IF(ISBLANK('Paste Full'!AZ3),"",'Paste Full'!AZ3)</f>
        <v>9</v>
      </c>
      <c r="AO3" s="5">
        <f>IF(ISBLANK('Paste Full'!BA3),"",'Paste Full'!BA3)</f>
        <v>9</v>
      </c>
      <c r="AP3" s="5">
        <f>IF(ISBLANK('Paste Full'!BB3),"",'Paste Full'!BB3)</f>
        <v>10</v>
      </c>
      <c r="AQ3" s="5">
        <f>IF(ISBLANK('Paste Full'!BC3),"",'Paste Full'!BC3)</f>
        <v>11</v>
      </c>
      <c r="AR3" s="5">
        <f>IF(ISBLANK('Paste Full'!BD3),"",'Paste Full'!BD3)</f>
        <v>19</v>
      </c>
      <c r="AS3" s="5">
        <f>IF(ISBLANK('Paste Full'!BE3),"",'Paste Full'!BE3)</f>
        <v>11</v>
      </c>
      <c r="AT3" s="5">
        <f>IF(ISBLANK('Paste Full'!BF3),"",'Paste Full'!BF3)</f>
        <v>5</v>
      </c>
      <c r="AU3" s="5">
        <f>IF(ISBLANK('Paste Full'!BG3),"",'Paste Full'!BG3)</f>
        <v>11</v>
      </c>
      <c r="AV3" s="5">
        <f>IF(ISBLANK('Paste Full'!BH3),"",'Paste Full'!BH3)</f>
        <v>9</v>
      </c>
      <c r="AW3" s="5">
        <f>IF(ISBLANK('Paste Full'!BI3),"",'Paste Full'!BI3)</f>
        <v>9</v>
      </c>
      <c r="AX3" s="5">
        <f>IF(ISBLANK('Paste Full'!BJ3),"",'Paste Full'!BJ3)</f>
        <v>7</v>
      </c>
      <c r="AY3" s="5">
        <f>IF(ISBLANK('Paste Full'!BK3),"",'Paste Full'!BK3)</f>
        <v>10</v>
      </c>
      <c r="AZ3" s="6">
        <f>IF(ISBLANK('Paste Full'!BM3),"",'Paste Full'!BM3)</f>
        <v>10</v>
      </c>
      <c r="BA3" s="6">
        <f>IF(ISBLANK('Paste Full'!BN3),"",'Paste Full'!BN3)</f>
        <v>11</v>
      </c>
      <c r="BB3" s="6">
        <f>IF(ISBLANK('Paste Full'!BO3),"",'Paste Full'!BO3)</f>
        <v>11</v>
      </c>
      <c r="BC3" s="6">
        <f>IF(ISBLANK('Paste Full'!BP3),"",'Paste Full'!BP3)</f>
        <v>11</v>
      </c>
      <c r="BD3" s="6">
        <f>IF(ISBLANK('Paste Full'!BR3),"",'Paste Full'!BR3)</f>
        <v>7</v>
      </c>
      <c r="BE3" s="6">
        <f>IF(ISBLANK('Paste Full'!BS3),"",'Paste Full'!BS3)</f>
        <v>5</v>
      </c>
      <c r="BF3" s="6">
        <f>IF(ISBLANK('Paste Full'!BU3),"",'Paste Full'!BU3)</f>
        <v>8</v>
      </c>
      <c r="BG3" s="6">
        <f>IF(ISBLANK('Paste Full'!BV3),"",'Paste Full'!BV3)</f>
        <v>12</v>
      </c>
      <c r="BH3" s="6">
        <f>IF(ISBLANK('Paste Full'!BX3),"",'Paste Full'!BX3)</f>
        <v>6</v>
      </c>
      <c r="BI3" s="6">
        <f>IF(ISBLANK('Paste Full'!BY3),"",'Paste Full'!BY3)</f>
        <v>9</v>
      </c>
      <c r="BJ3" s="13">
        <f>IF(ISBLANK('Paste Full'!BL3),"",'Paste Full'!BL3)</f>
        <v>7</v>
      </c>
      <c r="BK3" s="13">
        <f>IF(ISBLANK('Paste Full'!BQ3),"",'Paste Full'!BQ3)</f>
        <v>7</v>
      </c>
      <c r="BL3" s="13">
        <f>IF(ISBLANK('Paste Full'!BT3),"",'Paste Full'!BT3)</f>
        <v>7</v>
      </c>
      <c r="BM3" s="13">
        <f>IF(ISBLANK('Paste Full'!BW3),"",'Paste Full'!BW3)</f>
        <v>3</v>
      </c>
    </row>
    <row r="4" spans="1:65" x14ac:dyDescent="0.3">
      <c r="A4" t="str">
        <f>IF(ISBLANK('Paste Full'!C4),"",'Paste Full'!C4)</f>
        <v>Asa Hall</v>
      </c>
      <c r="B4" t="str">
        <f t="shared" si="0"/>
        <v>D(C)</v>
      </c>
      <c r="C4" s="2">
        <f>IF(ISBLANK('Paste Full'!H4),"",'Paste Full'!H4)</f>
        <v>39</v>
      </c>
      <c r="D4" s="2">
        <f>IF(ISBLANK('Paste Full'!F4),"",'Paste Full'!F4)</f>
        <v>52</v>
      </c>
      <c r="E4" s="2">
        <f>IF(ISBLANK('Paste Full'!G4),"",'Paste Full'!G4)</f>
        <v>107</v>
      </c>
      <c r="F4" s="22" t="str">
        <f>IF(ISBLANK('Paste Full'!E4),"",'Paste Full'!E4)</f>
        <v>England</v>
      </c>
      <c r="G4" t="str">
        <f>IF(ISBLANK('Paste Full'!CI4),"",'Paste Full'!CI4)</f>
        <v>Brixham</v>
      </c>
      <c r="H4" s="22">
        <f>IF(ISBLANK('Paste Full'!J4),"",'Paste Full'!J4)</f>
        <v>0</v>
      </c>
      <c r="I4" s="22" t="str">
        <f>IF(ISBLANK('Paste Full'!D4),"",'Paste Full'!D4)</f>
        <v>D/DM/M C</v>
      </c>
      <c r="J4" s="14">
        <f>AVERAGE(SUMPRODUCT($S4:$BM4,AttWeights!$C$10:$AW$10)/SUM(AttWeights!$C$10:$AW$10),SUMPRODUCT($S4:$BM4,AttWeights!$C$17:$AW$17)/SUM(AttWeights!$C$17:$AW$17))*10</f>
        <v>74.747457384328897</v>
      </c>
      <c r="K4" s="14">
        <f>AVERAGE(SUMPRODUCT($S4:$BM4,AttWeights!$C$7:$AW$7)/SUM(AttWeights!$C$7:$AW$7),SUMPRODUCT($S4:$BM4,AttWeights!$C$15:$AW$15)/SUM(AttWeights!$C$15:$AW$15))*10</f>
        <v>70.105645184989271</v>
      </c>
      <c r="L4" s="14">
        <f>AVERAGE(SUMPRODUCT($S4:$BM4,AttWeights!$C$8:$AW$8)/SUM(AttWeights!$C$8:$AW$8),SUMPRODUCT($S4:$BM4,AttWeights!$C$16:$AW$16)/SUM(AttWeights!$C$16:$AW$16))*10</f>
        <v>70.855996370132999</v>
      </c>
      <c r="M4" s="14">
        <f>AVERAGE(SUMPRODUCT($S4:$BM4,AttWeights!$C$9:$AW$9)/SUM(AttWeights!$C$9:$AW$9),SUMPRODUCT($S4:$BM4,AttWeights!$C$15:$AW$15)/SUM(AttWeights!$C$15:$AW$15))*10</f>
        <v>69.601466834674156</v>
      </c>
      <c r="N4" s="14">
        <f>AVERAGE(SUMPRODUCT($S4:$BM4,AttWeights!$C$6:$AW$6)/SUM(AttWeights!$C$6:$AW$6),SUMPRODUCT($S4:$BM4,AttWeights!$C$14:$AW$14)/SUM(AttWeights!$C$14:$AW$14))*10</f>
        <v>75.371876346402416</v>
      </c>
      <c r="O4" s="14">
        <f>AVERAGE(SUMPRODUCT($S4:$BM4,AttWeights!$C$5:$AW$5)/SUM(AttWeights!$C$5:$AW$5),SUMPRODUCT($S4:$BM4,AttWeights!$C$14:$AW$14)/SUM(AttWeights!$C$14:$AW$14))*10</f>
        <v>76.152129938124702</v>
      </c>
      <c r="P4" s="14">
        <f>AVERAGE(SUMPRODUCT($S4:$BM4,AttWeights!$C$4:$AW$4)/SUM(AttWeights!$C$4:$AW$4),SUMPRODUCT($S4:$BM4,AttWeights!$C$13:$AW$13)/SUM(AttWeights!$C$13:$AW$13))*10</f>
        <v>81.826923076923066</v>
      </c>
      <c r="Q4" s="14">
        <f>AVERAGE(SUMPRODUCT($S4:$BM4,AttWeights!$C$3:$AW$3)/SUM(AttWeights!$C$3:$AW$3),SUMPRODUCT($S4:$BM4,AttWeights!$C$12:$AW$12)/SUM(AttWeights!$C$12:$AW$12))*10</f>
        <v>75.833229036295378</v>
      </c>
      <c r="R4" s="14">
        <f>AVERAGE(SUMPRODUCT($S4:$BM4,AttWeights!$C$2:$AW$2)/SUM(AttWeights!$C$2:$AW$2),SUMPRODUCT($S4:$BM4,AttWeights!$C$11:$AW$11)/SUM(AttWeights!$C$11:$AW$11))*10</f>
        <v>54.454633204633197</v>
      </c>
      <c r="S4" s="3">
        <f>IF(ISBLANK('Paste Full'!AC4),"",'Paste Full'!AC4)</f>
        <v>3</v>
      </c>
      <c r="T4" s="3">
        <f>IF(ISBLANK('Paste Full'!AD4),"",'Paste Full'!AD4)</f>
        <v>5</v>
      </c>
      <c r="U4" s="3">
        <f>IF(ISBLANK('Paste Full'!AE4),"",'Paste Full'!AE4)</f>
        <v>6</v>
      </c>
      <c r="V4" s="3">
        <f>IF(ISBLANK('Paste Full'!AF4),"",'Paste Full'!AF4)</f>
        <v>11</v>
      </c>
      <c r="W4" s="3">
        <f>IF(ISBLANK('Paste Full'!AH4),"",'Paste Full'!AH4)</f>
        <v>11</v>
      </c>
      <c r="X4" s="3">
        <f>IF(ISBLANK('Paste Full'!AI4),"",'Paste Full'!AI4)</f>
        <v>4</v>
      </c>
      <c r="Y4" s="3">
        <f>IF(ISBLANK('Paste Full'!AK4),"",'Paste Full'!AK4)</f>
        <v>5</v>
      </c>
      <c r="Z4" s="3">
        <f>IF(ISBLANK('Paste Full'!AL4),"",'Paste Full'!AL4)</f>
        <v>10</v>
      </c>
      <c r="AA4" s="4">
        <f>IF(ISBLANK('Paste Full'!AM4),"",'Paste Full'!AM4)</f>
        <v>1</v>
      </c>
      <c r="AB4" s="4">
        <f>IF(ISBLANK('Paste Full'!AN4),"",'Paste Full'!AN4)</f>
        <v>2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2</v>
      </c>
      <c r="AF4" s="4">
        <f>IF(ISBLANK('Paste Full'!AR4),"",'Paste Full'!AR4)</f>
        <v>1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1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11</v>
      </c>
      <c r="AN4" s="5">
        <f>IF(ISBLANK('Paste Full'!AZ4),"",'Paste Full'!AZ4)</f>
        <v>12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10</v>
      </c>
      <c r="AR4" s="5">
        <f>IF(ISBLANK('Paste Full'!BD4),"",'Paste Full'!BD4)</f>
        <v>9</v>
      </c>
      <c r="AS4" s="5">
        <f>IF(ISBLANK('Paste Full'!BE4),"",'Paste Full'!BE4)</f>
        <v>7</v>
      </c>
      <c r="AT4" s="5">
        <f>IF(ISBLANK('Paste Full'!BF4),"",'Paste Full'!BF4)</f>
        <v>15</v>
      </c>
      <c r="AU4" s="5">
        <f>IF(ISBLANK('Paste Full'!BG4),"",'Paste Full'!BG4)</f>
        <v>7</v>
      </c>
      <c r="AV4" s="5">
        <f>IF(ISBLANK('Paste Full'!BH4),"",'Paste Full'!BH4)</f>
        <v>11</v>
      </c>
      <c r="AW4" s="5">
        <f>IF(ISBLANK('Paste Full'!BI4),"",'Paste Full'!BI4)</f>
        <v>11</v>
      </c>
      <c r="AX4" s="5">
        <f>IF(ISBLANK('Paste Full'!BJ4),"",'Paste Full'!BJ4)</f>
        <v>7</v>
      </c>
      <c r="AY4" s="5">
        <f>IF(ISBLANK('Paste Full'!BK4),"",'Paste Full'!BK4)</f>
        <v>8</v>
      </c>
      <c r="AZ4" s="6">
        <f>IF(ISBLANK('Paste Full'!BM4),"",'Paste Full'!BM4)</f>
        <v>6</v>
      </c>
      <c r="BA4" s="6">
        <f>IF(ISBLANK('Paste Full'!BN4),"",'Paste Full'!BN4)</f>
        <v>3</v>
      </c>
      <c r="BB4" s="6">
        <f>IF(ISBLANK('Paste Full'!BO4),"",'Paste Full'!BO4)</f>
        <v>7</v>
      </c>
      <c r="BC4" s="6">
        <f>IF(ISBLANK('Paste Full'!BP4),"",'Paste Full'!BP4)</f>
        <v>9</v>
      </c>
      <c r="BD4" s="6">
        <f>IF(ISBLANK('Paste Full'!BR4),"",'Paste Full'!BR4)</f>
        <v>13</v>
      </c>
      <c r="BE4" s="6">
        <f>IF(ISBLANK('Paste Full'!BS4),"",'Paste Full'!BS4)</f>
        <v>7</v>
      </c>
      <c r="BF4" s="6">
        <f>IF(ISBLANK('Paste Full'!BU4),"",'Paste Full'!BU4)</f>
        <v>7</v>
      </c>
      <c r="BG4" s="6">
        <f>IF(ISBLANK('Paste Full'!BV4),"",'Paste Full'!BV4)</f>
        <v>9</v>
      </c>
      <c r="BH4" s="6">
        <f>IF(ISBLANK('Paste Full'!BX4),"",'Paste Full'!BX4)</f>
        <v>11</v>
      </c>
      <c r="BI4" s="6">
        <f>IF(ISBLANK('Paste Full'!BY4),"",'Paste Full'!BY4)</f>
        <v>9</v>
      </c>
      <c r="BJ4" s="13">
        <f>IF(ISBLANK('Paste Full'!BL4),"",'Paste Full'!BL4)</f>
        <v>4</v>
      </c>
      <c r="BK4" s="13">
        <f>IF(ISBLANK('Paste Full'!BQ4),"",'Paste Full'!BQ4)</f>
        <v>4</v>
      </c>
      <c r="BL4" s="13">
        <f>IF(ISBLANK('Paste Full'!BT4),"",'Paste Full'!BT4)</f>
        <v>4</v>
      </c>
      <c r="BM4" s="13">
        <f>IF(ISBLANK('Paste Full'!BW4),"",'Paste Full'!BW4)</f>
        <v>10</v>
      </c>
    </row>
    <row r="5" spans="1:65" x14ac:dyDescent="0.3">
      <c r="A5" t="str">
        <f>IF(ISBLANK('Paste Full'!C5),"",'Paste Full'!C5)</f>
        <v>Ashley Sarahs</v>
      </c>
      <c r="B5" t="str">
        <f t="shared" si="0"/>
        <v>GK</v>
      </c>
      <c r="C5" s="2">
        <f>IF(ISBLANK('Paste Full'!H5),"",'Paste Full'!H5)</f>
        <v>16</v>
      </c>
      <c r="D5" s="2">
        <f>IF(ISBLANK('Paste Full'!F5),"",'Paste Full'!F5)</f>
        <v>75</v>
      </c>
      <c r="E5" s="2">
        <f>IF(ISBLANK('Paste Full'!G5),"",'Paste Full'!G5)</f>
        <v>146</v>
      </c>
      <c r="F5" s="22" t="str">
        <f>IF(ISBLANK('Paste Full'!E5),"",'Paste Full'!E5)</f>
        <v>Northern Ireland,England</v>
      </c>
      <c r="G5" t="str">
        <f>IF(ISBLANK('Paste Full'!CI5),"",'Paste Full'!CI5)</f>
        <v>Brixham</v>
      </c>
      <c r="H5" s="22">
        <f>IF(ISBLANK('Paste Full'!J5),"",'Paste Full'!J5)</f>
        <v>3418</v>
      </c>
      <c r="I5" s="22" t="str">
        <f>IF(ISBLANK('Paste Full'!D5),"",'Paste Full'!D5)</f>
        <v xml:space="preserve">GK </v>
      </c>
      <c r="J5" s="14">
        <f>AVERAGE(SUMPRODUCT($S5:$BM5,AttWeights!$C$10:$AW$10)/SUM(AttWeights!$C$10:$AW$10),SUMPRODUCT($S5:$BM5,AttWeights!$C$17:$AW$17)/SUM(AttWeights!$C$17:$AW$17))*10</f>
        <v>72.336341498352667</v>
      </c>
      <c r="K5" s="14">
        <f>AVERAGE(SUMPRODUCT($S5:$BM5,AttWeights!$C$7:$AW$7)/SUM(AttWeights!$C$7:$AW$7),SUMPRODUCT($S5:$BM5,AttWeights!$C$15:$AW$15)/SUM(AttWeights!$C$15:$AW$15))*10</f>
        <v>69.834405947867992</v>
      </c>
      <c r="L5" s="14">
        <f>AVERAGE(SUMPRODUCT($S5:$BM5,AttWeights!$C$8:$AW$8)/SUM(AttWeights!$C$8:$AW$8),SUMPRODUCT($S5:$BM5,AttWeights!$C$16:$AW$16)/SUM(AttWeights!$C$16:$AW$16))*10</f>
        <v>68.754501885829342</v>
      </c>
      <c r="M5" s="14">
        <f>AVERAGE(SUMPRODUCT($S5:$BM5,AttWeights!$C$9:$AW$9)/SUM(AttWeights!$C$9:$AW$9),SUMPRODUCT($S5:$BM5,AttWeights!$C$15:$AW$15)/SUM(AttWeights!$C$15:$AW$15))*10</f>
        <v>72.545475105812415</v>
      </c>
      <c r="N5" s="14">
        <f>AVERAGE(SUMPRODUCT($S5:$BM5,AttWeights!$C$6:$AW$6)/SUM(AttWeights!$C$6:$AW$6),SUMPRODUCT($S5:$BM5,AttWeights!$C$14:$AW$14)/SUM(AttWeights!$C$14:$AW$14))*10</f>
        <v>71.533956268849636</v>
      </c>
      <c r="O5" s="14">
        <f>AVERAGE(SUMPRODUCT($S5:$BM5,AttWeights!$C$5:$AW$5)/SUM(AttWeights!$C$5:$AW$5),SUMPRODUCT($S5:$BM5,AttWeights!$C$14:$AW$14)/SUM(AttWeights!$C$14:$AW$14))*10</f>
        <v>73.063570918610182</v>
      </c>
      <c r="P5" s="14">
        <f>AVERAGE(SUMPRODUCT($S5:$BM5,AttWeights!$C$4:$AW$4)/SUM(AttWeights!$C$4:$AW$4),SUMPRODUCT($S5:$BM5,AttWeights!$C$13:$AW$13)/SUM(AttWeights!$C$13:$AW$13))*10</f>
        <v>71.974587912087912</v>
      </c>
      <c r="Q5" s="14">
        <f>AVERAGE(SUMPRODUCT($S5:$BM5,AttWeights!$C$3:$AW$3)/SUM(AttWeights!$C$3:$AW$3),SUMPRODUCT($S5:$BM5,AttWeights!$C$12:$AW$12)/SUM(AttWeights!$C$12:$AW$12))*10</f>
        <v>73.204005006257816</v>
      </c>
      <c r="R5" s="14">
        <f>AVERAGE(SUMPRODUCT($S5:$BM5,AttWeights!$C$2:$AW$2)/SUM(AttWeights!$C$2:$AW$2),SUMPRODUCT($S5:$BM5,AttWeights!$C$11:$AW$11)/SUM(AttWeights!$C$11:$AW$11))*10</f>
        <v>93.695156195156187</v>
      </c>
      <c r="S5" s="3">
        <f>IF(ISBLANK('Paste Full'!AC5),"",'Paste Full'!AC5)</f>
        <v>10</v>
      </c>
      <c r="T5" s="3">
        <f>IF(ISBLANK('Paste Full'!AD5),"",'Paste Full'!AD5)</f>
        <v>11</v>
      </c>
      <c r="U5" s="3">
        <f>IF(ISBLANK('Paste Full'!AE5),"",'Paste Full'!AE5)</f>
        <v>8</v>
      </c>
      <c r="V5" s="3">
        <f>IF(ISBLANK('Paste Full'!AF5),"",'Paste Full'!AF5)</f>
        <v>13</v>
      </c>
      <c r="W5" s="3">
        <f>IF(ISBLANK('Paste Full'!AH5),"",'Paste Full'!AH5)</f>
        <v>7</v>
      </c>
      <c r="X5" s="3">
        <f>IF(ISBLANK('Paste Full'!AI5),"",'Paste Full'!AI5)</f>
        <v>9</v>
      </c>
      <c r="Y5" s="3">
        <f>IF(ISBLANK('Paste Full'!AK5),"",'Paste Full'!AK5)</f>
        <v>4</v>
      </c>
      <c r="Z5" s="3">
        <f>IF(ISBLANK('Paste Full'!AL5),"",'Paste Full'!AL5)</f>
        <v>7</v>
      </c>
      <c r="AA5" s="4">
        <f>IF(ISBLANK('Paste Full'!AM5),"",'Paste Full'!AM5)</f>
        <v>9</v>
      </c>
      <c r="AB5" s="4">
        <f>IF(ISBLANK('Paste Full'!AN5),"",'Paste Full'!AN5)</f>
        <v>8</v>
      </c>
      <c r="AC5" s="4">
        <f>IF(ISBLANK('Paste Full'!AO5),"",'Paste Full'!AO5)</f>
        <v>10</v>
      </c>
      <c r="AD5" s="4">
        <f>IF(ISBLANK('Paste Full'!AP5),"",'Paste Full'!AP5)</f>
        <v>2</v>
      </c>
      <c r="AE5" s="4">
        <f>IF(ISBLANK('Paste Full'!AQ5),"",'Paste Full'!AQ5)</f>
        <v>15</v>
      </c>
      <c r="AF5" s="4">
        <f>IF(ISBLANK('Paste Full'!AR5),"",'Paste Full'!AR5)</f>
        <v>5</v>
      </c>
      <c r="AG5" s="4">
        <f>IF(ISBLANK('Paste Full'!AS5),"",'Paste Full'!AS5)</f>
        <v>12</v>
      </c>
      <c r="AH5" s="4">
        <f>IF(ISBLANK('Paste Full'!AV5),"",'Paste Full'!AV5)</f>
        <v>5</v>
      </c>
      <c r="AI5" s="4">
        <f>IF(ISBLANK('Paste Full'!AT5),"",'Paste Full'!AT5)</f>
        <v>14</v>
      </c>
      <c r="AJ5" s="4">
        <f>IF(ISBLANK('Paste Full'!AU5),"",'Paste Full'!AU5)</f>
        <v>15</v>
      </c>
      <c r="AK5" s="4">
        <f>IF(ISBLANK('Paste Full'!AW5),"",'Paste Full'!AW5)</f>
        <v>6</v>
      </c>
      <c r="AL5" s="5">
        <f>IF(ISBLANK('Paste Full'!AX5),"",'Paste Full'!AX5)</f>
        <v>10</v>
      </c>
      <c r="AM5" s="5">
        <f>IF(ISBLANK('Paste Full'!AY5),"",'Paste Full'!AY5)</f>
        <v>12</v>
      </c>
      <c r="AN5" s="5">
        <f>IF(ISBLANK('Paste Full'!AZ5),"",'Paste Full'!AZ5)</f>
        <v>6</v>
      </c>
      <c r="AO5" s="5">
        <f>IF(ISBLANK('Paste Full'!BA5),"",'Paste Full'!BA5)</f>
        <v>5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8</v>
      </c>
      <c r="AS5" s="5">
        <f>IF(ISBLANK('Paste Full'!BE5),"",'Paste Full'!BE5)</f>
        <v>3</v>
      </c>
      <c r="AT5" s="5">
        <f>IF(ISBLANK('Paste Full'!BF5),"",'Paste Full'!BF5)</f>
        <v>5</v>
      </c>
      <c r="AU5" s="5">
        <f>IF(ISBLANK('Paste Full'!BG5),"",'Paste Full'!BG5)</f>
        <v>3</v>
      </c>
      <c r="AV5" s="5">
        <f>IF(ISBLANK('Paste Full'!BH5),"",'Paste Full'!BH5)</f>
        <v>6</v>
      </c>
      <c r="AW5" s="5">
        <f>IF(ISBLANK('Paste Full'!BI5),"",'Paste Full'!BI5)</f>
        <v>10</v>
      </c>
      <c r="AX5" s="5">
        <f>IF(ISBLANK('Paste Full'!BJ5),"",'Paste Full'!BJ5)</f>
        <v>2</v>
      </c>
      <c r="AY5" s="5">
        <f>IF(ISBLANK('Paste Full'!BK5),"",'Paste Full'!BK5)</f>
        <v>7</v>
      </c>
      <c r="AZ5" s="6">
        <f>IF(ISBLANK('Paste Full'!BM5),"",'Paste Full'!BM5)</f>
        <v>1</v>
      </c>
      <c r="BA5" s="6">
        <f>IF(ISBLANK('Paste Full'!BN5),"",'Paste Full'!BN5)</f>
        <v>3</v>
      </c>
      <c r="BB5" s="6">
        <f>IF(ISBLANK('Paste Full'!BO5),"",'Paste Full'!BO5)</f>
        <v>1</v>
      </c>
      <c r="BC5" s="6">
        <f>IF(ISBLANK('Paste Full'!BP5),"",'Paste Full'!BP5)</f>
        <v>6</v>
      </c>
      <c r="BD5" s="6">
        <f>IF(ISBLANK('Paste Full'!BR5),"",'Paste Full'!BR5)</f>
        <v>1</v>
      </c>
      <c r="BE5" s="6">
        <f>IF(ISBLANK('Paste Full'!BS5),"",'Paste Full'!BS5)</f>
        <v>2</v>
      </c>
      <c r="BF5" s="6">
        <f>IF(ISBLANK('Paste Full'!BU5),"",'Paste Full'!BU5)</f>
        <v>1</v>
      </c>
      <c r="BG5" s="6">
        <f>IF(ISBLANK('Paste Full'!BV5),"",'Paste Full'!BV5)</f>
        <v>4</v>
      </c>
      <c r="BH5" s="6">
        <f>IF(ISBLANK('Paste Full'!BX5),"",'Paste Full'!BX5)</f>
        <v>1</v>
      </c>
      <c r="BI5" s="6">
        <f>IF(ISBLANK('Paste Full'!BY5),"",'Paste Full'!BY5)</f>
        <v>11</v>
      </c>
      <c r="BJ5" s="13">
        <f>IF(ISBLANK('Paste Full'!BL5),"",'Paste Full'!BL5)</f>
        <v>4</v>
      </c>
      <c r="BK5" s="13">
        <f>IF(ISBLANK('Paste Full'!BQ5),"",'Paste Full'!BQ5)</f>
        <v>5</v>
      </c>
      <c r="BL5" s="13">
        <f>IF(ISBLANK('Paste Full'!BT5),"",'Paste Full'!BT5)</f>
        <v>2</v>
      </c>
      <c r="BM5" s="13">
        <f>IF(ISBLANK('Paste Full'!BW5),"",'Paste Full'!BW5)</f>
        <v>1</v>
      </c>
    </row>
    <row r="6" spans="1:65" x14ac:dyDescent="0.3">
      <c r="A6" t="str">
        <f>IF(ISBLANK('Paste Full'!C6),"",'Paste Full'!C6)</f>
        <v>Aydin Webb</v>
      </c>
      <c r="B6" t="str">
        <f t="shared" si="0"/>
        <v>AM(C)</v>
      </c>
      <c r="C6" s="2">
        <f>IF(ISBLANK('Paste Full'!H6),"",'Paste Full'!H6)</f>
        <v>16</v>
      </c>
      <c r="D6" s="2">
        <f>IF(ISBLANK('Paste Full'!F6),"",'Paste Full'!F6)</f>
        <v>74</v>
      </c>
      <c r="E6" s="2">
        <f>IF(ISBLANK('Paste Full'!G6),"",'Paste Full'!G6)</f>
        <v>135</v>
      </c>
      <c r="F6" s="22" t="str">
        <f>IF(ISBLANK('Paste Full'!E6),"",'Paste Full'!E6)</f>
        <v>England</v>
      </c>
      <c r="G6" t="str">
        <f>IF(ISBLANK('Paste Full'!CI6),"",'Paste Full'!CI6)</f>
        <v>Brixham</v>
      </c>
      <c r="H6" s="22">
        <f>IF(ISBLANK('Paste Full'!J6),"",'Paste Full'!J6)</f>
        <v>3454</v>
      </c>
      <c r="I6" s="22" t="str">
        <f>IF(ISBLANK('Paste Full'!D6),"",'Paste Full'!D6)</f>
        <v>DM/M/AM RLC</v>
      </c>
      <c r="J6" s="14">
        <f>AVERAGE(SUMPRODUCT($S6:$BM6,AttWeights!$C$10:$AW$10)/SUM(AttWeights!$C$10:$AW$10),SUMPRODUCT($S6:$BM6,AttWeights!$C$17:$AW$17)/SUM(AttWeights!$C$17:$AW$17))*10</f>
        <v>84.720956882968053</v>
      </c>
      <c r="K6" s="14">
        <f>AVERAGE(SUMPRODUCT($S6:$BM6,AttWeights!$C$7:$AW$7)/SUM(AttWeights!$C$7:$AW$7),SUMPRODUCT($S6:$BM6,AttWeights!$C$15:$AW$15)/SUM(AttWeights!$C$15:$AW$15))*10</f>
        <v>87.941902494930815</v>
      </c>
      <c r="L6" s="14">
        <f>AVERAGE(SUMPRODUCT($S6:$BM6,AttWeights!$C$8:$AW$8)/SUM(AttWeights!$C$8:$AW$8),SUMPRODUCT($S6:$BM6,AttWeights!$C$16:$AW$16)/SUM(AttWeights!$C$16:$AW$16))*10</f>
        <v>89.596177296316256</v>
      </c>
      <c r="M6" s="14">
        <f>AVERAGE(SUMPRODUCT($S6:$BM6,AttWeights!$C$9:$AW$9)/SUM(AttWeights!$C$9:$AW$9),SUMPRODUCT($S6:$BM6,AttWeights!$C$15:$AW$15)/SUM(AttWeights!$C$15:$AW$15))*10</f>
        <v>88.100707570030039</v>
      </c>
      <c r="N6" s="14">
        <f>AVERAGE(SUMPRODUCT($S6:$BM6,AttWeights!$C$6:$AW$6)/SUM(AttWeights!$C$6:$AW$6),SUMPRODUCT($S6:$BM6,AttWeights!$C$14:$AW$14)/SUM(AttWeights!$C$14:$AW$14))*10</f>
        <v>88.296531667384741</v>
      </c>
      <c r="O6" s="14">
        <f>AVERAGE(SUMPRODUCT($S6:$BM6,AttWeights!$C$5:$AW$5)/SUM(AttWeights!$C$5:$AW$5),SUMPRODUCT($S6:$BM6,AttWeights!$C$14:$AW$14)/SUM(AttWeights!$C$14:$AW$14))*10</f>
        <v>85.92872441694432</v>
      </c>
      <c r="P6" s="14">
        <f>AVERAGE(SUMPRODUCT($S6:$BM6,AttWeights!$C$4:$AW$4)/SUM(AttWeights!$C$4:$AW$4),SUMPRODUCT($S6:$BM6,AttWeights!$C$13:$AW$13)/SUM(AttWeights!$C$13:$AW$13))*10</f>
        <v>78.945741758241752</v>
      </c>
      <c r="Q6" s="14">
        <f>AVERAGE(SUMPRODUCT($S6:$BM6,AttWeights!$C$3:$AW$3)/SUM(AttWeights!$C$3:$AW$3),SUMPRODUCT($S6:$BM6,AttWeights!$C$12:$AW$12)/SUM(AttWeights!$C$12:$AW$12))*10</f>
        <v>84.124843554443061</v>
      </c>
      <c r="R6" s="14">
        <f>AVERAGE(SUMPRODUCT($S6:$BM6,AttWeights!$C$2:$AW$2)/SUM(AttWeights!$C$2:$AW$2),SUMPRODUCT($S6:$BM6,AttWeights!$C$11:$AW$11)/SUM(AttWeights!$C$11:$AW$11))*10</f>
        <v>55.565110565110565</v>
      </c>
      <c r="S6" s="3">
        <f>IF(ISBLANK('Paste Full'!AC6),"",'Paste Full'!AC6)</f>
        <v>7</v>
      </c>
      <c r="T6" s="3">
        <f>IF(ISBLANK('Paste Full'!AD6),"",'Paste Full'!AD6)</f>
        <v>8</v>
      </c>
      <c r="U6" s="3">
        <f>IF(ISBLANK('Paste Full'!AE6),"",'Paste Full'!AE6)</f>
        <v>7</v>
      </c>
      <c r="V6" s="3">
        <f>IF(ISBLANK('Paste Full'!AF6),"",'Paste Full'!AF6)</f>
        <v>8</v>
      </c>
      <c r="W6" s="3">
        <f>IF(ISBLANK('Paste Full'!AH6),"",'Paste Full'!AH6)</f>
        <v>14</v>
      </c>
      <c r="X6" s="3">
        <f>IF(ISBLANK('Paste Full'!AI6),"",'Paste Full'!AI6)</f>
        <v>8</v>
      </c>
      <c r="Y6" s="3">
        <f>IF(ISBLANK('Paste Full'!AK6),"",'Paste Full'!AK6)</f>
        <v>13</v>
      </c>
      <c r="Z6" s="3">
        <f>IF(ISBLANK('Paste Full'!AL6),"",'Paste Full'!AL6)</f>
        <v>7</v>
      </c>
      <c r="AA6" s="4">
        <f>IF(ISBLANK('Paste Full'!AM6),"",'Paste Full'!AM6)</f>
        <v>2</v>
      </c>
      <c r="AB6" s="4">
        <f>IF(ISBLANK('Paste Full'!AN6),"",'Paste Full'!AN6)</f>
        <v>2</v>
      </c>
      <c r="AC6" s="4">
        <f>IF(ISBLANK('Paste Full'!AO6),"",'Paste Full'!AO6)</f>
        <v>3</v>
      </c>
      <c r="AD6" s="4">
        <f>IF(ISBLANK('Paste Full'!AP6),"",'Paste Full'!AP6)</f>
        <v>1</v>
      </c>
      <c r="AE6" s="4">
        <f>IF(ISBLANK('Paste Full'!AQ6),"",'Paste Full'!AQ6)</f>
        <v>1</v>
      </c>
      <c r="AF6" s="4">
        <f>IF(ISBLANK('Paste Full'!AR6),"",'Paste Full'!AR6)</f>
        <v>3</v>
      </c>
      <c r="AG6" s="4">
        <f>IF(ISBLANK('Paste Full'!AS6),"",'Paste Full'!AS6)</f>
        <v>1</v>
      </c>
      <c r="AH6" s="4">
        <f>IF(ISBLANK('Paste Full'!AV6),"",'Paste Full'!AV6)</f>
        <v>1</v>
      </c>
      <c r="AI6" s="4">
        <f>IF(ISBLANK('Paste Full'!AT6),"",'Paste Full'!AT6)</f>
        <v>2</v>
      </c>
      <c r="AJ6" s="4">
        <f>IF(ISBLANK('Paste Full'!AU6),"",'Paste Full'!AU6)</f>
        <v>1</v>
      </c>
      <c r="AK6" s="4">
        <f>IF(ISBLANK('Paste Full'!AW6),"",'Paste Full'!AW6)</f>
        <v>3</v>
      </c>
      <c r="AL6" s="5">
        <f>IF(ISBLANK('Paste Full'!AX6),"",'Paste Full'!AX6)</f>
        <v>11</v>
      </c>
      <c r="AM6" s="5">
        <f>IF(ISBLANK('Paste Full'!AY6),"",'Paste Full'!AY6)</f>
        <v>5</v>
      </c>
      <c r="AN6" s="5">
        <f>IF(ISBLANK('Paste Full'!AZ6),"",'Paste Full'!AZ6)</f>
        <v>9</v>
      </c>
      <c r="AO6" s="5">
        <f>IF(ISBLANK('Paste Full'!BA6),"",'Paste Full'!BA6)</f>
        <v>9</v>
      </c>
      <c r="AP6" s="5">
        <f>IF(ISBLANK('Paste Full'!BB6),"",'Paste Full'!BB6)</f>
        <v>11</v>
      </c>
      <c r="AQ6" s="5">
        <f>IF(ISBLANK('Paste Full'!BC6),"",'Paste Full'!BC6)</f>
        <v>13</v>
      </c>
      <c r="AR6" s="5">
        <f>IF(ISBLANK('Paste Full'!BD6),"",'Paste Full'!BD6)</f>
        <v>17</v>
      </c>
      <c r="AS6" s="5">
        <f>IF(ISBLANK('Paste Full'!BE6),"",'Paste Full'!BE6)</f>
        <v>11</v>
      </c>
      <c r="AT6" s="5">
        <f>IF(ISBLANK('Paste Full'!BF6),"",'Paste Full'!BF6)</f>
        <v>8</v>
      </c>
      <c r="AU6" s="5">
        <f>IF(ISBLANK('Paste Full'!BG6),"",'Paste Full'!BG6)</f>
        <v>10</v>
      </c>
      <c r="AV6" s="5">
        <f>IF(ISBLANK('Paste Full'!BH6),"",'Paste Full'!BH6)</f>
        <v>6</v>
      </c>
      <c r="AW6" s="5">
        <f>IF(ISBLANK('Paste Full'!BI6),"",'Paste Full'!BI6)</f>
        <v>14</v>
      </c>
      <c r="AX6" s="5">
        <f>IF(ISBLANK('Paste Full'!BJ6),"",'Paste Full'!BJ6)</f>
        <v>12</v>
      </c>
      <c r="AY6" s="5">
        <f>IF(ISBLANK('Paste Full'!BK6),"",'Paste Full'!BK6)</f>
        <v>13</v>
      </c>
      <c r="AZ6" s="6">
        <f>IF(ISBLANK('Paste Full'!BM6),"",'Paste Full'!BM6)</f>
        <v>8</v>
      </c>
      <c r="BA6" s="6">
        <f>IF(ISBLANK('Paste Full'!BN6),"",'Paste Full'!BN6)</f>
        <v>7</v>
      </c>
      <c r="BB6" s="6">
        <f>IF(ISBLANK('Paste Full'!BO6),"",'Paste Full'!BO6)</f>
        <v>10</v>
      </c>
      <c r="BC6" s="6">
        <f>IF(ISBLANK('Paste Full'!BP6),"",'Paste Full'!BP6)</f>
        <v>15</v>
      </c>
      <c r="BD6" s="6">
        <f>IF(ISBLANK('Paste Full'!BR6),"",'Paste Full'!BR6)</f>
        <v>4</v>
      </c>
      <c r="BE6" s="6">
        <f>IF(ISBLANK('Paste Full'!BS6),"",'Paste Full'!BS6)</f>
        <v>8</v>
      </c>
      <c r="BF6" s="6">
        <f>IF(ISBLANK('Paste Full'!BU6),"",'Paste Full'!BU6)</f>
        <v>6</v>
      </c>
      <c r="BG6" s="6">
        <f>IF(ISBLANK('Paste Full'!BV6),"",'Paste Full'!BV6)</f>
        <v>10</v>
      </c>
      <c r="BH6" s="6">
        <f>IF(ISBLANK('Paste Full'!BX6),"",'Paste Full'!BX6)</f>
        <v>9</v>
      </c>
      <c r="BI6" s="6">
        <f>IF(ISBLANK('Paste Full'!BY6),"",'Paste Full'!BY6)</f>
        <v>11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3</v>
      </c>
      <c r="BM6" s="13">
        <f>IF(ISBLANK('Paste Full'!BW6),"",'Paste Full'!BW6)</f>
        <v>4</v>
      </c>
    </row>
    <row r="7" spans="1:65" x14ac:dyDescent="0.3">
      <c r="A7" t="str">
        <f>IF(ISBLANK('Paste Full'!C7),"",'Paste Full'!C7)</f>
        <v>Daniel Willard</v>
      </c>
      <c r="B7" t="str">
        <f t="shared" si="0"/>
        <v>AM(L)</v>
      </c>
      <c r="C7" s="2">
        <f>IF(ISBLANK('Paste Full'!H7),"",'Paste Full'!H7)</f>
        <v>16</v>
      </c>
      <c r="D7" s="2">
        <f>IF(ISBLANK('Paste Full'!F7),"",'Paste Full'!F7)</f>
        <v>76</v>
      </c>
      <c r="E7" s="2">
        <f>IF(ISBLANK('Paste Full'!G7),"",'Paste Full'!G7)</f>
        <v>149</v>
      </c>
      <c r="F7" s="22" t="str">
        <f>IF(ISBLANK('Paste Full'!E7),"",'Paste Full'!E7)</f>
        <v>England,Northern Ireland</v>
      </c>
      <c r="G7" t="str">
        <f>IF(ISBLANK('Paste Full'!CI7),"",'Paste Full'!CI7)</f>
        <v>Brixham</v>
      </c>
      <c r="H7" s="22">
        <f>IF(ISBLANK('Paste Full'!J7),"",'Paste Full'!J7)</f>
        <v>12890</v>
      </c>
      <c r="I7" s="22" t="str">
        <f>IF(ISBLANK('Paste Full'!D7),"",'Paste Full'!D7)</f>
        <v>AM L</v>
      </c>
      <c r="J7" s="14">
        <f>AVERAGE(SUMPRODUCT($S7:$BM7,AttWeights!$C$10:$AW$10)/SUM(AttWeights!$C$10:$AW$10),SUMPRODUCT($S7:$BM7,AttWeights!$C$17:$AW$17)/SUM(AttWeights!$C$17:$AW$17))*10</f>
        <v>80.386334336055</v>
      </c>
      <c r="K7" s="14">
        <f>AVERAGE(SUMPRODUCT($S7:$BM7,AttWeights!$C$7:$AW$7)/SUM(AttWeights!$C$7:$AW$7),SUMPRODUCT($S7:$BM7,AttWeights!$C$15:$AW$15)/SUM(AttWeights!$C$15:$AW$15))*10</f>
        <v>80.946839460460197</v>
      </c>
      <c r="L7" s="14">
        <f>AVERAGE(SUMPRODUCT($S7:$BM7,AttWeights!$C$8:$AW$8)/SUM(AttWeights!$C$8:$AW$8),SUMPRODUCT($S7:$BM7,AttWeights!$C$16:$AW$16)/SUM(AttWeights!$C$16:$AW$16))*10</f>
        <v>80.019567251793674</v>
      </c>
      <c r="M7" s="14">
        <f>AVERAGE(SUMPRODUCT($S7:$BM7,AttWeights!$C$9:$AW$9)/SUM(AttWeights!$C$9:$AW$9),SUMPRODUCT($S7:$BM7,AttWeights!$C$15:$AW$15)/SUM(AttWeights!$C$15:$AW$15))*10</f>
        <v>80.644082582145984</v>
      </c>
      <c r="N7" s="14">
        <f>AVERAGE(SUMPRODUCT($S7:$BM7,AttWeights!$C$6:$AW$6)/SUM(AttWeights!$C$6:$AW$6),SUMPRODUCT($S7:$BM7,AttWeights!$C$14:$AW$14)/SUM(AttWeights!$C$14:$AW$14))*10</f>
        <v>75.700802455838001</v>
      </c>
      <c r="O7" s="14">
        <f>AVERAGE(SUMPRODUCT($S7:$BM7,AttWeights!$C$5:$AW$5)/SUM(AttWeights!$C$5:$AW$5),SUMPRODUCT($S7:$BM7,AttWeights!$C$14:$AW$14)/SUM(AttWeights!$C$14:$AW$14))*10</f>
        <v>72.564403855307006</v>
      </c>
      <c r="P7" s="14">
        <f>AVERAGE(SUMPRODUCT($S7:$BM7,AttWeights!$C$4:$AW$4)/SUM(AttWeights!$C$4:$AW$4),SUMPRODUCT($S7:$BM7,AttWeights!$C$13:$AW$13)/SUM(AttWeights!$C$13:$AW$13))*10</f>
        <v>71.607142857142861</v>
      </c>
      <c r="Q7" s="14">
        <f>AVERAGE(SUMPRODUCT($S7:$BM7,AttWeights!$C$3:$AW$3)/SUM(AttWeights!$C$3:$AW$3),SUMPRODUCT($S7:$BM7,AttWeights!$C$12:$AW$12)/SUM(AttWeights!$C$12:$AW$12))*10</f>
        <v>72.265331664580714</v>
      </c>
      <c r="R7" s="14">
        <f>AVERAGE(SUMPRODUCT($S7:$BM7,AttWeights!$C$2:$AW$2)/SUM(AttWeights!$C$2:$AW$2),SUMPRODUCT($S7:$BM7,AttWeights!$C$11:$AW$11)/SUM(AttWeights!$C$11:$AW$11))*10</f>
        <v>50.089943839943842</v>
      </c>
      <c r="S7" s="3">
        <f>IF(ISBLANK('Paste Full'!AC7),"",'Paste Full'!AC7)</f>
        <v>14</v>
      </c>
      <c r="T7" s="3">
        <f>IF(ISBLANK('Paste Full'!AD7),"",'Paste Full'!AD7)</f>
        <v>15</v>
      </c>
      <c r="U7" s="3">
        <f>IF(ISBLANK('Paste Full'!AE7),"",'Paste Full'!AE7)</f>
        <v>10</v>
      </c>
      <c r="V7" s="3">
        <f>IF(ISBLANK('Paste Full'!AF7),"",'Paste Full'!AF7)</f>
        <v>8</v>
      </c>
      <c r="W7" s="3">
        <f>IF(ISBLANK('Paste Full'!AH7),"",'Paste Full'!AH7)</f>
        <v>6</v>
      </c>
      <c r="X7" s="3">
        <f>IF(ISBLANK('Paste Full'!AI7),"",'Paste Full'!AI7)</f>
        <v>13</v>
      </c>
      <c r="Y7" s="3">
        <f>IF(ISBLANK('Paste Full'!AK7),"",'Paste Full'!AK7)</f>
        <v>13</v>
      </c>
      <c r="Z7" s="3">
        <f>IF(ISBLANK('Paste Full'!AL7),"",'Paste Full'!AL7)</f>
        <v>5</v>
      </c>
      <c r="AA7" s="4">
        <f>IF(ISBLANK('Paste Full'!AM7),"",'Paste Full'!AM7)</f>
        <v>3</v>
      </c>
      <c r="AB7" s="4">
        <f>IF(ISBLANK('Paste Full'!AN7),"",'Paste Full'!AN7)</f>
        <v>1</v>
      </c>
      <c r="AC7" s="4">
        <f>IF(ISBLANK('Paste Full'!AO7),"",'Paste Full'!AO7)</f>
        <v>1</v>
      </c>
      <c r="AD7" s="4">
        <f>IF(ISBLANK('Paste Full'!AP7),"",'Paste Full'!AP7)</f>
        <v>2</v>
      </c>
      <c r="AE7" s="4">
        <f>IF(ISBLANK('Paste Full'!AQ7),"",'Paste Full'!AQ7)</f>
        <v>1</v>
      </c>
      <c r="AF7" s="4">
        <f>IF(ISBLANK('Paste Full'!AR7),"",'Paste Full'!AR7)</f>
        <v>1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3</v>
      </c>
      <c r="AK7" s="4">
        <f>IF(ISBLANK('Paste Full'!AW7),"",'Paste Full'!AW7)</f>
        <v>1</v>
      </c>
      <c r="AL7" s="5">
        <f>IF(ISBLANK('Paste Full'!AX7),"",'Paste Full'!AX7)</f>
        <v>7</v>
      </c>
      <c r="AM7" s="5">
        <f>IF(ISBLANK('Paste Full'!AY7),"",'Paste Full'!AY7)</f>
        <v>6</v>
      </c>
      <c r="AN7" s="5">
        <f>IF(ISBLANK('Paste Full'!AZ7),"",'Paste Full'!AZ7)</f>
        <v>10</v>
      </c>
      <c r="AO7" s="5">
        <f>IF(ISBLANK('Paste Full'!BA7),"",'Paste Full'!BA7)</f>
        <v>7</v>
      </c>
      <c r="AP7" s="5">
        <f>IF(ISBLANK('Paste Full'!BB7),"",'Paste Full'!BB7)</f>
        <v>6</v>
      </c>
      <c r="AQ7" s="5">
        <f>IF(ISBLANK('Paste Full'!BC7),"",'Paste Full'!BC7)</f>
        <v>5</v>
      </c>
      <c r="AR7" s="5">
        <f>IF(ISBLANK('Paste Full'!BD7),"",'Paste Full'!BD7)</f>
        <v>18</v>
      </c>
      <c r="AS7" s="5">
        <f>IF(ISBLANK('Paste Full'!BE7),"",'Paste Full'!BE7)</f>
        <v>12</v>
      </c>
      <c r="AT7" s="5">
        <f>IF(ISBLANK('Paste Full'!BF7),"",'Paste Full'!BF7)</f>
        <v>6</v>
      </c>
      <c r="AU7" s="5">
        <f>IF(ISBLANK('Paste Full'!BG7),"",'Paste Full'!BG7)</f>
        <v>9</v>
      </c>
      <c r="AV7" s="5">
        <f>IF(ISBLANK('Paste Full'!BH7),"",'Paste Full'!BH7)</f>
        <v>4</v>
      </c>
      <c r="AW7" s="5">
        <f>IF(ISBLANK('Paste Full'!BI7),"",'Paste Full'!BI7)</f>
        <v>6</v>
      </c>
      <c r="AX7" s="5">
        <f>IF(ISBLANK('Paste Full'!BJ7),"",'Paste Full'!BJ7)</f>
        <v>11</v>
      </c>
      <c r="AY7" s="5">
        <f>IF(ISBLANK('Paste Full'!BK7),"",'Paste Full'!BK7)</f>
        <v>7</v>
      </c>
      <c r="AZ7" s="6">
        <f>IF(ISBLANK('Paste Full'!BM7),"",'Paste Full'!BM7)</f>
        <v>4</v>
      </c>
      <c r="BA7" s="6">
        <f>IF(ISBLANK('Paste Full'!BN7),"",'Paste Full'!BN7)</f>
        <v>8</v>
      </c>
      <c r="BB7" s="6">
        <f>IF(ISBLANK('Paste Full'!BO7),"",'Paste Full'!BO7)</f>
        <v>10</v>
      </c>
      <c r="BC7" s="6">
        <f>IF(ISBLANK('Paste Full'!BP7),"",'Paste Full'!BP7)</f>
        <v>11</v>
      </c>
      <c r="BD7" s="6">
        <f>IF(ISBLANK('Paste Full'!BR7),"",'Paste Full'!BR7)</f>
        <v>6</v>
      </c>
      <c r="BE7" s="6">
        <f>IF(ISBLANK('Paste Full'!BS7),"",'Paste Full'!BS7)</f>
        <v>5</v>
      </c>
      <c r="BF7" s="6">
        <f>IF(ISBLANK('Paste Full'!BU7),"",'Paste Full'!BU7)</f>
        <v>3</v>
      </c>
      <c r="BG7" s="6">
        <f>IF(ISBLANK('Paste Full'!BV7),"",'Paste Full'!BV7)</f>
        <v>10</v>
      </c>
      <c r="BH7" s="6">
        <f>IF(ISBLANK('Paste Full'!BX7),"",'Paste Full'!BX7)</f>
        <v>4</v>
      </c>
      <c r="BI7" s="6">
        <f>IF(ISBLANK('Paste Full'!BY7),"",'Paste Full'!BY7)</f>
        <v>11</v>
      </c>
      <c r="BJ7" s="13">
        <f>IF(ISBLANK('Paste Full'!BL7),"",'Paste Full'!BL7)</f>
        <v>5</v>
      </c>
      <c r="BK7" s="13">
        <f>IF(ISBLANK('Paste Full'!BQ7),"",'Paste Full'!BQ7)</f>
        <v>10</v>
      </c>
      <c r="BL7" s="13">
        <f>IF(ISBLANK('Paste Full'!BT7),"",'Paste Full'!BT7)</f>
        <v>4</v>
      </c>
      <c r="BM7" s="13">
        <f>IF(ISBLANK('Paste Full'!BW7),"",'Paste Full'!BW7)</f>
        <v>7</v>
      </c>
    </row>
    <row r="8" spans="1:65" x14ac:dyDescent="0.3">
      <c r="A8" t="str">
        <f>IF(ISBLANK('Paste Full'!C8),"",'Paste Full'!C8)</f>
        <v>Donell Gordon</v>
      </c>
      <c r="B8" t="str">
        <f t="shared" si="0"/>
        <v>AM(R)</v>
      </c>
      <c r="C8" s="2">
        <f>IF(ISBLANK('Paste Full'!H8),"",'Paste Full'!H8)</f>
        <v>21</v>
      </c>
      <c r="D8" s="2">
        <f>IF(ISBLANK('Paste Full'!F8),"",'Paste Full'!F8)</f>
        <v>44</v>
      </c>
      <c r="E8" s="2">
        <f>IF(ISBLANK('Paste Full'!G8),"",'Paste Full'!G8)</f>
        <v>81</v>
      </c>
      <c r="F8" s="22" t="str">
        <f>IF(ISBLANK('Paste Full'!E8),"",'Paste Full'!E8)</f>
        <v>England</v>
      </c>
      <c r="G8" t="str">
        <f>IF(ISBLANK('Paste Full'!CI8),"",'Paste Full'!CI8)</f>
        <v>Brixham</v>
      </c>
      <c r="H8" s="22">
        <f>IF(ISBLANK('Paste Full'!J8),"",'Paste Full'!J8)</f>
        <v>0</v>
      </c>
      <c r="I8" s="22" t="str">
        <f>IF(ISBLANK('Paste Full'!D8),"",'Paste Full'!D8)</f>
        <v>M/AM RL</v>
      </c>
      <c r="J8" s="14">
        <f>AVERAGE(SUMPRODUCT($S8:$BM8,AttWeights!$C$10:$AW$10)/SUM(AttWeights!$C$10:$AW$10),SUMPRODUCT($S8:$BM8,AttWeights!$C$17:$AW$17)/SUM(AttWeights!$C$17:$AW$17))*10</f>
        <v>55.752041254834552</v>
      </c>
      <c r="K8" s="14">
        <f>AVERAGE(SUMPRODUCT($S8:$BM8,AttWeights!$C$7:$AW$7)/SUM(AttWeights!$C$7:$AW$7),SUMPRODUCT($S8:$BM8,AttWeights!$C$15:$AW$15)/SUM(AttWeights!$C$15:$AW$15))*10</f>
        <v>65.516912045608166</v>
      </c>
      <c r="L8" s="14">
        <f>AVERAGE(SUMPRODUCT($S8:$BM8,AttWeights!$C$8:$AW$8)/SUM(AttWeights!$C$8:$AW$8),SUMPRODUCT($S8:$BM8,AttWeights!$C$16:$AW$16)/SUM(AttWeights!$C$16:$AW$16))*10</f>
        <v>65.300598360888188</v>
      </c>
      <c r="M8" s="14">
        <f>AVERAGE(SUMPRODUCT($S8:$BM8,AttWeights!$C$9:$AW$9)/SUM(AttWeights!$C$9:$AW$9),SUMPRODUCT($S8:$BM8,AttWeights!$C$15:$AW$15)/SUM(AttWeights!$C$15:$AW$15))*10</f>
        <v>67.326096087363894</v>
      </c>
      <c r="N8" s="14">
        <f>AVERAGE(SUMPRODUCT($S8:$BM8,AttWeights!$C$6:$AW$6)/SUM(AttWeights!$C$6:$AW$6),SUMPRODUCT($S8:$BM8,AttWeights!$C$14:$AW$14)/SUM(AttWeights!$C$14:$AW$14))*10</f>
        <v>57.859624084446359</v>
      </c>
      <c r="O8" s="14">
        <f>AVERAGE(SUMPRODUCT($S8:$BM8,AttWeights!$C$5:$AW$5)/SUM(AttWeights!$C$5:$AW$5),SUMPRODUCT($S8:$BM8,AttWeights!$C$14:$AW$14)/SUM(AttWeights!$C$14:$AW$14))*10</f>
        <v>57.520674678724419</v>
      </c>
      <c r="P8" s="14">
        <f>AVERAGE(SUMPRODUCT($S8:$BM8,AttWeights!$C$4:$AW$4)/SUM(AttWeights!$C$4:$AW$4),SUMPRODUCT($S8:$BM8,AttWeights!$C$13:$AW$13)/SUM(AttWeights!$C$13:$AW$13))*10</f>
        <v>50.570054945054949</v>
      </c>
      <c r="Q8" s="14">
        <f>AVERAGE(SUMPRODUCT($S8:$BM8,AttWeights!$C$3:$AW$3)/SUM(AttWeights!$C$3:$AW$3),SUMPRODUCT($S8:$BM8,AttWeights!$C$12:$AW$12)/SUM(AttWeights!$C$12:$AW$12))*10</f>
        <v>58.29036295369211</v>
      </c>
      <c r="R8" s="14">
        <f>AVERAGE(SUMPRODUCT($S8:$BM8,AttWeights!$C$2:$AW$2)/SUM(AttWeights!$C$2:$AW$2),SUMPRODUCT($S8:$BM8,AttWeights!$C$11:$AW$11)/SUM(AttWeights!$C$11:$AW$11))*10</f>
        <v>39.746840996841001</v>
      </c>
      <c r="S8" s="3">
        <f>IF(ISBLANK('Paste Full'!AC8),"",'Paste Full'!AC8)</f>
        <v>12</v>
      </c>
      <c r="T8" s="3">
        <f>IF(ISBLANK('Paste Full'!AD8),"",'Paste Full'!AD8)</f>
        <v>12</v>
      </c>
      <c r="U8" s="3">
        <f>IF(ISBLANK('Paste Full'!AE8),"",'Paste Full'!AE8)</f>
        <v>2</v>
      </c>
      <c r="V8" s="3">
        <f>IF(ISBLANK('Paste Full'!AF8),"",'Paste Full'!AF8)</f>
        <v>3</v>
      </c>
      <c r="W8" s="3">
        <f>IF(ISBLANK('Paste Full'!AH8),"",'Paste Full'!AH8)</f>
        <v>10</v>
      </c>
      <c r="X8" s="3">
        <f>IF(ISBLANK('Paste Full'!AI8),"",'Paste Full'!AI8)</f>
        <v>11</v>
      </c>
      <c r="Y8" s="3">
        <f>IF(ISBLANK('Paste Full'!AK8),"",'Paste Full'!AK8)</f>
        <v>11</v>
      </c>
      <c r="Z8" s="3">
        <f>IF(ISBLANK('Paste Full'!AL8),"",'Paste Full'!AL8)</f>
        <v>1</v>
      </c>
      <c r="AA8" s="4">
        <f>IF(ISBLANK('Paste Full'!AM8),"",'Paste Full'!AM8)</f>
        <v>1</v>
      </c>
      <c r="AB8" s="4">
        <f>IF(ISBLANK('Paste Full'!AN8),"",'Paste Full'!AN8)</f>
        <v>2</v>
      </c>
      <c r="AC8" s="4">
        <f>IF(ISBLANK('Paste Full'!AO8),"",'Paste Full'!AO8)</f>
        <v>3</v>
      </c>
      <c r="AD8" s="4">
        <f>IF(ISBLANK('Paste Full'!AP8),"",'Paste Full'!AP8)</f>
        <v>2</v>
      </c>
      <c r="AE8" s="4">
        <f>IF(ISBLANK('Paste Full'!AQ8),"",'Paste Full'!AQ8)</f>
        <v>4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2</v>
      </c>
      <c r="AI8" s="4">
        <f>IF(ISBLANK('Paste Full'!AT8),"",'Paste Full'!AT8)</f>
        <v>2</v>
      </c>
      <c r="AJ8" s="4">
        <f>IF(ISBLANK('Paste Full'!AU8),"",'Paste Full'!AU8)</f>
        <v>1</v>
      </c>
      <c r="AK8" s="4">
        <f>IF(ISBLANK('Paste Full'!AW8),"",'Paste Full'!AW8)</f>
        <v>1</v>
      </c>
      <c r="AL8" s="5">
        <f>IF(ISBLANK('Paste Full'!AX8),"",'Paste Full'!AX8)</f>
        <v>12</v>
      </c>
      <c r="AM8" s="5">
        <f>IF(ISBLANK('Paste Full'!AY8),"",'Paste Full'!AY8)</f>
        <v>6</v>
      </c>
      <c r="AN8" s="5">
        <f>IF(ISBLANK('Paste Full'!AZ8),"",'Paste Full'!AZ8)</f>
        <v>3</v>
      </c>
      <c r="AO8" s="5">
        <f>IF(ISBLANK('Paste Full'!BA8),"",'Paste Full'!BA8)</f>
        <v>2</v>
      </c>
      <c r="AP8" s="5">
        <f>IF(ISBLANK('Paste Full'!BB8),"",'Paste Full'!BB8)</f>
        <v>3</v>
      </c>
      <c r="AQ8" s="5">
        <f>IF(ISBLANK('Paste Full'!BC8),"",'Paste Full'!BC8)</f>
        <v>6</v>
      </c>
      <c r="AR8" s="5">
        <f>IF(ISBLANK('Paste Full'!BD8),"",'Paste Full'!BD8)</f>
        <v>3</v>
      </c>
      <c r="AS8" s="5">
        <f>IF(ISBLANK('Paste Full'!BE8),"",'Paste Full'!BE8)</f>
        <v>8</v>
      </c>
      <c r="AT8" s="5">
        <f>IF(ISBLANK('Paste Full'!BF8),"",'Paste Full'!BF8)</f>
        <v>9</v>
      </c>
      <c r="AU8" s="5">
        <f>IF(ISBLANK('Paste Full'!BG8),"",'Paste Full'!BG8)</f>
        <v>7</v>
      </c>
      <c r="AV8" s="5">
        <f>IF(ISBLANK('Paste Full'!BH8),"",'Paste Full'!BH8)</f>
        <v>3</v>
      </c>
      <c r="AW8" s="5">
        <f>IF(ISBLANK('Paste Full'!BI8),"",'Paste Full'!BI8)</f>
        <v>5</v>
      </c>
      <c r="AX8" s="5">
        <f>IF(ISBLANK('Paste Full'!BJ8),"",'Paste Full'!BJ8)</f>
        <v>4</v>
      </c>
      <c r="AY8" s="5">
        <f>IF(ISBLANK('Paste Full'!BK8),"",'Paste Full'!BK8)</f>
        <v>9</v>
      </c>
      <c r="AZ8" s="6">
        <f>IF(ISBLANK('Paste Full'!BM8),"",'Paste Full'!BM8)</f>
        <v>8</v>
      </c>
      <c r="BA8" s="6">
        <f>IF(ISBLANK('Paste Full'!BN8),"",'Paste Full'!BN8)</f>
        <v>10</v>
      </c>
      <c r="BB8" s="6">
        <f>IF(ISBLANK('Paste Full'!BO8),"",'Paste Full'!BO8)</f>
        <v>5</v>
      </c>
      <c r="BC8" s="6">
        <f>IF(ISBLANK('Paste Full'!BP8),"",'Paste Full'!BP8)</f>
        <v>10</v>
      </c>
      <c r="BD8" s="6">
        <f>IF(ISBLANK('Paste Full'!BR8),"",'Paste Full'!BR8)</f>
        <v>2</v>
      </c>
      <c r="BE8" s="6">
        <f>IF(ISBLANK('Paste Full'!BS8),"",'Paste Full'!BS8)</f>
        <v>4</v>
      </c>
      <c r="BF8" s="6">
        <f>IF(ISBLANK('Paste Full'!BU8),"",'Paste Full'!BU8)</f>
        <v>1</v>
      </c>
      <c r="BG8" s="6">
        <f>IF(ISBLANK('Paste Full'!BV8),"",'Paste Full'!BV8)</f>
        <v>9</v>
      </c>
      <c r="BH8" s="6">
        <f>IF(ISBLANK('Paste Full'!BX8),"",'Paste Full'!BX8)</f>
        <v>3</v>
      </c>
      <c r="BI8" s="6">
        <f>IF(ISBLANK('Paste Full'!BY8),"",'Paste Full'!BY8)</f>
        <v>5</v>
      </c>
      <c r="BJ8" s="13">
        <f>IF(ISBLANK('Paste Full'!BL8),"",'Paste Full'!BL8)</f>
        <v>4</v>
      </c>
      <c r="BK8" s="13">
        <f>IF(ISBLANK('Paste Full'!BQ8),"",'Paste Full'!BQ8)</f>
        <v>3</v>
      </c>
      <c r="BL8" s="13">
        <f>IF(ISBLANK('Paste Full'!BT8),"",'Paste Full'!BT8)</f>
        <v>3</v>
      </c>
      <c r="BM8" s="13">
        <f>IF(ISBLANK('Paste Full'!BW8),"",'Paste Full'!BW8)</f>
        <v>1</v>
      </c>
    </row>
    <row r="9" spans="1:65" x14ac:dyDescent="0.3">
      <c r="A9" t="str">
        <f>IF(ISBLANK('Paste Full'!C9),"",'Paste Full'!C9)</f>
        <v>Ephraim Yeboah</v>
      </c>
      <c r="B9" t="str">
        <f t="shared" si="0"/>
        <v>AM(R)</v>
      </c>
      <c r="C9" s="2">
        <f>IF(ISBLANK('Paste Full'!H9),"",'Paste Full'!H9)</f>
        <v>20</v>
      </c>
      <c r="D9" s="2">
        <f>IF(ISBLANK('Paste Full'!F9),"",'Paste Full'!F9)</f>
        <v>78</v>
      </c>
      <c r="E9" s="2">
        <f>IF(ISBLANK('Paste Full'!G9),"",'Paste Full'!G9)</f>
        <v>89</v>
      </c>
      <c r="F9" s="22" t="str">
        <f>IF(ISBLANK('Paste Full'!E9),"",'Paste Full'!E9)</f>
        <v>Ghana,England,Italy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ST RL</v>
      </c>
      <c r="J9" s="14">
        <f>AVERAGE(SUMPRODUCT($S9:$BM9,AttWeights!$C$10:$AW$10)/SUM(AttWeights!$C$10:$AW$10),SUMPRODUCT($S9:$BM9,AttWeights!$C$17:$AW$17)/SUM(AttWeights!$C$17:$AW$17))*10</f>
        <v>79.141956739722104</v>
      </c>
      <c r="K9" s="14">
        <f>AVERAGE(SUMPRODUCT($S9:$BM9,AttWeights!$C$7:$AW$7)/SUM(AttWeights!$C$7:$AW$7),SUMPRODUCT($S9:$BM9,AttWeights!$C$15:$AW$15)/SUM(AttWeights!$C$15:$AW$15))*10</f>
        <v>80.267125099180106</v>
      </c>
      <c r="L9" s="14">
        <f>AVERAGE(SUMPRODUCT($S9:$BM9,AttWeights!$C$8:$AW$8)/SUM(AttWeights!$C$8:$AW$8),SUMPRODUCT($S9:$BM9,AttWeights!$C$16:$AW$16)/SUM(AttWeights!$C$16:$AW$16))*10</f>
        <v>79.827014150809632</v>
      </c>
      <c r="M9" s="14">
        <f>AVERAGE(SUMPRODUCT($S9:$BM9,AttWeights!$C$9:$AW$9)/SUM(AttWeights!$C$9:$AW$9),SUMPRODUCT($S9:$BM9,AttWeights!$C$15:$AW$15)/SUM(AttWeights!$C$15:$AW$15))*10</f>
        <v>80.977028205873793</v>
      </c>
      <c r="N9" s="14">
        <f>AVERAGE(SUMPRODUCT($S9:$BM9,AttWeights!$C$6:$AW$6)/SUM(AttWeights!$C$6:$AW$6),SUMPRODUCT($S9:$BM9,AttWeights!$C$14:$AW$14)/SUM(AttWeights!$C$14:$AW$14))*10</f>
        <v>76.202068074105981</v>
      </c>
      <c r="O9" s="14">
        <f>AVERAGE(SUMPRODUCT($S9:$BM9,AttWeights!$C$5:$AW$5)/SUM(AttWeights!$C$5:$AW$5),SUMPRODUCT($S9:$BM9,AttWeights!$C$14:$AW$14)/SUM(AttWeights!$C$14:$AW$14))*10</f>
        <v>73.938600666349359</v>
      </c>
      <c r="P9" s="14">
        <f>AVERAGE(SUMPRODUCT($S9:$BM9,AttWeights!$C$4:$AW$4)/SUM(AttWeights!$C$4:$AW$4),SUMPRODUCT($S9:$BM9,AttWeights!$C$13:$AW$13)/SUM(AttWeights!$C$13:$AW$13))*10</f>
        <v>68.746565934065927</v>
      </c>
      <c r="Q9" s="14">
        <f>AVERAGE(SUMPRODUCT($S9:$BM9,AttWeights!$C$3:$AW$3)/SUM(AttWeights!$C$3:$AW$3),SUMPRODUCT($S9:$BM9,AttWeights!$C$12:$AW$12)/SUM(AttWeights!$C$12:$AW$12))*10</f>
        <v>73.559136420525647</v>
      </c>
      <c r="R9" s="14">
        <f>AVERAGE(SUMPRODUCT($S9:$BM9,AttWeights!$C$2:$AW$2)/SUM(AttWeights!$C$2:$AW$2),SUMPRODUCT($S9:$BM9,AttWeights!$C$11:$AW$11)/SUM(AttWeights!$C$11:$AW$11))*10</f>
        <v>51.473323973323971</v>
      </c>
      <c r="S9" s="3">
        <f>IF(ISBLANK('Paste Full'!AC9),"",'Paste Full'!AC9)</f>
        <v>15</v>
      </c>
      <c r="T9" s="3">
        <f>IF(ISBLANK('Paste Full'!AD9),"",'Paste Full'!AD9)</f>
        <v>13</v>
      </c>
      <c r="U9" s="3">
        <f>IF(ISBLANK('Paste Full'!AE9),"",'Paste Full'!AE9)</f>
        <v>11</v>
      </c>
      <c r="V9" s="3">
        <f>IF(ISBLANK('Paste Full'!AF9),"",'Paste Full'!AF9)</f>
        <v>5</v>
      </c>
      <c r="W9" s="3">
        <f>IF(ISBLANK('Paste Full'!AH9),"",'Paste Full'!AH9)</f>
        <v>9</v>
      </c>
      <c r="X9" s="3">
        <f>IF(ISBLANK('Paste Full'!AI9),"",'Paste Full'!AI9)</f>
        <v>14</v>
      </c>
      <c r="Y9" s="3">
        <f>IF(ISBLANK('Paste Full'!AK9),"",'Paste Full'!AK9)</f>
        <v>9</v>
      </c>
      <c r="Z9" s="3">
        <f>IF(ISBLANK('Paste Full'!AL9),"",'Paste Full'!AL9)</f>
        <v>4</v>
      </c>
      <c r="AA9" s="4">
        <f>IF(ISBLANK('Paste Full'!AM9),"",'Paste Full'!AM9)</f>
        <v>2</v>
      </c>
      <c r="AB9" s="4">
        <f>IF(ISBLANK('Paste Full'!AN9),"",'Paste Full'!AN9)</f>
        <v>1</v>
      </c>
      <c r="AC9" s="4">
        <f>IF(ISBLANK('Paste Full'!AO9),"",'Paste Full'!AO9)</f>
        <v>3</v>
      </c>
      <c r="AD9" s="4">
        <f>IF(ISBLANK('Paste Full'!AP9),"",'Paste Full'!AP9)</f>
        <v>1</v>
      </c>
      <c r="AE9" s="4">
        <f>IF(ISBLANK('Paste Full'!AQ9),"",'Paste Full'!AQ9)</f>
        <v>2</v>
      </c>
      <c r="AF9" s="4">
        <f>IF(ISBLANK('Paste Full'!AR9),"",'Paste Full'!AR9)</f>
        <v>1</v>
      </c>
      <c r="AG9" s="4">
        <f>IF(ISBLANK('Paste Full'!AS9),"",'Paste Full'!AS9)</f>
        <v>3</v>
      </c>
      <c r="AH9" s="4">
        <f>IF(ISBLANK('Paste Full'!AV9),"",'Paste Full'!AV9)</f>
        <v>1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6</v>
      </c>
      <c r="AM9" s="5">
        <f>IF(ISBLANK('Paste Full'!AY9),"",'Paste Full'!AY9)</f>
        <v>9</v>
      </c>
      <c r="AN9" s="5">
        <f>IF(ISBLANK('Paste Full'!AZ9),"",'Paste Full'!AZ9)</f>
        <v>9</v>
      </c>
      <c r="AO9" s="5">
        <f>IF(ISBLANK('Paste Full'!BA9),"",'Paste Full'!BA9)</f>
        <v>8</v>
      </c>
      <c r="AP9" s="5">
        <f>IF(ISBLANK('Paste Full'!BB9),"",'Paste Full'!BB9)</f>
        <v>8</v>
      </c>
      <c r="AQ9" s="5">
        <f>IF(ISBLANK('Paste Full'!BC9),"",'Paste Full'!BC9)</f>
        <v>8</v>
      </c>
      <c r="AR9" s="5">
        <f>IF(ISBLANK('Paste Full'!BD9),"",'Paste Full'!BD9)</f>
        <v>15</v>
      </c>
      <c r="AS9" s="5">
        <f>IF(ISBLANK('Paste Full'!BE9),"",'Paste Full'!BE9)</f>
        <v>15</v>
      </c>
      <c r="AT9" s="5">
        <f>IF(ISBLANK('Paste Full'!BF9),"",'Paste Full'!BF9)</f>
        <v>2</v>
      </c>
      <c r="AU9" s="5">
        <f>IF(ISBLANK('Paste Full'!BG9),"",'Paste Full'!BG9)</f>
        <v>8</v>
      </c>
      <c r="AV9" s="5">
        <f>IF(ISBLANK('Paste Full'!BH9),"",'Paste Full'!BH9)</f>
        <v>4</v>
      </c>
      <c r="AW9" s="5">
        <f>IF(ISBLANK('Paste Full'!BI9),"",'Paste Full'!BI9)</f>
        <v>9</v>
      </c>
      <c r="AX9" s="5">
        <f>IF(ISBLANK('Paste Full'!BJ9),"",'Paste Full'!BJ9)</f>
        <v>11</v>
      </c>
      <c r="AY9" s="5">
        <f>IF(ISBLANK('Paste Full'!BK9),"",'Paste Full'!BK9)</f>
        <v>7</v>
      </c>
      <c r="AZ9" s="6">
        <f>IF(ISBLANK('Paste Full'!BM9),"",'Paste Full'!BM9)</f>
        <v>7</v>
      </c>
      <c r="BA9" s="6">
        <f>IF(ISBLANK('Paste Full'!BN9),"",'Paste Full'!BN9)</f>
        <v>9</v>
      </c>
      <c r="BB9" s="6">
        <f>IF(ISBLANK('Paste Full'!BO9),"",'Paste Full'!BO9)</f>
        <v>8</v>
      </c>
      <c r="BC9" s="6">
        <f>IF(ISBLANK('Paste Full'!BP9),"",'Paste Full'!BP9)</f>
        <v>8</v>
      </c>
      <c r="BD9" s="6">
        <f>IF(ISBLANK('Paste Full'!BR9),"",'Paste Full'!BR9)</f>
        <v>4</v>
      </c>
      <c r="BE9" s="6">
        <f>IF(ISBLANK('Paste Full'!BS9),"",'Paste Full'!BS9)</f>
        <v>5</v>
      </c>
      <c r="BF9" s="6">
        <f>IF(ISBLANK('Paste Full'!BU9),"",'Paste Full'!BU9)</f>
        <v>3</v>
      </c>
      <c r="BG9" s="6">
        <f>IF(ISBLANK('Paste Full'!BV9),"",'Paste Full'!BV9)</f>
        <v>6</v>
      </c>
      <c r="BH9" s="6">
        <f>IF(ISBLANK('Paste Full'!BX9),"",'Paste Full'!BX9)</f>
        <v>4</v>
      </c>
      <c r="BI9" s="6">
        <f>IF(ISBLANK('Paste Full'!BY9),"",'Paste Full'!BY9)</f>
        <v>8</v>
      </c>
      <c r="BJ9" s="13">
        <f>IF(ISBLANK('Paste Full'!BL9),"",'Paste Full'!BL9)</f>
        <v>7</v>
      </c>
      <c r="BK9" s="13">
        <f>IF(ISBLANK('Paste Full'!BQ9),"",'Paste Full'!BQ9)</f>
        <v>5</v>
      </c>
      <c r="BL9" s="13">
        <f>IF(ISBLANK('Paste Full'!BT9),"",'Paste Full'!BT9)</f>
        <v>3</v>
      </c>
      <c r="BM9" s="13">
        <f>IF(ISBLANK('Paste Full'!BW9),"",'Paste Full'!BW9)</f>
        <v>5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257875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82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3450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17794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90.856324308838268</v>
      </c>
      <c r="K12" s="14">
        <f>AVERAGE(SUMPRODUCT($S12:$BM12,AttWeights!$C$7:$AW$7)/SUM(AttWeights!$C$7:$AW$7),SUMPRODUCT($S12:$BM12,AttWeights!$C$15:$AW$15)/SUM(AttWeights!$C$15:$AW$15))*10</f>
        <v>91.022510211878114</v>
      </c>
      <c r="L12" s="14">
        <f>AVERAGE(SUMPRODUCT($S12:$BM12,AttWeights!$C$8:$AW$8)/SUM(AttWeights!$C$8:$AW$8),SUMPRODUCT($S12:$BM12,AttWeights!$C$16:$AW$16)/SUM(AttWeights!$C$16:$AW$16))*10</f>
        <v>91.097042225562205</v>
      </c>
      <c r="M12" s="14">
        <f>AVERAGE(SUMPRODUCT($S12:$BM12,AttWeights!$C$9:$AW$9)/SUM(AttWeights!$C$9:$AW$9),SUMPRODUCT($S12:$BM12,AttWeights!$C$15:$AW$15)/SUM(AttWeights!$C$15:$AW$15))*10</f>
        <v>92.285871215792696</v>
      </c>
      <c r="N12" s="14">
        <f>AVERAGE(SUMPRODUCT($S12:$BM12,AttWeights!$C$6:$AW$6)/SUM(AttWeights!$C$6:$AW$6),SUMPRODUCT($S12:$BM12,AttWeights!$C$14:$AW$14)/SUM(AttWeights!$C$14:$AW$14))*10</f>
        <v>93.37718117190866</v>
      </c>
      <c r="O12" s="14">
        <f>AVERAGE(SUMPRODUCT($S12:$BM12,AttWeights!$C$5:$AW$5)/SUM(AttWeights!$C$5:$AW$5),SUMPRODUCT($S12:$BM12,AttWeights!$C$14:$AW$14)/SUM(AttWeights!$C$14:$AW$14))*10</f>
        <v>94.351350547358393</v>
      </c>
      <c r="P12" s="14">
        <f>AVERAGE(SUMPRODUCT($S12:$BM12,AttWeights!$C$4:$AW$4)/SUM(AttWeights!$C$4:$AW$4),SUMPRODUCT($S12:$BM12,AttWeights!$C$13:$AW$13)/SUM(AttWeights!$C$13:$AW$13))*10</f>
        <v>94.368131868131854</v>
      </c>
      <c r="Q12" s="14">
        <f>AVERAGE(SUMPRODUCT($S12:$BM12,AttWeights!$C$3:$AW$3)/SUM(AttWeights!$C$3:$AW$3),SUMPRODUCT($S12:$BM12,AttWeights!$C$12:$AW$12)/SUM(AttWeights!$C$12:$AW$12))*10</f>
        <v>94.927096370463062</v>
      </c>
      <c r="R12" s="14">
        <f>AVERAGE(SUMPRODUCT($S12:$BM12,AttWeights!$C$2:$AW$2)/SUM(AttWeights!$C$2:$AW$2),SUMPRODUCT($S12:$BM12,AttWeights!$C$11:$AW$11)/SUM(AttWeights!$C$11:$AW$11))*10</f>
        <v>58.760968760968751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10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17923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63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3085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70.302678699326734</v>
      </c>
      <c r="K14" s="14">
        <f>AVERAGE(SUMPRODUCT($S14:$BM14,AttWeights!$C$7:$AW$7)/SUM(AttWeights!$C$7:$AW$7),SUMPRODUCT($S14:$BM14,AttWeights!$C$15:$AW$15)/SUM(AttWeights!$C$15:$AW$15))*10</f>
        <v>66.863116753357431</v>
      </c>
      <c r="L14" s="14">
        <f>AVERAGE(SUMPRODUCT($S14:$BM14,AttWeights!$C$8:$AW$8)/SUM(AttWeights!$C$8:$AW$8),SUMPRODUCT($S14:$BM14,AttWeights!$C$16:$AW$16)/SUM(AttWeights!$C$16:$AW$16))*10</f>
        <v>66.866262087740694</v>
      </c>
      <c r="M14" s="14">
        <f>AVERAGE(SUMPRODUCT($S14:$BM14,AttWeights!$C$9:$AW$9)/SUM(AttWeights!$C$9:$AW$9),SUMPRODUCT($S14:$BM14,AttWeights!$C$15:$AW$15)/SUM(AttWeights!$C$15:$AW$15))*10</f>
        <v>68.80181577331912</v>
      </c>
      <c r="N14" s="14">
        <f>AVERAGE(SUMPRODUCT($S14:$BM14,AttWeights!$C$6:$AW$6)/SUM(AttWeights!$C$6:$AW$6),SUMPRODUCT($S14:$BM14,AttWeights!$C$14:$AW$14)/SUM(AttWeights!$C$14:$AW$14))*10</f>
        <v>72.371687850064632</v>
      </c>
      <c r="O14" s="14">
        <f>AVERAGE(SUMPRODUCT($S14:$BM14,AttWeights!$C$5:$AW$5)/SUM(AttWeights!$C$5:$AW$5),SUMPRODUCT($S14:$BM14,AttWeights!$C$14:$AW$14)/SUM(AttWeights!$C$14:$AW$14))*10</f>
        <v>74.780312946216085</v>
      </c>
      <c r="P14" s="14">
        <f>AVERAGE(SUMPRODUCT($S14:$BM14,AttWeights!$C$4:$AW$4)/SUM(AttWeights!$C$4:$AW$4),SUMPRODUCT($S14:$BM14,AttWeights!$C$13:$AW$13)/SUM(AttWeights!$C$13:$AW$13))*10</f>
        <v>86.370192307692292</v>
      </c>
      <c r="Q14" s="14">
        <f>AVERAGE(SUMPRODUCT($S14:$BM14,AttWeights!$C$3:$AW$3)/SUM(AttWeights!$C$3:$AW$3),SUMPRODUCT($S14:$BM14,AttWeights!$C$12:$AW$12)/SUM(AttWeights!$C$12:$AW$12))*10</f>
        <v>77.385168961201501</v>
      </c>
      <c r="R14" s="14">
        <f>AVERAGE(SUMPRODUCT($S14:$BM14,AttWeights!$C$2:$AW$2)/SUM(AttWeights!$C$2:$AW$2),SUMPRODUCT($S14:$BM14,AttWeights!$C$11:$AW$11)/SUM(AttWeights!$C$11:$AW$11))*10</f>
        <v>52.864601614601618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8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60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64.22933677123622</v>
      </c>
      <c r="K15" s="14">
        <f>AVERAGE(SUMPRODUCT($S15:$BM15,AttWeights!$C$7:$AW$7)/SUM(AttWeights!$C$7:$AW$7),SUMPRODUCT($S15:$BM15,AttWeights!$C$15:$AW$15)/SUM(AttWeights!$C$15:$AW$15))*10</f>
        <v>60.367627611742932</v>
      </c>
      <c r="L15" s="14">
        <f>AVERAGE(SUMPRODUCT($S15:$BM15,AttWeights!$C$8:$AW$8)/SUM(AttWeights!$C$8:$AW$8),SUMPRODUCT($S15:$BM15,AttWeights!$C$16:$AW$16)/SUM(AttWeights!$C$16:$AW$16))*10</f>
        <v>61.357371749425752</v>
      </c>
      <c r="M15" s="14">
        <f>AVERAGE(SUMPRODUCT($S15:$BM15,AttWeights!$C$9:$AW$9)/SUM(AttWeights!$C$9:$AW$9),SUMPRODUCT($S15:$BM15,AttWeights!$C$15:$AW$15)/SUM(AttWeights!$C$15:$AW$15))*10</f>
        <v>60.673160802558883</v>
      </c>
      <c r="N15" s="14">
        <f>AVERAGE(SUMPRODUCT($S15:$BM15,AttWeights!$C$6:$AW$6)/SUM(AttWeights!$C$6:$AW$6),SUMPRODUCT($S15:$BM15,AttWeights!$C$14:$AW$14)/SUM(AttWeights!$C$14:$AW$14))*10</f>
        <v>68.249811503662215</v>
      </c>
      <c r="O15" s="14">
        <f>AVERAGE(SUMPRODUCT($S15:$BM15,AttWeights!$C$5:$AW$5)/SUM(AttWeights!$C$5:$AW$5),SUMPRODUCT($S15:$BM15,AttWeights!$C$14:$AW$14)/SUM(AttWeights!$C$14:$AW$14))*10</f>
        <v>70.611167301285107</v>
      </c>
      <c r="P15" s="14">
        <f>AVERAGE(SUMPRODUCT($S15:$BM15,AttWeights!$C$4:$AW$4)/SUM(AttWeights!$C$4:$AW$4),SUMPRODUCT($S15:$BM15,AttWeights!$C$13:$AW$13)/SUM(AttWeights!$C$13:$AW$13))*10</f>
        <v>75.508241758241752</v>
      </c>
      <c r="Q15" s="14">
        <f>AVERAGE(SUMPRODUCT($S15:$BM15,AttWeights!$C$3:$AW$3)/SUM(AttWeights!$C$3:$AW$3),SUMPRODUCT($S15:$BM15,AttWeights!$C$12:$AW$12)/SUM(AttWeights!$C$12:$AW$12))*10</f>
        <v>70.367647058823536</v>
      </c>
      <c r="R15" s="14">
        <f>AVERAGE(SUMPRODUCT($S15:$BM15,AttWeights!$C$2:$AW$2)/SUM(AttWeights!$C$2:$AW$2),SUMPRODUCT($S15:$BM15,AttWeights!$C$11:$AW$11)/SUM(AttWeights!$C$11:$AW$11))*10</f>
        <v>55.916110916110917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6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90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12600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92.914482165878809</v>
      </c>
      <c r="K16" s="14">
        <f>AVERAGE(SUMPRODUCT($S16:$BM16,AttWeights!$C$7:$AW$7)/SUM(AttWeights!$C$7:$AW$7),SUMPRODUCT($S16:$BM16,AttWeights!$C$15:$AW$15)/SUM(AttWeights!$C$15:$AW$15))*10</f>
        <v>95.053483793235188</v>
      </c>
      <c r="L16" s="14">
        <f>AVERAGE(SUMPRODUCT($S16:$BM16,AttWeights!$C$8:$AW$8)/SUM(AttWeights!$C$8:$AW$8),SUMPRODUCT($S16:$BM16,AttWeights!$C$16:$AW$16)/SUM(AttWeights!$C$16:$AW$16))*10</f>
        <v>95.815160366389705</v>
      </c>
      <c r="M16" s="14">
        <f>AVERAGE(SUMPRODUCT($S16:$BM16,AttWeights!$C$9:$AW$9)/SUM(AttWeights!$C$9:$AW$9),SUMPRODUCT($S16:$BM16,AttWeights!$C$15:$AW$15)/SUM(AttWeights!$C$15:$AW$15))*10</f>
        <v>94.744757843042237</v>
      </c>
      <c r="N16" s="14">
        <f>AVERAGE(SUMPRODUCT($S16:$BM16,AttWeights!$C$6:$AW$6)/SUM(AttWeights!$C$6:$AW$6),SUMPRODUCT($S16:$BM16,AttWeights!$C$14:$AW$14)/SUM(AttWeights!$C$14:$AW$14))*10</f>
        <v>90.90707130547176</v>
      </c>
      <c r="O16" s="14">
        <f>AVERAGE(SUMPRODUCT($S16:$BM16,AttWeights!$C$5:$AW$5)/SUM(AttWeights!$C$5:$AW$5),SUMPRODUCT($S16:$BM16,AttWeights!$C$14:$AW$14)/SUM(AttWeights!$C$14:$AW$14))*10</f>
        <v>87.961238695859123</v>
      </c>
      <c r="P16" s="14">
        <f>AVERAGE(SUMPRODUCT($S16:$BM16,AttWeights!$C$4:$AW$4)/SUM(AttWeights!$C$4:$AW$4),SUMPRODUCT($S16:$BM16,AttWeights!$C$13:$AW$13)/SUM(AttWeights!$C$13:$AW$13))*10</f>
        <v>84.752747252747241</v>
      </c>
      <c r="Q16" s="14">
        <f>AVERAGE(SUMPRODUCT($S16:$BM16,AttWeights!$C$3:$AW$3)/SUM(AttWeights!$C$3:$AW$3),SUMPRODUCT($S16:$BM16,AttWeights!$C$12:$AW$12)/SUM(AttWeights!$C$12:$AW$12))*10</f>
        <v>87.126408010012511</v>
      </c>
      <c r="R16" s="14">
        <f>AVERAGE(SUMPRODUCT($S16:$BM16,AttWeights!$C$2:$AW$2)/SUM(AttWeights!$C$2:$AW$2),SUMPRODUCT($S16:$BM16,AttWeights!$C$11:$AW$11)/SUM(AttWeights!$C$11:$AW$11))*10</f>
        <v>56.827834327834324</v>
      </c>
      <c r="S16" s="3">
        <f>IF(ISBLANK('Paste Full'!AC16),"",'Paste Full'!AC16)</f>
        <v>10</v>
      </c>
      <c r="T16" s="3">
        <f>IF(ISBLANK('Paste Full'!AD16),"",'Paste Full'!AD16)</f>
        <v>12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13</v>
      </c>
      <c r="Z16" s="3">
        <f>IF(ISBLANK('Paste Full'!AL16),"",'Paste Full'!AL16)</f>
        <v>7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12</v>
      </c>
      <c r="AN16" s="5">
        <f>IF(ISBLANK('Paste Full'!AZ16),"",'Paste Full'!AZ16)</f>
        <v>9</v>
      </c>
      <c r="AO16" s="5">
        <f>IF(ISBLANK('Paste Full'!BA16),"",'Paste Full'!BA16)</f>
        <v>12</v>
      </c>
      <c r="AP16" s="5">
        <f>IF(ISBLANK('Paste Full'!BB16),"",'Paste Full'!BB16)</f>
        <v>8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10</v>
      </c>
      <c r="AX16" s="5">
        <f>IF(ISBLANK('Paste Full'!BJ16),"",'Paste Full'!BJ16)</f>
        <v>11</v>
      </c>
      <c r="AY16" s="5">
        <f>IF(ISBLANK('Paste Full'!BK16),"",'Paste Full'!BK16)</f>
        <v>15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Mateusz Widz</v>
      </c>
      <c r="B17" t="str">
        <f t="shared" si="0"/>
        <v>AM(R)</v>
      </c>
      <c r="C17" s="2">
        <f>IF(ISBLANK('Paste Full'!H17),"",'Paste Full'!H17)</f>
        <v>16</v>
      </c>
      <c r="D17" s="2">
        <f>IF(ISBLANK('Paste Full'!F17),"",'Paste Full'!F17)</f>
        <v>71</v>
      </c>
      <c r="E17" s="2">
        <f>IF(ISBLANK('Paste Full'!G17),"",'Paste Full'!G17)</f>
        <v>139</v>
      </c>
      <c r="F17" s="22" t="str">
        <f>IF(ISBLANK('Paste Full'!E17),"",'Paste Full'!E17)</f>
        <v>England,Poland</v>
      </c>
      <c r="G17" t="str">
        <f>IF(ISBLANK('Paste Full'!CI17),"",'Paste Full'!CI17)</f>
        <v>Brixham</v>
      </c>
      <c r="H17" s="22">
        <f>IF(ISBLANK('Paste Full'!J17),"",'Paste Full'!J17)</f>
        <v>3391</v>
      </c>
      <c r="I17" s="22" t="str">
        <f>IF(ISBLANK('Paste Full'!D17),"",'Paste Full'!D17)</f>
        <v>AM/ST R</v>
      </c>
      <c r="J17" s="14">
        <f>AVERAGE(SUMPRODUCT($S17:$BM17,AttWeights!$C$10:$AW$10)/SUM(AttWeights!$C$10:$AW$10),SUMPRODUCT($S17:$BM17,AttWeights!$C$17:$AW$17)/SUM(AttWeights!$C$17:$AW$17))*10</f>
        <v>88.514969202120028</v>
      </c>
      <c r="K17" s="14">
        <f>AVERAGE(SUMPRODUCT($S17:$BM17,AttWeights!$C$7:$AW$7)/SUM(AttWeights!$C$7:$AW$7),SUMPRODUCT($S17:$BM17,AttWeights!$C$15:$AW$15)/SUM(AttWeights!$C$15:$AW$15))*10</f>
        <v>88.710217755443892</v>
      </c>
      <c r="L17" s="14">
        <f>AVERAGE(SUMPRODUCT($S17:$BM17,AttWeights!$C$8:$AW$8)/SUM(AttWeights!$C$8:$AW$8),SUMPRODUCT($S17:$BM17,AttWeights!$C$16:$AW$16)/SUM(AttWeights!$C$16:$AW$16))*10</f>
        <v>87.818960383404701</v>
      </c>
      <c r="M17" s="14">
        <f>AVERAGE(SUMPRODUCT($S17:$BM17,AttWeights!$C$9:$AW$9)/SUM(AttWeights!$C$9:$AW$9),SUMPRODUCT($S17:$BM17,AttWeights!$C$15:$AW$15)/SUM(AttWeights!$C$15:$AW$15))*10</f>
        <v>90.653775322283607</v>
      </c>
      <c r="N17" s="14">
        <f>AVERAGE(SUMPRODUCT($S17:$BM17,AttWeights!$C$6:$AW$6)/SUM(AttWeights!$C$6:$AW$6),SUMPRODUCT($S17:$BM17,AttWeights!$C$14:$AW$14)/SUM(AttWeights!$C$14:$AW$14))*10</f>
        <v>83.04273481258079</v>
      </c>
      <c r="O17" s="14">
        <f>AVERAGE(SUMPRODUCT($S17:$BM17,AttWeights!$C$5:$AW$5)/SUM(AttWeights!$C$5:$AW$5),SUMPRODUCT($S17:$BM17,AttWeights!$C$14:$AW$14)/SUM(AttWeights!$C$14:$AW$14))*10</f>
        <v>81.171317229890519</v>
      </c>
      <c r="P17" s="14">
        <f>AVERAGE(SUMPRODUCT($S17:$BM17,AttWeights!$C$4:$AW$4)/SUM(AttWeights!$C$4:$AW$4),SUMPRODUCT($S17:$BM17,AttWeights!$C$13:$AW$13)/SUM(AttWeights!$C$13:$AW$13))*10</f>
        <v>78.853021978021971</v>
      </c>
      <c r="Q17" s="14">
        <f>AVERAGE(SUMPRODUCT($S17:$BM17,AttWeights!$C$3:$AW$3)/SUM(AttWeights!$C$3:$AW$3),SUMPRODUCT($S17:$BM17,AttWeights!$C$12:$AW$12)/SUM(AttWeights!$C$12:$AW$12))*10</f>
        <v>82.091677096370461</v>
      </c>
      <c r="R17" s="14">
        <f>AVERAGE(SUMPRODUCT($S17:$BM17,AttWeights!$C$2:$AW$2)/SUM(AttWeights!$C$2:$AW$2),SUMPRODUCT($S17:$BM17,AttWeights!$C$11:$AW$11)/SUM(AttWeights!$C$11:$AW$11))*10</f>
        <v>53.729817479817477</v>
      </c>
      <c r="S17" s="3">
        <f>IF(ISBLANK('Paste Full'!AC17),"",'Paste Full'!AC17)</f>
        <v>12</v>
      </c>
      <c r="T17" s="3">
        <f>IF(ISBLANK('Paste Full'!AD17),"",'Paste Full'!AD17)</f>
        <v>12</v>
      </c>
      <c r="U17" s="3">
        <f>IF(ISBLANK('Paste Full'!AE17),"",'Paste Full'!AE17)</f>
        <v>12</v>
      </c>
      <c r="V17" s="3">
        <f>IF(ISBLANK('Paste Full'!AF17),"",'Paste Full'!AF17)</f>
        <v>11</v>
      </c>
      <c r="W17" s="3">
        <f>IF(ISBLANK('Paste Full'!AH17),"",'Paste Full'!AH17)</f>
        <v>10</v>
      </c>
      <c r="X17" s="3">
        <f>IF(ISBLANK('Paste Full'!AI17),"",'Paste Full'!AI17)</f>
        <v>12</v>
      </c>
      <c r="Y17" s="3">
        <f>IF(ISBLANK('Paste Full'!AK17),"",'Paste Full'!AK17)</f>
        <v>7</v>
      </c>
      <c r="Z17" s="3">
        <f>IF(ISBLANK('Paste Full'!AL17),"",'Paste Full'!AL17)</f>
        <v>6</v>
      </c>
      <c r="AA17" s="4">
        <f>IF(ISBLANK('Paste Full'!AM17),"",'Paste Full'!AM17)</f>
        <v>2</v>
      </c>
      <c r="AB17" s="4">
        <f>IF(ISBLANK('Paste Full'!AN17),"",'Paste Full'!AN17)</f>
        <v>3</v>
      </c>
      <c r="AC17" s="4">
        <f>IF(ISBLANK('Paste Full'!AO17),"",'Paste Full'!AO17)</f>
        <v>2</v>
      </c>
      <c r="AD17" s="4">
        <f>IF(ISBLANK('Paste Full'!AP17),"",'Paste Full'!AP17)</f>
        <v>1</v>
      </c>
      <c r="AE17" s="4">
        <f>IF(ISBLANK('Paste Full'!AQ17),"",'Paste Full'!AQ17)</f>
        <v>1</v>
      </c>
      <c r="AF17" s="4">
        <f>IF(ISBLANK('Paste Full'!AR17),"",'Paste Full'!AR17)</f>
        <v>1</v>
      </c>
      <c r="AG17" s="4">
        <f>IF(ISBLANK('Paste Full'!AS17),"",'Paste Full'!AS17)</f>
        <v>2</v>
      </c>
      <c r="AH17" s="4">
        <f>IF(ISBLANK('Paste Full'!AV17),"",'Paste Full'!AV17)</f>
        <v>1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2</v>
      </c>
      <c r="AL17" s="5">
        <f>IF(ISBLANK('Paste Full'!AX17),"",'Paste Full'!AX17)</f>
        <v>12</v>
      </c>
      <c r="AM17" s="5">
        <f>IF(ISBLANK('Paste Full'!AY17),"",'Paste Full'!AY17)</f>
        <v>10</v>
      </c>
      <c r="AN17" s="5">
        <f>IF(ISBLANK('Paste Full'!AZ17),"",'Paste Full'!AZ17)</f>
        <v>12</v>
      </c>
      <c r="AO17" s="5">
        <f>IF(ISBLANK('Paste Full'!BA17),"",'Paste Full'!BA17)</f>
        <v>7</v>
      </c>
      <c r="AP17" s="5">
        <f>IF(ISBLANK('Paste Full'!BB17),"",'Paste Full'!BB17)</f>
        <v>5</v>
      </c>
      <c r="AQ17" s="5">
        <f>IF(ISBLANK('Paste Full'!BC17),"",'Paste Full'!BC17)</f>
        <v>8</v>
      </c>
      <c r="AR17" s="5">
        <f>IF(ISBLANK('Paste Full'!BD17),"",'Paste Full'!BD17)</f>
        <v>13</v>
      </c>
      <c r="AS17" s="5">
        <f>IF(ISBLANK('Paste Full'!BE17),"",'Paste Full'!BE17)</f>
        <v>15</v>
      </c>
      <c r="AT17" s="5">
        <f>IF(ISBLANK('Paste Full'!BF17),"",'Paste Full'!BF17)</f>
        <v>7</v>
      </c>
      <c r="AU17" s="5">
        <f>IF(ISBLANK('Paste Full'!BG17),"",'Paste Full'!BG17)</f>
        <v>10</v>
      </c>
      <c r="AV17" s="5">
        <f>IF(ISBLANK('Paste Full'!BH17),"",'Paste Full'!BH17)</f>
        <v>6</v>
      </c>
      <c r="AW17" s="5">
        <f>IF(ISBLANK('Paste Full'!BI17),"",'Paste Full'!BI17)</f>
        <v>13</v>
      </c>
      <c r="AX17" s="5">
        <f>IF(ISBLANK('Paste Full'!BJ17),"",'Paste Full'!BJ17)</f>
        <v>5</v>
      </c>
      <c r="AY17" s="5">
        <f>IF(ISBLANK('Paste Full'!BK17),"",'Paste Full'!BK17)</f>
        <v>9</v>
      </c>
      <c r="AZ17" s="6">
        <f>IF(ISBLANK('Paste Full'!BM17),"",'Paste Full'!BM17)</f>
        <v>11</v>
      </c>
      <c r="BA17" s="6">
        <f>IF(ISBLANK('Paste Full'!BN17),"",'Paste Full'!BN17)</f>
        <v>8</v>
      </c>
      <c r="BB17" s="6">
        <f>IF(ISBLANK('Paste Full'!BO17),"",'Paste Full'!BO17)</f>
        <v>14</v>
      </c>
      <c r="BC17" s="6">
        <f>IF(ISBLANK('Paste Full'!BP17),"",'Paste Full'!BP17)</f>
        <v>10</v>
      </c>
      <c r="BD17" s="6">
        <f>IF(ISBLANK('Paste Full'!BR17),"",'Paste Full'!BR17)</f>
        <v>4</v>
      </c>
      <c r="BE17" s="6">
        <f>IF(ISBLANK('Paste Full'!BS17),"",'Paste Full'!BS17)</f>
        <v>5</v>
      </c>
      <c r="BF17" s="6">
        <f>IF(ISBLANK('Paste Full'!BU17),"",'Paste Full'!BU17)</f>
        <v>5</v>
      </c>
      <c r="BG17" s="6">
        <f>IF(ISBLANK('Paste Full'!BV17),"",'Paste Full'!BV17)</f>
        <v>10</v>
      </c>
      <c r="BH17" s="6">
        <f>IF(ISBLANK('Paste Full'!BX17),"",'Paste Full'!BX17)</f>
        <v>5</v>
      </c>
      <c r="BI17" s="6">
        <f>IF(ISBLANK('Paste Full'!BY17),"",'Paste Full'!BY17)</f>
        <v>14</v>
      </c>
      <c r="BJ17" s="13">
        <f>IF(ISBLANK('Paste Full'!BL17),"",'Paste Full'!BL17)</f>
        <v>6</v>
      </c>
      <c r="BK17" s="13">
        <f>IF(ISBLANK('Paste Full'!BQ17),"",'Paste Full'!BQ17)</f>
        <v>4</v>
      </c>
      <c r="BL17" s="13">
        <f>IF(ISBLANK('Paste Full'!BT17),"",'Paste Full'!BT17)</f>
        <v>1</v>
      </c>
      <c r="BM17" s="13">
        <f>IF(ISBLANK('Paste Full'!BW17),"",'Paste Full'!BW17)</f>
        <v>7</v>
      </c>
    </row>
    <row r="18" spans="1:65" x14ac:dyDescent="0.3">
      <c r="A18" t="str">
        <f>IF(ISBLANK('Paste Full'!C18),"",'Paste Full'!C18)</f>
        <v>Michael Shaw</v>
      </c>
      <c r="B18" t="str">
        <f t="shared" si="0"/>
        <v>GK</v>
      </c>
      <c r="C18" s="2">
        <f>IF(ISBLANK('Paste Full'!H18),"",'Paste Full'!H18)</f>
        <v>17</v>
      </c>
      <c r="D18" s="2">
        <f>IF(ISBLANK('Paste Full'!F18),"",'Paste Full'!F18)</f>
        <v>48</v>
      </c>
      <c r="E18" s="2">
        <f>IF(ISBLANK('Paste Full'!G18),"",'Paste Full'!G18)</f>
        <v>49</v>
      </c>
      <c r="F18" s="22" t="str">
        <f>IF(ISBLANK('Paste Full'!E18),"",'Paste Full'!E18)</f>
        <v>England</v>
      </c>
      <c r="G18" t="str">
        <f>IF(ISBLANK('Paste Full'!CI18),"",'Paste Full'!CI18)</f>
        <v>Brixham</v>
      </c>
      <c r="H18" s="22">
        <f>IF(ISBLANK('Paste Full'!J18),"",'Paste Full'!J18)</f>
        <v>4735</v>
      </c>
      <c r="I18" s="22" t="str">
        <f>IF(ISBLANK('Paste Full'!D18),"",'Paste Full'!D18)</f>
        <v xml:space="preserve">GK </v>
      </c>
      <c r="J18" s="14">
        <f>AVERAGE(SUMPRODUCT($S18:$BM18,AttWeights!$C$10:$AW$10)/SUM(AttWeights!$C$10:$AW$10),SUMPRODUCT($S18:$BM18,AttWeights!$C$17:$AW$17)/SUM(AttWeights!$C$17:$AW$17))*10</f>
        <v>64.2430883827532</v>
      </c>
      <c r="K18" s="14">
        <f>AVERAGE(SUMPRODUCT($S18:$BM18,AttWeights!$C$7:$AW$7)/SUM(AttWeights!$C$7:$AW$7),SUMPRODUCT($S18:$BM18,AttWeights!$C$15:$AW$15)/SUM(AttWeights!$C$15:$AW$15))*10</f>
        <v>63.832907226189434</v>
      </c>
      <c r="L18" s="14">
        <f>AVERAGE(SUMPRODUCT($S18:$BM18,AttWeights!$C$8:$AW$8)/SUM(AttWeights!$C$8:$AW$8),SUMPRODUCT($S18:$BM18,AttWeights!$C$16:$AW$16)/SUM(AttWeights!$C$16:$AW$16))*10</f>
        <v>63.845390352494114</v>
      </c>
      <c r="M18" s="14">
        <f>AVERAGE(SUMPRODUCT($S18:$BM18,AttWeights!$C$9:$AW$9)/SUM(AttWeights!$C$9:$AW$9),SUMPRODUCT($S18:$BM18,AttWeights!$C$15:$AW$15)/SUM(AttWeights!$C$15:$AW$15))*10</f>
        <v>67.2469387095732</v>
      </c>
      <c r="N18" s="14">
        <f>AVERAGE(SUMPRODUCT($S18:$BM18,AttWeights!$C$6:$AW$6)/SUM(AttWeights!$C$6:$AW$6),SUMPRODUCT($S18:$BM18,AttWeights!$C$14:$AW$14)/SUM(AttWeights!$C$14:$AW$14))*10</f>
        <v>67.530563334769496</v>
      </c>
      <c r="O18" s="14">
        <f>AVERAGE(SUMPRODUCT($S18:$BM18,AttWeights!$C$5:$AW$5)/SUM(AttWeights!$C$5:$AW$5),SUMPRODUCT($S18:$BM18,AttWeights!$C$14:$AW$14)/SUM(AttWeights!$C$14:$AW$14))*10</f>
        <v>70.12479176582579</v>
      </c>
      <c r="P18" s="14">
        <f>AVERAGE(SUMPRODUCT($S18:$BM18,AttWeights!$C$4:$AW$4)/SUM(AttWeights!$C$4:$AW$4),SUMPRODUCT($S18:$BM18,AttWeights!$C$13:$AW$13)/SUM(AttWeights!$C$13:$AW$13))*10</f>
        <v>67.094780219780219</v>
      </c>
      <c r="Q18" s="14">
        <f>AVERAGE(SUMPRODUCT($S18:$BM18,AttWeights!$C$3:$AW$3)/SUM(AttWeights!$C$3:$AW$3),SUMPRODUCT($S18:$BM18,AttWeights!$C$12:$AW$12)/SUM(AttWeights!$C$12:$AW$12))*10</f>
        <v>69.554130162703387</v>
      </c>
      <c r="R18" s="14">
        <f>AVERAGE(SUMPRODUCT($S18:$BM18,AttWeights!$C$2:$AW$2)/SUM(AttWeights!$C$2:$AW$2),SUMPRODUCT($S18:$BM18,AttWeights!$C$11:$AW$11)/SUM(AttWeights!$C$11:$AW$11))*10</f>
        <v>82.739996489996486</v>
      </c>
      <c r="S18" s="3">
        <f>IF(ISBLANK('Paste Full'!AC18),"",'Paste Full'!AC18)</f>
        <v>7</v>
      </c>
      <c r="T18" s="3">
        <f>IF(ISBLANK('Paste Full'!AD18),"",'Paste Full'!AD18)</f>
        <v>13</v>
      </c>
      <c r="U18" s="3">
        <f>IF(ISBLANK('Paste Full'!AE18),"",'Paste Full'!AE18)</f>
        <v>4</v>
      </c>
      <c r="V18" s="3">
        <f>IF(ISBLANK('Paste Full'!AF18),"",'Paste Full'!AF18)</f>
        <v>11</v>
      </c>
      <c r="W18" s="3">
        <f>IF(ISBLANK('Paste Full'!AH18),"",'Paste Full'!AH18)</f>
        <v>12</v>
      </c>
      <c r="X18" s="3">
        <f>IF(ISBLANK('Paste Full'!AI18),"",'Paste Full'!AI18)</f>
        <v>12</v>
      </c>
      <c r="Y18" s="3">
        <f>IF(ISBLANK('Paste Full'!AK18),"",'Paste Full'!AK18)</f>
        <v>3</v>
      </c>
      <c r="Z18" s="3">
        <f>IF(ISBLANK('Paste Full'!AL18),"",'Paste Full'!AL18)</f>
        <v>5</v>
      </c>
      <c r="AA18" s="4">
        <f>IF(ISBLANK('Paste Full'!AM18),"",'Paste Full'!AM18)</f>
        <v>8</v>
      </c>
      <c r="AB18" s="4">
        <f>IF(ISBLANK('Paste Full'!AN18),"",'Paste Full'!AN18)</f>
        <v>11</v>
      </c>
      <c r="AC18" s="4">
        <f>IF(ISBLANK('Paste Full'!AO18),"",'Paste Full'!AO18)</f>
        <v>6</v>
      </c>
      <c r="AD18" s="4">
        <f>IF(ISBLANK('Paste Full'!AP18),"",'Paste Full'!AP18)</f>
        <v>7</v>
      </c>
      <c r="AE18" s="4">
        <f>IF(ISBLANK('Paste Full'!AQ18),"",'Paste Full'!AQ18)</f>
        <v>8</v>
      </c>
      <c r="AF18" s="4">
        <f>IF(ISBLANK('Paste Full'!AR18),"",'Paste Full'!AR18)</f>
        <v>6</v>
      </c>
      <c r="AG18" s="4">
        <f>IF(ISBLANK('Paste Full'!AS18),"",'Paste Full'!AS18)</f>
        <v>5</v>
      </c>
      <c r="AH18" s="4">
        <f>IF(ISBLANK('Paste Full'!AV18),"",'Paste Full'!AV18)</f>
        <v>13</v>
      </c>
      <c r="AI18" s="4">
        <f>IF(ISBLANK('Paste Full'!AT18),"",'Paste Full'!AT18)</f>
        <v>10</v>
      </c>
      <c r="AJ18" s="4">
        <f>IF(ISBLANK('Paste Full'!AU18),"",'Paste Full'!AU18)</f>
        <v>9</v>
      </c>
      <c r="AK18" s="4">
        <f>IF(ISBLANK('Paste Full'!AW18),"",'Paste Full'!AW18)</f>
        <v>5</v>
      </c>
      <c r="AL18" s="5">
        <f>IF(ISBLANK('Paste Full'!AX18),"",'Paste Full'!AX18)</f>
        <v>13</v>
      </c>
      <c r="AM18" s="5">
        <f>IF(ISBLANK('Paste Full'!AY18),"",'Paste Full'!AY18)</f>
        <v>5</v>
      </c>
      <c r="AN18" s="5">
        <f>IF(ISBLANK('Paste Full'!AZ18),"",'Paste Full'!AZ18)</f>
        <v>5</v>
      </c>
      <c r="AO18" s="5">
        <f>IF(ISBLANK('Paste Full'!BA18),"",'Paste Full'!BA18)</f>
        <v>4</v>
      </c>
      <c r="AP18" s="5">
        <f>IF(ISBLANK('Paste Full'!BB18),"",'Paste Full'!BB18)</f>
        <v>10</v>
      </c>
      <c r="AQ18" s="5">
        <f>IF(ISBLANK('Paste Full'!BC18),"",'Paste Full'!BC18)</f>
        <v>12</v>
      </c>
      <c r="AR18" s="5">
        <f>IF(ISBLANK('Paste Full'!BD18),"",'Paste Full'!BD18)</f>
        <v>17</v>
      </c>
      <c r="AS18" s="5">
        <f>IF(ISBLANK('Paste Full'!BE18),"",'Paste Full'!BE18)</f>
        <v>1</v>
      </c>
      <c r="AT18" s="5">
        <f>IF(ISBLANK('Paste Full'!BF18),"",'Paste Full'!BF18)</f>
        <v>3</v>
      </c>
      <c r="AU18" s="5">
        <f>IF(ISBLANK('Paste Full'!BG18),"",'Paste Full'!BG18)</f>
        <v>2</v>
      </c>
      <c r="AV18" s="5">
        <f>IF(ISBLANK('Paste Full'!BH18),"",'Paste Full'!BH18)</f>
        <v>8</v>
      </c>
      <c r="AW18" s="5">
        <f>IF(ISBLANK('Paste Full'!BI18),"",'Paste Full'!BI18)</f>
        <v>12</v>
      </c>
      <c r="AX18" s="5">
        <f>IF(ISBLANK('Paste Full'!BJ18),"",'Paste Full'!BJ18)</f>
        <v>5</v>
      </c>
      <c r="AY18" s="5">
        <f>IF(ISBLANK('Paste Full'!BK18),"",'Paste Full'!BK18)</f>
        <v>6</v>
      </c>
      <c r="AZ18" s="6">
        <f>IF(ISBLANK('Paste Full'!BM18),"",'Paste Full'!BM18)</f>
        <v>3</v>
      </c>
      <c r="BA18" s="6">
        <f>IF(ISBLANK('Paste Full'!BN18),"",'Paste Full'!BN18)</f>
        <v>1</v>
      </c>
      <c r="BB18" s="6">
        <f>IF(ISBLANK('Paste Full'!BO18),"",'Paste Full'!BO18)</f>
        <v>3</v>
      </c>
      <c r="BC18" s="6">
        <f>IF(ISBLANK('Paste Full'!BP18),"",'Paste Full'!BP18)</f>
        <v>3</v>
      </c>
      <c r="BD18" s="6">
        <f>IF(ISBLANK('Paste Full'!BR18),"",'Paste Full'!BR18)</f>
        <v>1</v>
      </c>
      <c r="BE18" s="6">
        <f>IF(ISBLANK('Paste Full'!BS18),"",'Paste Full'!BS18)</f>
        <v>3</v>
      </c>
      <c r="BF18" s="6">
        <f>IF(ISBLANK('Paste Full'!BU18),"",'Paste Full'!BU18)</f>
        <v>1</v>
      </c>
      <c r="BG18" s="6">
        <f>IF(ISBLANK('Paste Full'!BV18),"",'Paste Full'!BV18)</f>
        <v>4</v>
      </c>
      <c r="BH18" s="6">
        <f>IF(ISBLANK('Paste Full'!BX18),"",'Paste Full'!BX18)</f>
        <v>3</v>
      </c>
      <c r="BI18" s="6">
        <f>IF(ISBLANK('Paste Full'!BY18),"",'Paste Full'!BY18)</f>
        <v>4</v>
      </c>
      <c r="BJ18" s="13">
        <f>IF(ISBLANK('Paste Full'!BL18),"",'Paste Full'!BL18)</f>
        <v>2</v>
      </c>
      <c r="BK18" s="13">
        <f>IF(ISBLANK('Paste Full'!BQ18),"",'Paste Full'!BQ18)</f>
        <v>3</v>
      </c>
      <c r="BL18" s="13">
        <f>IF(ISBLANK('Paste Full'!BT18),"",'Paste Full'!BT18)</f>
        <v>1</v>
      </c>
      <c r="BM18" s="13">
        <f>IF(ISBLANK('Paste Full'!BW18),"",'Paste Full'!BW18)</f>
        <v>3</v>
      </c>
    </row>
    <row r="19" spans="1:65" x14ac:dyDescent="0.3">
      <c r="A19" t="str">
        <f>IF(ISBLANK('Paste Full'!C19),"",'Paste Full'!C19)</f>
        <v>Paul Stroud</v>
      </c>
      <c r="B19" t="str">
        <f t="shared" si="0"/>
        <v>AM(R)</v>
      </c>
      <c r="C19" s="2">
        <f>IF(ISBLANK('Paste Full'!H19),"",'Paste Full'!H19)</f>
        <v>17</v>
      </c>
      <c r="D19" s="2">
        <f>IF(ISBLANK('Paste Full'!F19),"",'Paste Full'!F19)</f>
        <v>81</v>
      </c>
      <c r="E19" s="2">
        <f>IF(ISBLANK('Paste Full'!G19),"",'Paste Full'!G19)</f>
        <v>156</v>
      </c>
      <c r="F19" s="22" t="str">
        <f>IF(ISBLANK('Paste Full'!E19),"",'Paste Full'!E19)</f>
        <v>England</v>
      </c>
      <c r="G19" t="str">
        <f>IF(ISBLANK('Paste Full'!CI19),"",'Paste Full'!CI19)</f>
        <v>Brixham</v>
      </c>
      <c r="H19" s="22">
        <f>IF(ISBLANK('Paste Full'!J19),"",'Paste Full'!J19)</f>
        <v>0</v>
      </c>
      <c r="I19" s="22" t="str">
        <f>IF(ISBLANK('Paste Full'!D19),"",'Paste Full'!D19)</f>
        <v>AM/ST RC</v>
      </c>
      <c r="J19" s="14">
        <f>AVERAGE(SUMPRODUCT($S19:$BM19,AttWeights!$C$10:$AW$10)/SUM(AttWeights!$C$10:$AW$10),SUMPRODUCT($S19:$BM19,AttWeights!$C$17:$AW$17)/SUM(AttWeights!$C$17:$AW$17))*10</f>
        <v>86.405959031657346</v>
      </c>
      <c r="K19" s="14">
        <f>AVERAGE(SUMPRODUCT($S19:$BM19,AttWeights!$C$7:$AW$7)/SUM(AttWeights!$C$7:$AW$7),SUMPRODUCT($S19:$BM19,AttWeights!$C$15:$AW$15)/SUM(AttWeights!$C$15:$AW$15))*10</f>
        <v>89.268858914455308</v>
      </c>
      <c r="L19" s="14">
        <f>AVERAGE(SUMPRODUCT($S19:$BM19,AttWeights!$C$8:$AW$8)/SUM(AttWeights!$C$8:$AW$8),SUMPRODUCT($S19:$BM19,AttWeights!$C$16:$AW$16)/SUM(AttWeights!$C$16:$AW$16))*10</f>
        <v>88.851770978079003</v>
      </c>
      <c r="M19" s="14">
        <f>AVERAGE(SUMPRODUCT($S19:$BM19,AttWeights!$C$9:$AW$9)/SUM(AttWeights!$C$9:$AW$9),SUMPRODUCT($S19:$BM19,AttWeights!$C$15:$AW$15)/SUM(AttWeights!$C$15:$AW$15))*10</f>
        <v>91.196730315660233</v>
      </c>
      <c r="N19" s="14">
        <f>AVERAGE(SUMPRODUCT($S19:$BM19,AttWeights!$C$6:$AW$6)/SUM(AttWeights!$C$6:$AW$6),SUMPRODUCT($S19:$BM19,AttWeights!$C$14:$AW$14)/SUM(AttWeights!$C$14:$AW$14))*10</f>
        <v>84.156478888410163</v>
      </c>
      <c r="O19" s="14">
        <f>AVERAGE(SUMPRODUCT($S19:$BM19,AttWeights!$C$5:$AW$5)/SUM(AttWeights!$C$5:$AW$5),SUMPRODUCT($S19:$BM19,AttWeights!$C$14:$AW$14)/SUM(AttWeights!$C$14:$AW$14))*10</f>
        <v>80.673935030937656</v>
      </c>
      <c r="P19" s="14">
        <f>AVERAGE(SUMPRODUCT($S19:$BM19,AttWeights!$C$4:$AW$4)/SUM(AttWeights!$C$4:$AW$4),SUMPRODUCT($S19:$BM19,AttWeights!$C$13:$AW$13)/SUM(AttWeights!$C$13:$AW$13))*10</f>
        <v>76.394230769230774</v>
      </c>
      <c r="Q19" s="14">
        <f>AVERAGE(SUMPRODUCT($S19:$BM19,AttWeights!$C$3:$AW$3)/SUM(AttWeights!$C$3:$AW$3),SUMPRODUCT($S19:$BM19,AttWeights!$C$12:$AW$12)/SUM(AttWeights!$C$12:$AW$12))*10</f>
        <v>83.043491864831054</v>
      </c>
      <c r="R19" s="14">
        <f>AVERAGE(SUMPRODUCT($S19:$BM19,AttWeights!$C$2:$AW$2)/SUM(AttWeights!$C$2:$AW$2),SUMPRODUCT($S19:$BM19,AttWeights!$C$11:$AW$11)/SUM(AttWeights!$C$11:$AW$11))*10</f>
        <v>53.655668655668656</v>
      </c>
      <c r="S19" s="3">
        <f>IF(ISBLANK('Paste Full'!AC19),"",'Paste Full'!AC19)</f>
        <v>14</v>
      </c>
      <c r="T19" s="3">
        <f>IF(ISBLANK('Paste Full'!AD19),"",'Paste Full'!AD19)</f>
        <v>10</v>
      </c>
      <c r="U19" s="3">
        <f>IF(ISBLANK('Paste Full'!AE19),"",'Paste Full'!AE19)</f>
        <v>14</v>
      </c>
      <c r="V19" s="3">
        <f>IF(ISBLANK('Paste Full'!AF19),"",'Paste Full'!AF19)</f>
        <v>8</v>
      </c>
      <c r="W19" s="3">
        <f>IF(ISBLANK('Paste Full'!AH19),"",'Paste Full'!AH19)</f>
        <v>17</v>
      </c>
      <c r="X19" s="3">
        <f>IF(ISBLANK('Paste Full'!AI19),"",'Paste Full'!AI19)</f>
        <v>12</v>
      </c>
      <c r="Y19" s="3">
        <f>IF(ISBLANK('Paste Full'!AK19),"",'Paste Full'!AK19)</f>
        <v>12</v>
      </c>
      <c r="Z19" s="3">
        <f>IF(ISBLANK('Paste Full'!AL19),"",'Paste Full'!AL19)</f>
        <v>4</v>
      </c>
      <c r="AA19" s="4">
        <f>IF(ISBLANK('Paste Full'!AM19),"",'Paste Full'!AM19)</f>
        <v>3</v>
      </c>
      <c r="AB19" s="4">
        <f>IF(ISBLANK('Paste Full'!AN19),"",'Paste Full'!AN19)</f>
        <v>4</v>
      </c>
      <c r="AC19" s="4">
        <f>IF(ISBLANK('Paste Full'!AO19),"",'Paste Full'!AO19)</f>
        <v>1</v>
      </c>
      <c r="AD19" s="4">
        <f>IF(ISBLANK('Paste Full'!AP19),"",'Paste Full'!AP19)</f>
        <v>2</v>
      </c>
      <c r="AE19" s="4">
        <f>IF(ISBLANK('Paste Full'!AQ19),"",'Paste Full'!AQ19)</f>
        <v>2</v>
      </c>
      <c r="AF19" s="4">
        <f>IF(ISBLANK('Paste Full'!AR19),"",'Paste Full'!AR19)</f>
        <v>3</v>
      </c>
      <c r="AG19" s="4">
        <f>IF(ISBLANK('Paste Full'!AS19),"",'Paste Full'!AS19)</f>
        <v>3</v>
      </c>
      <c r="AH19" s="4">
        <f>IF(ISBLANK('Paste Full'!AV19),"",'Paste Full'!AV19)</f>
        <v>2</v>
      </c>
      <c r="AI19" s="4">
        <f>IF(ISBLANK('Paste Full'!AT19),"",'Paste Full'!AT19)</f>
        <v>1</v>
      </c>
      <c r="AJ19" s="4">
        <f>IF(ISBLANK('Paste Full'!AU19),"",'Paste Full'!AU19)</f>
        <v>3</v>
      </c>
      <c r="AK19" s="4">
        <f>IF(ISBLANK('Paste Full'!AW19),"",'Paste Full'!AW19)</f>
        <v>2</v>
      </c>
      <c r="AL19" s="5">
        <f>IF(ISBLANK('Paste Full'!AX19),"",'Paste Full'!AX19)</f>
        <v>6</v>
      </c>
      <c r="AM19" s="5">
        <f>IF(ISBLANK('Paste Full'!AY19),"",'Paste Full'!AY19)</f>
        <v>10</v>
      </c>
      <c r="AN19" s="5">
        <f>IF(ISBLANK('Paste Full'!AZ19),"",'Paste Full'!AZ19)</f>
        <v>8</v>
      </c>
      <c r="AO19" s="5">
        <f>IF(ISBLANK('Paste Full'!BA19),"",'Paste Full'!BA19)</f>
        <v>5</v>
      </c>
      <c r="AP19" s="5">
        <f>IF(ISBLANK('Paste Full'!BB19),"",'Paste Full'!BB19)</f>
        <v>5</v>
      </c>
      <c r="AQ19" s="5">
        <f>IF(ISBLANK('Paste Full'!BC19),"",'Paste Full'!BC19)</f>
        <v>7</v>
      </c>
      <c r="AR19" s="5">
        <f>IF(ISBLANK('Paste Full'!BD19),"",'Paste Full'!BD19)</f>
        <v>12</v>
      </c>
      <c r="AS19" s="5">
        <f>IF(ISBLANK('Paste Full'!BE19),"",'Paste Full'!BE19)</f>
        <v>14</v>
      </c>
      <c r="AT19" s="5">
        <f>IF(ISBLANK('Paste Full'!BF19),"",'Paste Full'!BF19)</f>
        <v>12</v>
      </c>
      <c r="AU19" s="5">
        <f>IF(ISBLANK('Paste Full'!BG19),"",'Paste Full'!BG19)</f>
        <v>9</v>
      </c>
      <c r="AV19" s="5">
        <f>IF(ISBLANK('Paste Full'!BH19),"",'Paste Full'!BH19)</f>
        <v>5</v>
      </c>
      <c r="AW19" s="5">
        <f>IF(ISBLANK('Paste Full'!BI19),"",'Paste Full'!BI19)</f>
        <v>12</v>
      </c>
      <c r="AX19" s="5">
        <f>IF(ISBLANK('Paste Full'!BJ19),"",'Paste Full'!BJ19)</f>
        <v>10</v>
      </c>
      <c r="AY19" s="5">
        <f>IF(ISBLANK('Paste Full'!BK19),"",'Paste Full'!BK19)</f>
        <v>7</v>
      </c>
      <c r="AZ19" s="6">
        <f>IF(ISBLANK('Paste Full'!BM19),"",'Paste Full'!BM19)</f>
        <v>6</v>
      </c>
      <c r="BA19" s="6">
        <f>IF(ISBLANK('Paste Full'!BN19),"",'Paste Full'!BN19)</f>
        <v>14</v>
      </c>
      <c r="BB19" s="6">
        <f>IF(ISBLANK('Paste Full'!BO19),"",'Paste Full'!BO19)</f>
        <v>5</v>
      </c>
      <c r="BC19" s="6">
        <f>IF(ISBLANK('Paste Full'!BP19),"",'Paste Full'!BP19)</f>
        <v>12</v>
      </c>
      <c r="BD19" s="6">
        <f>IF(ISBLANK('Paste Full'!BR19),"",'Paste Full'!BR19)</f>
        <v>5</v>
      </c>
      <c r="BE19" s="6">
        <f>IF(ISBLANK('Paste Full'!BS19),"",'Paste Full'!BS19)</f>
        <v>8</v>
      </c>
      <c r="BF19" s="6">
        <f>IF(ISBLANK('Paste Full'!BU19),"",'Paste Full'!BU19)</f>
        <v>7</v>
      </c>
      <c r="BG19" s="6">
        <f>IF(ISBLANK('Paste Full'!BV19),"",'Paste Full'!BV19)</f>
        <v>11</v>
      </c>
      <c r="BH19" s="6">
        <f>IF(ISBLANK('Paste Full'!BX19),"",'Paste Full'!BX19)</f>
        <v>4</v>
      </c>
      <c r="BI19" s="6">
        <f>IF(ISBLANK('Paste Full'!BY19),"",'Paste Full'!BY19)</f>
        <v>14</v>
      </c>
      <c r="BJ19" s="13">
        <f>IF(ISBLANK('Paste Full'!BL19),"",'Paste Full'!BL19)</f>
        <v>4</v>
      </c>
      <c r="BK19" s="13">
        <f>IF(ISBLANK('Paste Full'!BQ19),"",'Paste Full'!BQ19)</f>
        <v>5</v>
      </c>
      <c r="BL19" s="13">
        <f>IF(ISBLANK('Paste Full'!BT19),"",'Paste Full'!BT19)</f>
        <v>1</v>
      </c>
      <c r="BM19" s="13">
        <f>IF(ISBLANK('Paste Full'!BW19),"",'Paste Full'!BW19)</f>
        <v>6</v>
      </c>
    </row>
    <row r="20" spans="1:65" x14ac:dyDescent="0.3">
      <c r="A20" t="str">
        <f>IF(ISBLANK('Paste Full'!C20),"",'Paste Full'!C20)</f>
        <v>Peter Purcell</v>
      </c>
      <c r="B20" t="str">
        <f t="shared" si="0"/>
        <v>AM(R)</v>
      </c>
      <c r="C20" s="2">
        <f>IF(ISBLANK('Paste Full'!H20),"",'Paste Full'!H20)</f>
        <v>17</v>
      </c>
      <c r="D20" s="2">
        <f>IF(ISBLANK('Paste Full'!F20),"",'Paste Full'!F20)</f>
        <v>72</v>
      </c>
      <c r="E20" s="2">
        <f>IF(ISBLANK('Paste Full'!G20),"",'Paste Full'!G20)</f>
        <v>87</v>
      </c>
      <c r="F20" s="22" t="str">
        <f>IF(ISBLANK('Paste Full'!E20),"",'Paste Full'!E20)</f>
        <v>England,Republic of Ireland</v>
      </c>
      <c r="G20" t="str">
        <f>IF(ISBLANK('Paste Full'!CI20),"",'Paste Full'!CI20)</f>
        <v>Brixham</v>
      </c>
      <c r="H20" s="22">
        <f>IF(ISBLANK('Paste Full'!J20),"",'Paste Full'!J20)</f>
        <v>100366</v>
      </c>
      <c r="I20" s="22" t="str">
        <f>IF(ISBLANK('Paste Full'!D20),"",'Paste Full'!D20)</f>
        <v>AM RL</v>
      </c>
      <c r="J20" s="14">
        <f>AVERAGE(SUMPRODUCT($S20:$BM20,AttWeights!$C$10:$AW$10)/SUM(AttWeights!$C$10:$AW$10),SUMPRODUCT($S20:$BM20,AttWeights!$C$17:$AW$17)/SUM(AttWeights!$C$17:$AW$17))*10</f>
        <v>78.727975934679847</v>
      </c>
      <c r="K20" s="14">
        <f>AVERAGE(SUMPRODUCT($S20:$BM20,AttWeights!$C$7:$AW$7)/SUM(AttWeights!$C$7:$AW$7),SUMPRODUCT($S20:$BM20,AttWeights!$C$15:$AW$15)/SUM(AttWeights!$C$15:$AW$15))*10</f>
        <v>80.896735137676671</v>
      </c>
      <c r="L20" s="14">
        <f>AVERAGE(SUMPRODUCT($S20:$BM20,AttWeights!$C$8:$AW$8)/SUM(AttWeights!$C$8:$AW$8),SUMPRODUCT($S20:$BM20,AttWeights!$C$16:$AW$16)/SUM(AttWeights!$C$16:$AW$16))*10</f>
        <v>79.801775231829396</v>
      </c>
      <c r="M20" s="14">
        <f>AVERAGE(SUMPRODUCT($S20:$BM20,AttWeights!$C$9:$AW$9)/SUM(AttWeights!$C$9:$AW$9),SUMPRODUCT($S20:$BM20,AttWeights!$C$15:$AW$15)/SUM(AttWeights!$C$15:$AW$15))*10</f>
        <v>82.252269716648897</v>
      </c>
      <c r="N20" s="14">
        <f>AVERAGE(SUMPRODUCT($S20:$BM20,AttWeights!$C$6:$AW$6)/SUM(AttWeights!$C$6:$AW$6),SUMPRODUCT($S20:$BM20,AttWeights!$C$14:$AW$14)/SUM(AttWeights!$C$14:$AW$14))*10</f>
        <v>74.241032959931061</v>
      </c>
      <c r="O20" s="14">
        <f>AVERAGE(SUMPRODUCT($S20:$BM20,AttWeights!$C$5:$AW$5)/SUM(AttWeights!$C$5:$AW$5),SUMPRODUCT($S20:$BM20,AttWeights!$C$14:$AW$14)/SUM(AttWeights!$C$14:$AW$14))*10</f>
        <v>71.914415754402668</v>
      </c>
      <c r="P20" s="14">
        <f>AVERAGE(SUMPRODUCT($S20:$BM20,AttWeights!$C$4:$AW$4)/SUM(AttWeights!$C$4:$AW$4),SUMPRODUCT($S20:$BM20,AttWeights!$C$13:$AW$13)/SUM(AttWeights!$C$13:$AW$13))*10</f>
        <v>67.012362637362642</v>
      </c>
      <c r="Q20" s="14">
        <f>AVERAGE(SUMPRODUCT($S20:$BM20,AttWeights!$C$3:$AW$3)/SUM(AttWeights!$C$3:$AW$3),SUMPRODUCT($S20:$BM20,AttWeights!$C$12:$AW$12)/SUM(AttWeights!$C$12:$AW$12))*10</f>
        <v>72.367647058823522</v>
      </c>
      <c r="R20" s="14">
        <f>AVERAGE(SUMPRODUCT($S20:$BM20,AttWeights!$C$2:$AW$2)/SUM(AttWeights!$C$2:$AW$2),SUMPRODUCT($S20:$BM20,AttWeights!$C$11:$AW$11)/SUM(AttWeights!$C$11:$AW$11))*10</f>
        <v>51.208318708318714</v>
      </c>
      <c r="S20" s="3">
        <f>IF(ISBLANK('Paste Full'!AC20),"",'Paste Full'!AC20)</f>
        <v>15</v>
      </c>
      <c r="T20" s="3">
        <f>IF(ISBLANK('Paste Full'!AD20),"",'Paste Full'!AD20)</f>
        <v>11</v>
      </c>
      <c r="U20" s="3">
        <f>IF(ISBLANK('Paste Full'!AE20),"",'Paste Full'!AE20)</f>
        <v>14</v>
      </c>
      <c r="V20" s="3">
        <f>IF(ISBLANK('Paste Full'!AF20),"",'Paste Full'!AF20)</f>
        <v>6</v>
      </c>
      <c r="W20" s="3">
        <f>IF(ISBLANK('Paste Full'!AH20),"",'Paste Full'!AH20)</f>
        <v>5</v>
      </c>
      <c r="X20" s="3">
        <f>IF(ISBLANK('Paste Full'!AI20),"",'Paste Full'!AI20)</f>
        <v>13</v>
      </c>
      <c r="Y20" s="3">
        <f>IF(ISBLANK('Paste Full'!AK20),"",'Paste Full'!AK20)</f>
        <v>13</v>
      </c>
      <c r="Z20" s="3">
        <f>IF(ISBLANK('Paste Full'!AL20),"",'Paste Full'!AL20)</f>
        <v>6</v>
      </c>
      <c r="AA20" s="4">
        <f>IF(ISBLANK('Paste Full'!AM20),"",'Paste Full'!AM20)</f>
        <v>3</v>
      </c>
      <c r="AB20" s="4">
        <f>IF(ISBLANK('Paste Full'!AN20),"",'Paste Full'!AN20)</f>
        <v>4</v>
      </c>
      <c r="AC20" s="4">
        <f>IF(ISBLANK('Paste Full'!AO20),"",'Paste Full'!AO20)</f>
        <v>2</v>
      </c>
      <c r="AD20" s="4">
        <f>IF(ISBLANK('Paste Full'!AP20),"",'Paste Full'!AP20)</f>
        <v>4</v>
      </c>
      <c r="AE20" s="4">
        <f>IF(ISBLANK('Paste Full'!AQ20),"",'Paste Full'!AQ20)</f>
        <v>3</v>
      </c>
      <c r="AF20" s="4">
        <f>IF(ISBLANK('Paste Full'!AR20),"",'Paste Full'!AR20)</f>
        <v>1</v>
      </c>
      <c r="AG20" s="4">
        <f>IF(ISBLANK('Paste Full'!AS20),"",'Paste Full'!AS20)</f>
        <v>1</v>
      </c>
      <c r="AH20" s="4">
        <f>IF(ISBLANK('Paste Full'!AV20),"",'Paste Full'!AV20)</f>
        <v>1</v>
      </c>
      <c r="AI20" s="4">
        <f>IF(ISBLANK('Paste Full'!AT20),"",'Paste Full'!AT20)</f>
        <v>3</v>
      </c>
      <c r="AJ20" s="4">
        <f>IF(ISBLANK('Paste Full'!AU20),"",'Paste Full'!AU20)</f>
        <v>3</v>
      </c>
      <c r="AK20" s="4">
        <f>IF(ISBLANK('Paste Full'!AW20),"",'Paste Full'!AW20)</f>
        <v>3</v>
      </c>
      <c r="AL20" s="5">
        <f>IF(ISBLANK('Paste Full'!AX20),"",'Paste Full'!AX20)</f>
        <v>7</v>
      </c>
      <c r="AM20" s="5">
        <f>IF(ISBLANK('Paste Full'!AY20),"",'Paste Full'!AY20)</f>
        <v>7</v>
      </c>
      <c r="AN20" s="5">
        <f>IF(ISBLANK('Paste Full'!AZ20),"",'Paste Full'!AZ20)</f>
        <v>7</v>
      </c>
      <c r="AO20" s="5">
        <f>IF(ISBLANK('Paste Full'!BA20),"",'Paste Full'!BA20)</f>
        <v>7</v>
      </c>
      <c r="AP20" s="5">
        <f>IF(ISBLANK('Paste Full'!BB20),"",'Paste Full'!BB20)</f>
        <v>5</v>
      </c>
      <c r="AQ20" s="5">
        <f>IF(ISBLANK('Paste Full'!BC20),"",'Paste Full'!BC20)</f>
        <v>7</v>
      </c>
      <c r="AR20" s="5">
        <f>IF(ISBLANK('Paste Full'!BD20),"",'Paste Full'!BD20)</f>
        <v>12</v>
      </c>
      <c r="AS20" s="5">
        <f>IF(ISBLANK('Paste Full'!BE20),"",'Paste Full'!BE20)</f>
        <v>9</v>
      </c>
      <c r="AT20" s="5">
        <f>IF(ISBLANK('Paste Full'!BF20),"",'Paste Full'!BF20)</f>
        <v>11</v>
      </c>
      <c r="AU20" s="5">
        <f>IF(ISBLANK('Paste Full'!BG20),"",'Paste Full'!BG20)</f>
        <v>11</v>
      </c>
      <c r="AV20" s="5">
        <f>IF(ISBLANK('Paste Full'!BH20),"",'Paste Full'!BH20)</f>
        <v>3</v>
      </c>
      <c r="AW20" s="5">
        <f>IF(ISBLANK('Paste Full'!BI20),"",'Paste Full'!BI20)</f>
        <v>10</v>
      </c>
      <c r="AX20" s="5">
        <f>IF(ISBLANK('Paste Full'!BJ20),"",'Paste Full'!BJ20)</f>
        <v>9</v>
      </c>
      <c r="AY20" s="5">
        <f>IF(ISBLANK('Paste Full'!BK20),"",'Paste Full'!BK20)</f>
        <v>8</v>
      </c>
      <c r="AZ20" s="6">
        <f>IF(ISBLANK('Paste Full'!BM20),"",'Paste Full'!BM20)</f>
        <v>6</v>
      </c>
      <c r="BA20" s="6">
        <f>IF(ISBLANK('Paste Full'!BN20),"",'Paste Full'!BN20)</f>
        <v>10</v>
      </c>
      <c r="BB20" s="6">
        <f>IF(ISBLANK('Paste Full'!BO20),"",'Paste Full'!BO20)</f>
        <v>7</v>
      </c>
      <c r="BC20" s="6">
        <f>IF(ISBLANK('Paste Full'!BP20),"",'Paste Full'!BP20)</f>
        <v>7</v>
      </c>
      <c r="BD20" s="6">
        <f>IF(ISBLANK('Paste Full'!BR20),"",'Paste Full'!BR20)</f>
        <v>5</v>
      </c>
      <c r="BE20" s="6">
        <f>IF(ISBLANK('Paste Full'!BS20),"",'Paste Full'!BS20)</f>
        <v>5</v>
      </c>
      <c r="BF20" s="6">
        <f>IF(ISBLANK('Paste Full'!BU20),"",'Paste Full'!BU20)</f>
        <v>3</v>
      </c>
      <c r="BG20" s="6">
        <f>IF(ISBLANK('Paste Full'!BV20),"",'Paste Full'!BV20)</f>
        <v>7</v>
      </c>
      <c r="BH20" s="6">
        <f>IF(ISBLANK('Paste Full'!BX20),"",'Paste Full'!BX20)</f>
        <v>1</v>
      </c>
      <c r="BI20" s="6">
        <f>IF(ISBLANK('Paste Full'!BY20),"",'Paste Full'!BY20)</f>
        <v>8</v>
      </c>
      <c r="BJ20" s="13">
        <f>IF(ISBLANK('Paste Full'!BL20),"",'Paste Full'!BL20)</f>
        <v>6</v>
      </c>
      <c r="BK20" s="13">
        <f>IF(ISBLANK('Paste Full'!BQ20),"",'Paste Full'!BQ20)</f>
        <v>9</v>
      </c>
      <c r="BL20" s="13">
        <f>IF(ISBLANK('Paste Full'!BT20),"",'Paste Full'!BT20)</f>
        <v>3</v>
      </c>
      <c r="BM20" s="13">
        <f>IF(ISBLANK('Paste Full'!BW20),"",'Paste Full'!BW20)</f>
        <v>3</v>
      </c>
    </row>
    <row r="21" spans="1:65" x14ac:dyDescent="0.3">
      <c r="A21" t="str">
        <f>IF(ISBLANK('Paste Full'!C21),"",'Paste Full'!C21)</f>
        <v>Robbie Gallagher</v>
      </c>
      <c r="B21" t="str">
        <f t="shared" si="0"/>
        <v>Striker</v>
      </c>
      <c r="C21" s="2">
        <f>IF(ISBLANK('Paste Full'!H21),"",'Paste Full'!H21)</f>
        <v>20</v>
      </c>
      <c r="D21" s="2">
        <f>IF(ISBLANK('Paste Full'!F21),"",'Paste Full'!F21)</f>
        <v>68</v>
      </c>
      <c r="E21" s="2">
        <f>IF(ISBLANK('Paste Full'!G21),"",'Paste Full'!G21)</f>
        <v>109</v>
      </c>
      <c r="F21" s="22" t="str">
        <f>IF(ISBLANK('Paste Full'!E21),"",'Paste Full'!E21)</f>
        <v>England</v>
      </c>
      <c r="G21" t="str">
        <f>IF(ISBLANK('Paste Full'!CI21),"",'Paste Full'!CI21)</f>
        <v>Brixham</v>
      </c>
      <c r="H21" s="22">
        <f>IF(ISBLANK('Paste Full'!J21),"",'Paste Full'!J21)</f>
        <v>13265</v>
      </c>
      <c r="I21" s="22" t="str">
        <f>IF(ISBLANK('Paste Full'!D21),"",'Paste Full'!D21)</f>
        <v>AM/ST L</v>
      </c>
      <c r="J21" s="14">
        <f>AVERAGE(SUMPRODUCT($S21:$BM21,AttWeights!$C$10:$AW$10)/SUM(AttWeights!$C$10:$AW$10),SUMPRODUCT($S21:$BM21,AttWeights!$C$17:$AW$17)/SUM(AttWeights!$C$17:$AW$17))*10</f>
        <v>79.552929379745024</v>
      </c>
      <c r="K21" s="14">
        <f>AVERAGE(SUMPRODUCT($S21:$BM21,AttWeights!$C$7:$AW$7)/SUM(AttWeights!$C$7:$AW$7),SUMPRODUCT($S21:$BM21,AttWeights!$C$15:$AW$15)/SUM(AttWeights!$C$15:$AW$15))*10</f>
        <v>78.352581621558087</v>
      </c>
      <c r="L21" s="14">
        <f>AVERAGE(SUMPRODUCT($S21:$BM21,AttWeights!$C$8:$AW$8)/SUM(AttWeights!$C$8:$AW$8),SUMPRODUCT($S21:$BM21,AttWeights!$C$16:$AW$16)/SUM(AttWeights!$C$16:$AW$16))*10</f>
        <v>76.153900689107559</v>
      </c>
      <c r="M21" s="14">
        <f>AVERAGE(SUMPRODUCT($S21:$BM21,AttWeights!$C$9:$AW$9)/SUM(AttWeights!$C$9:$AW$9),SUMPRODUCT($S21:$BM21,AttWeights!$C$15:$AW$15)/SUM(AttWeights!$C$15:$AW$15))*10</f>
        <v>76.851151820619691</v>
      </c>
      <c r="N21" s="14">
        <f>AVERAGE(SUMPRODUCT($S21:$BM21,AttWeights!$C$6:$AW$6)/SUM(AttWeights!$C$6:$AW$6),SUMPRODUCT($S21:$BM21,AttWeights!$C$14:$AW$14)/SUM(AttWeights!$C$14:$AW$14))*10</f>
        <v>72.525447005601038</v>
      </c>
      <c r="O21" s="14">
        <f>AVERAGE(SUMPRODUCT($S21:$BM21,AttWeights!$C$5:$AW$5)/SUM(AttWeights!$C$5:$AW$5),SUMPRODUCT($S21:$BM21,AttWeights!$C$14:$AW$14)/SUM(AttWeights!$C$14:$AW$14))*10</f>
        <v>72.145555687767725</v>
      </c>
      <c r="P21" s="14">
        <f>AVERAGE(SUMPRODUCT($S21:$BM21,AttWeights!$C$4:$AW$4)/SUM(AttWeights!$C$4:$AW$4),SUMPRODUCT($S21:$BM21,AttWeights!$C$13:$AW$13)/SUM(AttWeights!$C$13:$AW$13))*10</f>
        <v>75.288461538461533</v>
      </c>
      <c r="Q21" s="14">
        <f>AVERAGE(SUMPRODUCT($S21:$BM21,AttWeights!$C$3:$AW$3)/SUM(AttWeights!$C$3:$AW$3),SUMPRODUCT($S21:$BM21,AttWeights!$C$12:$AW$12)/SUM(AttWeights!$C$12:$AW$12))*10</f>
        <v>72.12015018773468</v>
      </c>
      <c r="R21" s="14">
        <f>AVERAGE(SUMPRODUCT($S21:$BM21,AttWeights!$C$2:$AW$2)/SUM(AttWeights!$C$2:$AW$2),SUMPRODUCT($S21:$BM21,AttWeights!$C$11:$AW$11)/SUM(AttWeights!$C$11:$AW$11))*10</f>
        <v>47.560547560547555</v>
      </c>
      <c r="S21" s="3">
        <f>IF(ISBLANK('Paste Full'!AC21),"",'Paste Full'!AC21)</f>
        <v>12</v>
      </c>
      <c r="T21" s="3">
        <f>IF(ISBLANK('Paste Full'!AD21),"",'Paste Full'!AD21)</f>
        <v>9</v>
      </c>
      <c r="U21" s="3">
        <f>IF(ISBLANK('Paste Full'!AE21),"",'Paste Full'!AE21)</f>
        <v>8</v>
      </c>
      <c r="V21" s="3">
        <f>IF(ISBLANK('Paste Full'!AF21),"",'Paste Full'!AF21)</f>
        <v>6</v>
      </c>
      <c r="W21" s="3">
        <f>IF(ISBLANK('Paste Full'!AH21),"",'Paste Full'!AH21)</f>
        <v>10</v>
      </c>
      <c r="X21" s="3">
        <f>IF(ISBLANK('Paste Full'!AI21),"",'Paste Full'!AI21)</f>
        <v>9</v>
      </c>
      <c r="Y21" s="3">
        <f>IF(ISBLANK('Paste Full'!AK21),"",'Paste Full'!AK21)</f>
        <v>11</v>
      </c>
      <c r="Z21" s="3">
        <f>IF(ISBLANK('Paste Full'!AL21),"",'Paste Full'!AL21)</f>
        <v>8</v>
      </c>
      <c r="AA21" s="4">
        <f>IF(ISBLANK('Paste Full'!AM21),"",'Paste Full'!AM21)</f>
        <v>1</v>
      </c>
      <c r="AB21" s="4">
        <f>IF(ISBLANK('Paste Full'!AN21),"",'Paste Full'!AN21)</f>
        <v>1</v>
      </c>
      <c r="AC21" s="4">
        <f>IF(ISBLANK('Paste Full'!AO21),"",'Paste Full'!AO21)</f>
        <v>1</v>
      </c>
      <c r="AD21" s="4">
        <f>IF(ISBLANK('Paste Full'!AP21),"",'Paste Full'!AP21)</f>
        <v>2</v>
      </c>
      <c r="AE21" s="4">
        <f>IF(ISBLANK('Paste Full'!AQ21),"",'Paste Full'!AQ21)</f>
        <v>3</v>
      </c>
      <c r="AF21" s="4">
        <f>IF(ISBLANK('Paste Full'!AR21),"",'Paste Full'!AR21)</f>
        <v>2</v>
      </c>
      <c r="AG21" s="4">
        <f>IF(ISBLANK('Paste Full'!AS21),"",'Paste Full'!AS21)</f>
        <v>3</v>
      </c>
      <c r="AH21" s="4">
        <f>IF(ISBLANK('Paste Full'!AV21),"",'Paste Full'!AV21)</f>
        <v>2</v>
      </c>
      <c r="AI21" s="4">
        <f>IF(ISBLANK('Paste Full'!AT21),"",'Paste Full'!AT21)</f>
        <v>3</v>
      </c>
      <c r="AJ21" s="4">
        <f>IF(ISBLANK('Paste Full'!AU21),"",'Paste Full'!AU21)</f>
        <v>3</v>
      </c>
      <c r="AK21" s="4">
        <f>IF(ISBLANK('Paste Full'!AW21),"",'Paste Full'!AW21)</f>
        <v>3</v>
      </c>
      <c r="AL21" s="5">
        <f>IF(ISBLANK('Paste Full'!AX21),"",'Paste Full'!AX21)</f>
        <v>13</v>
      </c>
      <c r="AM21" s="5">
        <f>IF(ISBLANK('Paste Full'!AY21),"",'Paste Full'!AY21)</f>
        <v>11</v>
      </c>
      <c r="AN21" s="5">
        <f>IF(ISBLANK('Paste Full'!AZ21),"",'Paste Full'!AZ21)</f>
        <v>6</v>
      </c>
      <c r="AO21" s="5">
        <f>IF(ISBLANK('Paste Full'!BA21),"",'Paste Full'!BA21)</f>
        <v>10</v>
      </c>
      <c r="AP21" s="5">
        <f>IF(ISBLANK('Paste Full'!BB21),"",'Paste Full'!BB21)</f>
        <v>4</v>
      </c>
      <c r="AQ21" s="5">
        <f>IF(ISBLANK('Paste Full'!BC21),"",'Paste Full'!BC21)</f>
        <v>9</v>
      </c>
      <c r="AR21" s="5">
        <f>IF(ISBLANK('Paste Full'!BD21),"",'Paste Full'!BD21)</f>
        <v>12</v>
      </c>
      <c r="AS21" s="5">
        <f>IF(ISBLANK('Paste Full'!BE21),"",'Paste Full'!BE21)</f>
        <v>4</v>
      </c>
      <c r="AT21" s="5">
        <f>IF(ISBLANK('Paste Full'!BF21),"",'Paste Full'!BF21)</f>
        <v>3</v>
      </c>
      <c r="AU21" s="5">
        <f>IF(ISBLANK('Paste Full'!BG21),"",'Paste Full'!BG21)</f>
        <v>11</v>
      </c>
      <c r="AV21" s="5">
        <f>IF(ISBLANK('Paste Full'!BH21),"",'Paste Full'!BH21)</f>
        <v>6</v>
      </c>
      <c r="AW21" s="5">
        <f>IF(ISBLANK('Paste Full'!BI21),"",'Paste Full'!BI21)</f>
        <v>5</v>
      </c>
      <c r="AX21" s="5">
        <f>IF(ISBLANK('Paste Full'!BJ21),"",'Paste Full'!BJ21)</f>
        <v>5</v>
      </c>
      <c r="AY21" s="5">
        <f>IF(ISBLANK('Paste Full'!BK21),"",'Paste Full'!BK21)</f>
        <v>8</v>
      </c>
      <c r="AZ21" s="6">
        <f>IF(ISBLANK('Paste Full'!BM21),"",'Paste Full'!BM21)</f>
        <v>3</v>
      </c>
      <c r="BA21" s="6">
        <f>IF(ISBLANK('Paste Full'!BN21),"",'Paste Full'!BN21)</f>
        <v>13</v>
      </c>
      <c r="BB21" s="6">
        <f>IF(ISBLANK('Paste Full'!BO21),"",'Paste Full'!BO21)</f>
        <v>9</v>
      </c>
      <c r="BC21" s="6">
        <f>IF(ISBLANK('Paste Full'!BP21),"",'Paste Full'!BP21)</f>
        <v>12</v>
      </c>
      <c r="BD21" s="6">
        <f>IF(ISBLANK('Paste Full'!BR21),"",'Paste Full'!BR21)</f>
        <v>13</v>
      </c>
      <c r="BE21" s="6">
        <f>IF(ISBLANK('Paste Full'!BS21),"",'Paste Full'!BS21)</f>
        <v>4</v>
      </c>
      <c r="BF21" s="6">
        <f>IF(ISBLANK('Paste Full'!BU21),"",'Paste Full'!BU21)</f>
        <v>6</v>
      </c>
      <c r="BG21" s="6">
        <f>IF(ISBLANK('Paste Full'!BV21),"",'Paste Full'!BV21)</f>
        <v>4</v>
      </c>
      <c r="BH21" s="6">
        <f>IF(ISBLANK('Paste Full'!BX21),"",'Paste Full'!BX21)</f>
        <v>4</v>
      </c>
      <c r="BI21" s="6">
        <f>IF(ISBLANK('Paste Full'!BY21),"",'Paste Full'!BY21)</f>
        <v>9</v>
      </c>
      <c r="BJ21" s="13">
        <f>IF(ISBLANK('Paste Full'!BL21),"",'Paste Full'!BL21)</f>
        <v>4</v>
      </c>
      <c r="BK21" s="13">
        <f>IF(ISBLANK('Paste Full'!BQ21),"",'Paste Full'!BQ21)</f>
        <v>4</v>
      </c>
      <c r="BL21" s="13">
        <f>IF(ISBLANK('Paste Full'!BT21),"",'Paste Full'!BT21)</f>
        <v>1</v>
      </c>
      <c r="BM21" s="13">
        <f>IF(ISBLANK('Paste Full'!BW21),"",'Paste Full'!BW21)</f>
        <v>6</v>
      </c>
    </row>
    <row r="22" spans="1:65" x14ac:dyDescent="0.3">
      <c r="A22" t="str">
        <f>IF(ISBLANK('Paste Full'!C22),"",'Paste Full'!C22)</f>
        <v>Ryan Penny</v>
      </c>
      <c r="B22" t="str">
        <f t="shared" si="0"/>
        <v>DM(L)</v>
      </c>
      <c r="C22" s="2">
        <f>IF(ISBLANK('Paste Full'!H22),"",'Paste Full'!H22)</f>
        <v>20</v>
      </c>
      <c r="D22" s="2">
        <f>IF(ISBLANK('Paste Full'!F22),"",'Paste Full'!F22)</f>
        <v>62</v>
      </c>
      <c r="E22" s="2">
        <f>IF(ISBLANK('Paste Full'!G22),"",'Paste Full'!G22)</f>
        <v>72</v>
      </c>
      <c r="F22" s="22" t="str">
        <f>IF(ISBLANK('Paste Full'!E22),"",'Paste Full'!E22)</f>
        <v>England</v>
      </c>
      <c r="G22" t="str">
        <f>IF(ISBLANK('Paste Full'!CI22),"",'Paste Full'!CI22)</f>
        <v>Brixham</v>
      </c>
      <c r="H22" s="22">
        <f>IF(ISBLANK('Paste Full'!J22),"",'Paste Full'!J22)</f>
        <v>0</v>
      </c>
      <c r="I22" s="22" t="str">
        <f>IF(ISBLANK('Paste Full'!D22),"",'Paste Full'!D22)</f>
        <v>DM/M C</v>
      </c>
      <c r="J22" s="14">
        <f>AVERAGE(SUMPRODUCT($S22:$BM22,AttWeights!$C$10:$AW$10)/SUM(AttWeights!$C$10:$AW$10),SUMPRODUCT($S22:$BM22,AttWeights!$C$17:$AW$17)/SUM(AttWeights!$C$17:$AW$17))*10</f>
        <v>78.080933963615536</v>
      </c>
      <c r="K22" s="14">
        <f>AVERAGE(SUMPRODUCT($S22:$BM22,AttWeights!$C$7:$AW$7)/SUM(AttWeights!$C$7:$AW$7),SUMPRODUCT($S22:$BM22,AttWeights!$C$15:$AW$15)/SUM(AttWeights!$C$15:$AW$15))*10</f>
        <v>79.018190367039878</v>
      </c>
      <c r="L22" s="14">
        <f>AVERAGE(SUMPRODUCT($S22:$BM22,AttWeights!$C$8:$AW$8)/SUM(AttWeights!$C$8:$AW$8),SUMPRODUCT($S22:$BM22,AttWeights!$C$16:$AW$16)/SUM(AttWeights!$C$16:$AW$16))*10</f>
        <v>79.834670901511501</v>
      </c>
      <c r="M22" s="14">
        <f>AVERAGE(SUMPRODUCT($S22:$BM22,AttWeights!$C$9:$AW$9)/SUM(AttWeights!$C$9:$AW$9),SUMPRODUCT($S22:$BM22,AttWeights!$C$15:$AW$15)/SUM(AttWeights!$C$15:$AW$15))*10</f>
        <v>79.038318632677459</v>
      </c>
      <c r="N22" s="14">
        <f>AVERAGE(SUMPRODUCT($S22:$BM22,AttWeights!$C$6:$AW$6)/SUM(AttWeights!$C$6:$AW$6),SUMPRODUCT($S22:$BM22,AttWeights!$C$14:$AW$14)/SUM(AttWeights!$C$14:$AW$14))*10</f>
        <v>82.208503877638961</v>
      </c>
      <c r="O22" s="14">
        <f>AVERAGE(SUMPRODUCT($S22:$BM22,AttWeights!$C$5:$AW$5)/SUM(AttWeights!$C$5:$AW$5),SUMPRODUCT($S22:$BM22,AttWeights!$C$14:$AW$14)/SUM(AttWeights!$C$14:$AW$14))*10</f>
        <v>80.106943122322718</v>
      </c>
      <c r="P22" s="14">
        <f>AVERAGE(SUMPRODUCT($S22:$BM22,AttWeights!$C$4:$AW$4)/SUM(AttWeights!$C$4:$AW$4),SUMPRODUCT($S22:$BM22,AttWeights!$C$13:$AW$13)/SUM(AttWeights!$C$13:$AW$13))*10</f>
        <v>81.432005494505489</v>
      </c>
      <c r="Q22" s="14">
        <f>AVERAGE(SUMPRODUCT($S22:$BM22,AttWeights!$C$3:$AW$3)/SUM(AttWeights!$C$3:$AW$3),SUMPRODUCT($S22:$BM22,AttWeights!$C$12:$AW$12)/SUM(AttWeights!$C$12:$AW$12))*10</f>
        <v>81.000938673341665</v>
      </c>
      <c r="R22" s="14">
        <f>AVERAGE(SUMPRODUCT($S22:$BM22,AttWeights!$C$2:$AW$2)/SUM(AttWeights!$C$2:$AW$2),SUMPRODUCT($S22:$BM22,AttWeights!$C$11:$AW$11)/SUM(AttWeights!$C$11:$AW$11))*10</f>
        <v>56.968234468234471</v>
      </c>
      <c r="S22" s="3">
        <f>IF(ISBLANK('Paste Full'!AC22),"",'Paste Full'!AC22)</f>
        <v>11</v>
      </c>
      <c r="T22" s="3">
        <f>IF(ISBLANK('Paste Full'!AD22),"",'Paste Full'!AD22)</f>
        <v>11</v>
      </c>
      <c r="U22" s="3">
        <f>IF(ISBLANK('Paste Full'!AE22),"",'Paste Full'!AE22)</f>
        <v>11</v>
      </c>
      <c r="V22" s="3">
        <f>IF(ISBLANK('Paste Full'!AF22),"",'Paste Full'!AF22)</f>
        <v>10</v>
      </c>
      <c r="W22" s="3">
        <f>IF(ISBLANK('Paste Full'!AH22),"",'Paste Full'!AH22)</f>
        <v>10</v>
      </c>
      <c r="X22" s="3">
        <f>IF(ISBLANK('Paste Full'!AI22),"",'Paste Full'!AI22)</f>
        <v>10</v>
      </c>
      <c r="Y22" s="3">
        <f>IF(ISBLANK('Paste Full'!AK22),"",'Paste Full'!AK22)</f>
        <v>7</v>
      </c>
      <c r="Z22" s="3">
        <f>IF(ISBLANK('Paste Full'!AL22),"",'Paste Full'!AL22)</f>
        <v>7</v>
      </c>
      <c r="AA22" s="4">
        <f>IF(ISBLANK('Paste Full'!AM22),"",'Paste Full'!AM22)</f>
        <v>2</v>
      </c>
      <c r="AB22" s="4">
        <f>IF(ISBLANK('Paste Full'!AN22),"",'Paste Full'!AN22)</f>
        <v>1</v>
      </c>
      <c r="AC22" s="4">
        <f>IF(ISBLANK('Paste Full'!AO22),"",'Paste Full'!AO22)</f>
        <v>3</v>
      </c>
      <c r="AD22" s="4">
        <f>IF(ISBLANK('Paste Full'!AP22),"",'Paste Full'!AP22)</f>
        <v>1</v>
      </c>
      <c r="AE22" s="4">
        <f>IF(ISBLANK('Paste Full'!AQ22),"",'Paste Full'!AQ22)</f>
        <v>3</v>
      </c>
      <c r="AF22" s="4">
        <f>IF(ISBLANK('Paste Full'!AR22),"",'Paste Full'!AR22)</f>
        <v>3</v>
      </c>
      <c r="AG22" s="4">
        <f>IF(ISBLANK('Paste Full'!AS22),"",'Paste Full'!AS22)</f>
        <v>2</v>
      </c>
      <c r="AH22" s="4">
        <f>IF(ISBLANK('Paste Full'!AV22),"",'Paste Full'!AV22)</f>
        <v>3</v>
      </c>
      <c r="AI22" s="4">
        <f>IF(ISBLANK('Paste Full'!AT22),"",'Paste Full'!AT22)</f>
        <v>3</v>
      </c>
      <c r="AJ22" s="4">
        <f>IF(ISBLANK('Paste Full'!AU22),"",'Paste Full'!AU22)</f>
        <v>2</v>
      </c>
      <c r="AK22" s="4">
        <f>IF(ISBLANK('Paste Full'!AW22),"",'Paste Full'!AW22)</f>
        <v>1</v>
      </c>
      <c r="AL22" s="5">
        <f>IF(ISBLANK('Paste Full'!AX22),"",'Paste Full'!AX22)</f>
        <v>6</v>
      </c>
      <c r="AM22" s="5">
        <f>IF(ISBLANK('Paste Full'!AY22),"",'Paste Full'!AY22)</f>
        <v>6</v>
      </c>
      <c r="AN22" s="5">
        <f>IF(ISBLANK('Paste Full'!AZ22),"",'Paste Full'!AZ22)</f>
        <v>9</v>
      </c>
      <c r="AO22" s="5">
        <f>IF(ISBLANK('Paste Full'!BA22),"",'Paste Full'!BA22)</f>
        <v>7</v>
      </c>
      <c r="AP22" s="5">
        <f>IF(ISBLANK('Paste Full'!BB22),"",'Paste Full'!BB22)</f>
        <v>8</v>
      </c>
      <c r="AQ22" s="5">
        <f>IF(ISBLANK('Paste Full'!BC22),"",'Paste Full'!BC22)</f>
        <v>9</v>
      </c>
      <c r="AR22" s="5">
        <f>IF(ISBLANK('Paste Full'!BD22),"",'Paste Full'!BD22)</f>
        <v>14</v>
      </c>
      <c r="AS22" s="5">
        <f>IF(ISBLANK('Paste Full'!BE22),"",'Paste Full'!BE22)</f>
        <v>5</v>
      </c>
      <c r="AT22" s="5">
        <f>IF(ISBLANK('Paste Full'!BF22),"",'Paste Full'!BF22)</f>
        <v>13</v>
      </c>
      <c r="AU22" s="5">
        <f>IF(ISBLANK('Paste Full'!BG22),"",'Paste Full'!BG22)</f>
        <v>5</v>
      </c>
      <c r="AV22" s="5">
        <f>IF(ISBLANK('Paste Full'!BH22),"",'Paste Full'!BH22)</f>
        <v>9</v>
      </c>
      <c r="AW22" s="5">
        <f>IF(ISBLANK('Paste Full'!BI22),"",'Paste Full'!BI22)</f>
        <v>7</v>
      </c>
      <c r="AX22" s="5">
        <f>IF(ISBLANK('Paste Full'!BJ22),"",'Paste Full'!BJ22)</f>
        <v>12</v>
      </c>
      <c r="AY22" s="5">
        <f>IF(ISBLANK('Paste Full'!BK22),"",'Paste Full'!BK22)</f>
        <v>11</v>
      </c>
      <c r="AZ22" s="6">
        <f>IF(ISBLANK('Paste Full'!BM22),"",'Paste Full'!BM22)</f>
        <v>5</v>
      </c>
      <c r="BA22" s="6">
        <f>IF(ISBLANK('Paste Full'!BN22),"",'Paste Full'!BN22)</f>
        <v>5</v>
      </c>
      <c r="BB22" s="6">
        <f>IF(ISBLANK('Paste Full'!BO22),"",'Paste Full'!BO22)</f>
        <v>6</v>
      </c>
      <c r="BC22" s="6">
        <f>IF(ISBLANK('Paste Full'!BP22),"",'Paste Full'!BP22)</f>
        <v>10</v>
      </c>
      <c r="BD22" s="6">
        <f>IF(ISBLANK('Paste Full'!BR22),"",'Paste Full'!BR22)</f>
        <v>6</v>
      </c>
      <c r="BE22" s="6">
        <f>IF(ISBLANK('Paste Full'!BS22),"",'Paste Full'!BS22)</f>
        <v>7</v>
      </c>
      <c r="BF22" s="6">
        <f>IF(ISBLANK('Paste Full'!BU22),"",'Paste Full'!BU22)</f>
        <v>10</v>
      </c>
      <c r="BG22" s="6">
        <f>IF(ISBLANK('Paste Full'!BV22),"",'Paste Full'!BV22)</f>
        <v>11</v>
      </c>
      <c r="BH22" s="6">
        <f>IF(ISBLANK('Paste Full'!BX22),"",'Paste Full'!BX22)</f>
        <v>8</v>
      </c>
      <c r="BI22" s="6">
        <f>IF(ISBLANK('Paste Full'!BY22),"",'Paste Full'!BY22)</f>
        <v>14</v>
      </c>
      <c r="BJ22" s="13">
        <f>IF(ISBLANK('Paste Full'!BL22),"",'Paste Full'!BL22)</f>
        <v>5</v>
      </c>
      <c r="BK22" s="13">
        <f>IF(ISBLANK('Paste Full'!BQ22),"",'Paste Full'!BQ22)</f>
        <v>5</v>
      </c>
      <c r="BL22" s="13">
        <f>IF(ISBLANK('Paste Full'!BT22),"",'Paste Full'!BT22)</f>
        <v>1</v>
      </c>
      <c r="BM22" s="13">
        <f>IF(ISBLANK('Paste Full'!BW22),"",'Paste Full'!BW22)</f>
        <v>1</v>
      </c>
    </row>
    <row r="23" spans="1:65" x14ac:dyDescent="0.3">
      <c r="A23" t="str">
        <f>IF(ISBLANK('Paste Full'!C23),"",'Paste Full'!C23)</f>
        <v>Scot Little</v>
      </c>
      <c r="B23" t="str">
        <f t="shared" si="0"/>
        <v>AM(R)</v>
      </c>
      <c r="C23" s="2">
        <f>IF(ISBLANK('Paste Full'!H23),"",'Paste Full'!H23)</f>
        <v>17</v>
      </c>
      <c r="D23" s="2">
        <f>IF(ISBLANK('Paste Full'!F23),"",'Paste Full'!F23)</f>
        <v>81</v>
      </c>
      <c r="E23" s="2">
        <f>IF(ISBLANK('Paste Full'!G23),"",'Paste Full'!G23)</f>
        <v>163</v>
      </c>
      <c r="F23" s="22" t="str">
        <f>IF(ISBLANK('Paste Full'!E23),"",'Paste Full'!E23)</f>
        <v>Scotland,England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AM/ST L</v>
      </c>
      <c r="J23" s="14">
        <f>AVERAGE(SUMPRODUCT($S23:$BM23,AttWeights!$C$10:$AW$10)/SUM(AttWeights!$C$10:$AW$10),SUMPRODUCT($S23:$BM23,AttWeights!$C$17:$AW$17)/SUM(AttWeights!$C$17:$AW$17))*10</f>
        <v>90.326887265434749</v>
      </c>
      <c r="K23" s="14">
        <f>AVERAGE(SUMPRODUCT($S23:$BM23,AttWeights!$C$7:$AW$7)/SUM(AttWeights!$C$7:$AW$7),SUMPRODUCT($S23:$BM23,AttWeights!$C$15:$AW$15)/SUM(AttWeights!$C$15:$AW$15))*10</f>
        <v>93.37138910928914</v>
      </c>
      <c r="L23" s="14">
        <f>AVERAGE(SUMPRODUCT($S23:$BM23,AttWeights!$C$8:$AW$8)/SUM(AttWeights!$C$8:$AW$8),SUMPRODUCT($S23:$BM23,AttWeights!$C$16:$AW$16)/SUM(AttWeights!$C$16:$AW$16))*10</f>
        <v>92.911124975186468</v>
      </c>
      <c r="M23" s="14">
        <f>AVERAGE(SUMPRODUCT($S23:$BM23,AttWeights!$C$9:$AW$9)/SUM(AttWeights!$C$9:$AW$9),SUMPRODUCT($S23:$BM23,AttWeights!$C$15:$AW$15)/SUM(AttWeights!$C$15:$AW$15))*10</f>
        <v>94.052696197214942</v>
      </c>
      <c r="N23" s="14">
        <f>AVERAGE(SUMPRODUCT($S23:$BM23,AttWeights!$C$6:$AW$6)/SUM(AttWeights!$C$6:$AW$6),SUMPRODUCT($S23:$BM23,AttWeights!$C$14:$AW$14)/SUM(AttWeights!$C$14:$AW$14))*10</f>
        <v>85.152143472641086</v>
      </c>
      <c r="O23" s="14">
        <f>AVERAGE(SUMPRODUCT($S23:$BM23,AttWeights!$C$5:$AW$5)/SUM(AttWeights!$C$5:$AW$5),SUMPRODUCT($S23:$BM23,AttWeights!$C$14:$AW$14)/SUM(AttWeights!$C$14:$AW$14))*10</f>
        <v>81.34727510709186</v>
      </c>
      <c r="P23" s="14">
        <f>AVERAGE(SUMPRODUCT($S23:$BM23,AttWeights!$C$4:$AW$4)/SUM(AttWeights!$C$4:$AW$4),SUMPRODUCT($S23:$BM23,AttWeights!$C$13:$AW$13)/SUM(AttWeights!$C$13:$AW$13))*10</f>
        <v>72.733516483516482</v>
      </c>
      <c r="Q23" s="14">
        <f>AVERAGE(SUMPRODUCT($S23:$BM23,AttWeights!$C$3:$AW$3)/SUM(AttWeights!$C$3:$AW$3),SUMPRODUCT($S23:$BM23,AttWeights!$C$12:$AW$12)/SUM(AttWeights!$C$12:$AW$12))*10</f>
        <v>80.479974968710891</v>
      </c>
      <c r="R23" s="14">
        <f>AVERAGE(SUMPRODUCT($S23:$BM23,AttWeights!$C$2:$AW$2)/SUM(AttWeights!$C$2:$AW$2),SUMPRODUCT($S23:$BM23,AttWeights!$C$11:$AW$11)/SUM(AttWeights!$C$11:$AW$11))*10</f>
        <v>51.134169884169879</v>
      </c>
      <c r="S23" s="3">
        <f>IF(ISBLANK('Paste Full'!AC23),"",'Paste Full'!AC23)</f>
        <v>11</v>
      </c>
      <c r="T23" s="3">
        <f>IF(ISBLANK('Paste Full'!AD23),"",'Paste Full'!AD23)</f>
        <v>12</v>
      </c>
      <c r="U23" s="3">
        <f>IF(ISBLANK('Paste Full'!AE23),"",'Paste Full'!AE23)</f>
        <v>13</v>
      </c>
      <c r="V23" s="3">
        <f>IF(ISBLANK('Paste Full'!AF23),"",'Paste Full'!AF23)</f>
        <v>5</v>
      </c>
      <c r="W23" s="3">
        <f>IF(ISBLANK('Paste Full'!AH23),"",'Paste Full'!AH23)</f>
        <v>13</v>
      </c>
      <c r="X23" s="3">
        <f>IF(ISBLANK('Paste Full'!AI23),"",'Paste Full'!AI23)</f>
        <v>12</v>
      </c>
      <c r="Y23" s="3">
        <f>IF(ISBLANK('Paste Full'!AK23),"",'Paste Full'!AK23)</f>
        <v>10</v>
      </c>
      <c r="Z23" s="3">
        <f>IF(ISBLANK('Paste Full'!AL23),"",'Paste Full'!AL23)</f>
        <v>3</v>
      </c>
      <c r="AA23" s="4">
        <f>IF(ISBLANK('Paste Full'!AM23),"",'Paste Full'!AM23)</f>
        <v>1</v>
      </c>
      <c r="AB23" s="4">
        <f>IF(ISBLANK('Paste Full'!AN23),"",'Paste Full'!AN23)</f>
        <v>1</v>
      </c>
      <c r="AC23" s="4">
        <f>IF(ISBLANK('Paste Full'!AO23),"",'Paste Full'!AO23)</f>
        <v>3</v>
      </c>
      <c r="AD23" s="4">
        <f>IF(ISBLANK('Paste Full'!AP23),"",'Paste Full'!AP23)</f>
        <v>3</v>
      </c>
      <c r="AE23" s="4">
        <f>IF(ISBLANK('Paste Full'!AQ23),"",'Paste Full'!AQ23)</f>
        <v>2</v>
      </c>
      <c r="AF23" s="4">
        <f>IF(ISBLANK('Paste Full'!AR23),"",'Paste Full'!AR23)</f>
        <v>2</v>
      </c>
      <c r="AG23" s="4">
        <f>IF(ISBLANK('Paste Full'!AS23),"",'Paste Full'!AS23)</f>
        <v>3</v>
      </c>
      <c r="AH23" s="4">
        <f>IF(ISBLANK('Paste Full'!AV23),"",'Paste Full'!AV23)</f>
        <v>1</v>
      </c>
      <c r="AI23" s="4">
        <f>IF(ISBLANK('Paste Full'!AT23),"",'Paste Full'!AT23)</f>
        <v>3</v>
      </c>
      <c r="AJ23" s="4">
        <f>IF(ISBLANK('Paste Full'!AU23),"",'Paste Full'!AU23)</f>
        <v>1</v>
      </c>
      <c r="AK23" s="4">
        <f>IF(ISBLANK('Paste Full'!AW23),"",'Paste Full'!AW23)</f>
        <v>2</v>
      </c>
      <c r="AL23" s="5">
        <f>IF(ISBLANK('Paste Full'!AX23),"",'Paste Full'!AX23)</f>
        <v>11</v>
      </c>
      <c r="AM23" s="5">
        <f>IF(ISBLANK('Paste Full'!AY23),"",'Paste Full'!AY23)</f>
        <v>10</v>
      </c>
      <c r="AN23" s="5">
        <f>IF(ISBLANK('Paste Full'!AZ23),"",'Paste Full'!AZ23)</f>
        <v>4</v>
      </c>
      <c r="AO23" s="5">
        <f>IF(ISBLANK('Paste Full'!BA23),"",'Paste Full'!BA23)</f>
        <v>11</v>
      </c>
      <c r="AP23" s="5">
        <f>IF(ISBLANK('Paste Full'!BB23),"",'Paste Full'!BB23)</f>
        <v>7</v>
      </c>
      <c r="AQ23" s="5">
        <f>IF(ISBLANK('Paste Full'!BC23),"",'Paste Full'!BC23)</f>
        <v>10</v>
      </c>
      <c r="AR23" s="5">
        <f>IF(ISBLANK('Paste Full'!BD23),"",'Paste Full'!BD23)</f>
        <v>3</v>
      </c>
      <c r="AS23" s="5">
        <f>IF(ISBLANK('Paste Full'!BE23),"",'Paste Full'!BE23)</f>
        <v>14</v>
      </c>
      <c r="AT23" s="5">
        <f>IF(ISBLANK('Paste Full'!BF23),"",'Paste Full'!BF23)</f>
        <v>5</v>
      </c>
      <c r="AU23" s="5">
        <f>IF(ISBLANK('Paste Full'!BG23),"",'Paste Full'!BG23)</f>
        <v>12</v>
      </c>
      <c r="AV23" s="5">
        <f>IF(ISBLANK('Paste Full'!BH23),"",'Paste Full'!BH23)</f>
        <v>4</v>
      </c>
      <c r="AW23" s="5">
        <f>IF(ISBLANK('Paste Full'!BI23),"",'Paste Full'!BI23)</f>
        <v>15</v>
      </c>
      <c r="AX23" s="5">
        <f>IF(ISBLANK('Paste Full'!BJ23),"",'Paste Full'!BJ23)</f>
        <v>8</v>
      </c>
      <c r="AY23" s="5">
        <f>IF(ISBLANK('Paste Full'!BK23),"",'Paste Full'!BK23)</f>
        <v>15</v>
      </c>
      <c r="AZ23" s="6">
        <f>IF(ISBLANK('Paste Full'!BM23),"",'Paste Full'!BM23)</f>
        <v>10</v>
      </c>
      <c r="BA23" s="6">
        <f>IF(ISBLANK('Paste Full'!BN23),"",'Paste Full'!BN23)</f>
        <v>10</v>
      </c>
      <c r="BB23" s="6">
        <f>IF(ISBLANK('Paste Full'!BO23),"",'Paste Full'!BO23)</f>
        <v>14</v>
      </c>
      <c r="BC23" s="6">
        <f>IF(ISBLANK('Paste Full'!BP23),"",'Paste Full'!BP23)</f>
        <v>14</v>
      </c>
      <c r="BD23" s="6">
        <f>IF(ISBLANK('Paste Full'!BR23),"",'Paste Full'!BR23)</f>
        <v>7</v>
      </c>
      <c r="BE23" s="6">
        <f>IF(ISBLANK('Paste Full'!BS23),"",'Paste Full'!BS23)</f>
        <v>6</v>
      </c>
      <c r="BF23" s="6">
        <f>IF(ISBLANK('Paste Full'!BU23),"",'Paste Full'!BU23)</f>
        <v>3</v>
      </c>
      <c r="BG23" s="6">
        <f>IF(ISBLANK('Paste Full'!BV23),"",'Paste Full'!BV23)</f>
        <v>9</v>
      </c>
      <c r="BH23" s="6">
        <f>IF(ISBLANK('Paste Full'!BX23),"",'Paste Full'!BX23)</f>
        <v>1</v>
      </c>
      <c r="BI23" s="6">
        <f>IF(ISBLANK('Paste Full'!BY23),"",'Paste Full'!BY23)</f>
        <v>14</v>
      </c>
      <c r="BJ23" s="13">
        <f>IF(ISBLANK('Paste Full'!BL23),"",'Paste Full'!BL23)</f>
        <v>8</v>
      </c>
      <c r="BK23" s="13">
        <f>IF(ISBLANK('Paste Full'!BQ23),"",'Paste Full'!BQ23)</f>
        <v>5</v>
      </c>
      <c r="BL23" s="13">
        <f>IF(ISBLANK('Paste Full'!BT23),"",'Paste Full'!BT23)</f>
        <v>2</v>
      </c>
      <c r="BM23" s="13">
        <f>IF(ISBLANK('Paste Full'!BW23),"",'Paste Full'!BW23)</f>
        <v>8</v>
      </c>
    </row>
    <row r="24" spans="1:65" x14ac:dyDescent="0.3">
      <c r="A24" t="str">
        <f>IF(ISBLANK('Paste Full'!C24),"",'Paste Full'!C24)</f>
        <v>Taye Weir</v>
      </c>
      <c r="B24" t="str">
        <f t="shared" si="0"/>
        <v>D(R/L)</v>
      </c>
      <c r="C24" s="2">
        <f>IF(ISBLANK('Paste Full'!H24),"",'Paste Full'!H24)</f>
        <v>21</v>
      </c>
      <c r="D24" s="2">
        <f>IF(ISBLANK('Paste Full'!F24),"",'Paste Full'!F24)</f>
        <v>54</v>
      </c>
      <c r="E24" s="2">
        <f>IF(ISBLANK('Paste Full'!G24),"",'Paste Full'!G24)</f>
        <v>90</v>
      </c>
      <c r="F24" s="22" t="str">
        <f>IF(ISBLANK('Paste Full'!E24),"",'Paste Full'!E24)</f>
        <v>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D/WB/M L</v>
      </c>
      <c r="J24" s="14">
        <f>AVERAGE(SUMPRODUCT($S24:$BM24,AttWeights!$C$10:$AW$10)/SUM(AttWeights!$C$10:$AW$10),SUMPRODUCT($S24:$BM24,AttWeights!$C$17:$AW$17)/SUM(AttWeights!$C$17:$AW$17))*10</f>
        <v>73.976937401518398</v>
      </c>
      <c r="K24" s="14">
        <f>AVERAGE(SUMPRODUCT($S24:$BM24,AttWeights!$C$7:$AW$7)/SUM(AttWeights!$C$7:$AW$7),SUMPRODUCT($S24:$BM24,AttWeights!$C$15:$AW$15)/SUM(AttWeights!$C$15:$AW$15))*10</f>
        <v>76.284051838138055</v>
      </c>
      <c r="L24" s="14">
        <f>AVERAGE(SUMPRODUCT($S24:$BM24,AttWeights!$C$8:$AW$8)/SUM(AttWeights!$C$8:$AW$8),SUMPRODUCT($S24:$BM24,AttWeights!$C$16:$AW$16)/SUM(AttWeights!$C$16:$AW$16))*10</f>
        <v>76.242945863936711</v>
      </c>
      <c r="M24" s="14">
        <f>AVERAGE(SUMPRODUCT($S24:$BM24,AttWeights!$C$9:$AW$9)/SUM(AttWeights!$C$9:$AW$9),SUMPRODUCT($S24:$BM24,AttWeights!$C$15:$AW$15)/SUM(AttWeights!$C$15:$AW$15))*10</f>
        <v>77.400407095085782</v>
      </c>
      <c r="N24" s="14">
        <f>AVERAGE(SUMPRODUCT($S24:$BM24,AttWeights!$C$6:$AW$6)/SUM(AttWeights!$C$6:$AW$6),SUMPRODUCT($S24:$BM24,AttWeights!$C$14:$AW$14)/SUM(AttWeights!$C$14:$AW$14))*10</f>
        <v>77.962623869021982</v>
      </c>
      <c r="O24" s="14">
        <f>AVERAGE(SUMPRODUCT($S24:$BM24,AttWeights!$C$5:$AW$5)/SUM(AttWeights!$C$5:$AW$5),SUMPRODUCT($S24:$BM24,AttWeights!$C$14:$AW$14)/SUM(AttWeights!$C$14:$AW$14))*10</f>
        <v>78.908257972394097</v>
      </c>
      <c r="P24" s="14">
        <f>AVERAGE(SUMPRODUCT($S24:$BM24,AttWeights!$C$4:$AW$4)/SUM(AttWeights!$C$4:$AW$4),SUMPRODUCT($S24:$BM24,AttWeights!$C$13:$AW$13)/SUM(AttWeights!$C$13:$AW$13))*10</f>
        <v>77.843406593406584</v>
      </c>
      <c r="Q24" s="14">
        <f>AVERAGE(SUMPRODUCT($S24:$BM24,AttWeights!$C$3:$AW$3)/SUM(AttWeights!$C$3:$AW$3),SUMPRODUCT($S24:$BM24,AttWeights!$C$12:$AW$12)/SUM(AttWeights!$C$12:$AW$12))*10</f>
        <v>79.756570713391739</v>
      </c>
      <c r="R24" s="14">
        <f>AVERAGE(SUMPRODUCT($S24:$BM24,AttWeights!$C$2:$AW$2)/SUM(AttWeights!$C$2:$AW$2),SUMPRODUCT($S24:$BM24,AttWeights!$C$11:$AW$11)/SUM(AttWeights!$C$11:$AW$11))*10</f>
        <v>53.52316602316602</v>
      </c>
      <c r="S24" s="3">
        <f>IF(ISBLANK('Paste Full'!AC24),"",'Paste Full'!AC24)</f>
        <v>14</v>
      </c>
      <c r="T24" s="3">
        <f>IF(ISBLANK('Paste Full'!AD24),"",'Paste Full'!AD24)</f>
        <v>12</v>
      </c>
      <c r="U24" s="3">
        <f>IF(ISBLANK('Paste Full'!AE24),"",'Paste Full'!AE24)</f>
        <v>5</v>
      </c>
      <c r="V24" s="3">
        <f>IF(ISBLANK('Paste Full'!AF24),"",'Paste Full'!AF24)</f>
        <v>9</v>
      </c>
      <c r="W24" s="3">
        <f>IF(ISBLANK('Paste Full'!AH24),"",'Paste Full'!AH24)</f>
        <v>11</v>
      </c>
      <c r="X24" s="3">
        <f>IF(ISBLANK('Paste Full'!AI24),"",'Paste Full'!AI24)</f>
        <v>12</v>
      </c>
      <c r="Y24" s="3">
        <f>IF(ISBLANK('Paste Full'!AK24),"",'Paste Full'!AK24)</f>
        <v>7</v>
      </c>
      <c r="Z24" s="3">
        <f>IF(ISBLANK('Paste Full'!AL24),"",'Paste Full'!AL24)</f>
        <v>5</v>
      </c>
      <c r="AA24" s="4">
        <f>IF(ISBLANK('Paste Full'!AM24),"",'Paste Full'!AM24)</f>
        <v>3</v>
      </c>
      <c r="AB24" s="4">
        <f>IF(ISBLANK('Paste Full'!AN24),"",'Paste Full'!AN24)</f>
        <v>2</v>
      </c>
      <c r="AC24" s="4">
        <f>IF(ISBLANK('Paste Full'!AO24),"",'Paste Full'!AO24)</f>
        <v>1</v>
      </c>
      <c r="AD24" s="4">
        <f>IF(ISBLANK('Paste Full'!AP24),"",'Paste Full'!AP24)</f>
        <v>2</v>
      </c>
      <c r="AE24" s="4">
        <f>IF(ISBLANK('Paste Full'!AQ24),"",'Paste Full'!AQ24)</f>
        <v>1</v>
      </c>
      <c r="AF24" s="4">
        <f>IF(ISBLANK('Paste Full'!AR24),"",'Paste Full'!AR24)</f>
        <v>3</v>
      </c>
      <c r="AG24" s="4">
        <f>IF(ISBLANK('Paste Full'!AS24),"",'Paste Full'!AS24)</f>
        <v>1</v>
      </c>
      <c r="AH24" s="4">
        <f>IF(ISBLANK('Paste Full'!AV24),"",'Paste Full'!AV24)</f>
        <v>3</v>
      </c>
      <c r="AI24" s="4">
        <f>IF(ISBLANK('Paste Full'!AT24),"",'Paste Full'!AT24)</f>
        <v>1</v>
      </c>
      <c r="AJ24" s="4">
        <f>IF(ISBLANK('Paste Full'!AU24),"",'Paste Full'!AU24)</f>
        <v>3</v>
      </c>
      <c r="AK24" s="4">
        <f>IF(ISBLANK('Paste Full'!AW24),"",'Paste Full'!AW24)</f>
        <v>2</v>
      </c>
      <c r="AL24" s="5">
        <f>IF(ISBLANK('Paste Full'!AX24),"",'Paste Full'!AX24)</f>
        <v>10</v>
      </c>
      <c r="AM24" s="5">
        <f>IF(ISBLANK('Paste Full'!AY24),"",'Paste Full'!AY24)</f>
        <v>9</v>
      </c>
      <c r="AN24" s="5">
        <f>IF(ISBLANK('Paste Full'!AZ24),"",'Paste Full'!AZ24)</f>
        <v>5</v>
      </c>
      <c r="AO24" s="5">
        <f>IF(ISBLANK('Paste Full'!BA24),"",'Paste Full'!BA24)</f>
        <v>8</v>
      </c>
      <c r="AP24" s="5">
        <f>IF(ISBLANK('Paste Full'!BB24),"",'Paste Full'!BB24)</f>
        <v>11</v>
      </c>
      <c r="AQ24" s="5">
        <f>IF(ISBLANK('Paste Full'!BC24),"",'Paste Full'!BC24)</f>
        <v>8</v>
      </c>
      <c r="AR24" s="5">
        <f>IF(ISBLANK('Paste Full'!BD24),"",'Paste Full'!BD24)</f>
        <v>12</v>
      </c>
      <c r="AS24" s="5">
        <f>IF(ISBLANK('Paste Full'!BE24),"",'Paste Full'!BE24)</f>
        <v>6</v>
      </c>
      <c r="AT24" s="5">
        <f>IF(ISBLANK('Paste Full'!BF24),"",'Paste Full'!BF24)</f>
        <v>13</v>
      </c>
      <c r="AU24" s="5">
        <f>IF(ISBLANK('Paste Full'!BG24),"",'Paste Full'!BG24)</f>
        <v>7</v>
      </c>
      <c r="AV24" s="5">
        <f>IF(ISBLANK('Paste Full'!BH24),"",'Paste Full'!BH24)</f>
        <v>6</v>
      </c>
      <c r="AW24" s="5">
        <f>IF(ISBLANK('Paste Full'!BI24),"",'Paste Full'!BI24)</f>
        <v>7</v>
      </c>
      <c r="AX24" s="5">
        <f>IF(ISBLANK('Paste Full'!BJ24),"",'Paste Full'!BJ24)</f>
        <v>6</v>
      </c>
      <c r="AY24" s="5">
        <f>IF(ISBLANK('Paste Full'!BK24),"",'Paste Full'!BK24)</f>
        <v>8</v>
      </c>
      <c r="AZ24" s="6">
        <f>IF(ISBLANK('Paste Full'!BM24),"",'Paste Full'!BM24)</f>
        <v>8</v>
      </c>
      <c r="BA24" s="6">
        <f>IF(ISBLANK('Paste Full'!BN24),"",'Paste Full'!BN24)</f>
        <v>6</v>
      </c>
      <c r="BB24" s="6">
        <f>IF(ISBLANK('Paste Full'!BO24),"",'Paste Full'!BO24)</f>
        <v>3</v>
      </c>
      <c r="BC24" s="6">
        <f>IF(ISBLANK('Paste Full'!BP24),"",'Paste Full'!BP24)</f>
        <v>11</v>
      </c>
      <c r="BD24" s="6">
        <f>IF(ISBLANK('Paste Full'!BR24),"",'Paste Full'!BR24)</f>
        <v>5</v>
      </c>
      <c r="BE24" s="6">
        <f>IF(ISBLANK('Paste Full'!BS24),"",'Paste Full'!BS24)</f>
        <v>4</v>
      </c>
      <c r="BF24" s="6">
        <f>IF(ISBLANK('Paste Full'!BU24),"",'Paste Full'!BU24)</f>
        <v>9</v>
      </c>
      <c r="BG24" s="6">
        <f>IF(ISBLANK('Paste Full'!BV24),"",'Paste Full'!BV24)</f>
        <v>5</v>
      </c>
      <c r="BH24" s="6">
        <f>IF(ISBLANK('Paste Full'!BX24),"",'Paste Full'!BX24)</f>
        <v>10</v>
      </c>
      <c r="BI24" s="6">
        <f>IF(ISBLANK('Paste Full'!BY24),"",'Paste Full'!BY24)</f>
        <v>8</v>
      </c>
      <c r="BJ24" s="13">
        <f>IF(ISBLANK('Paste Full'!BL24),"",'Paste Full'!BL24)</f>
        <v>4</v>
      </c>
      <c r="BK24" s="13">
        <f>IF(ISBLANK('Paste Full'!BQ24),"",'Paste Full'!BQ24)</f>
        <v>4</v>
      </c>
      <c r="BL24" s="13">
        <f>IF(ISBLANK('Paste Full'!BT24),"",'Paste Full'!BT24)</f>
        <v>4</v>
      </c>
      <c r="BM24" s="13">
        <f>IF(ISBLANK('Paste Full'!BW24),"",'Paste Full'!BW24)</f>
        <v>1</v>
      </c>
    </row>
    <row r="25" spans="1:65" x14ac:dyDescent="0.3">
      <c r="A25" t="str">
        <f>IF(ISBLANK('Paste Full'!C25),"",'Paste Full'!C25)</f>
        <v>Teddy Lawrence</v>
      </c>
      <c r="B25" t="str">
        <f t="shared" si="0"/>
        <v>AM(L)</v>
      </c>
      <c r="C25" s="2">
        <f>IF(ISBLANK('Paste Full'!H25),"",'Paste Full'!H25)</f>
        <v>20</v>
      </c>
      <c r="D25" s="2">
        <f>IF(ISBLANK('Paste Full'!F25),"",'Paste Full'!F25)</f>
        <v>52</v>
      </c>
      <c r="E25" s="2">
        <f>IF(ISBLANK('Paste Full'!G25),"",'Paste Full'!G25)</f>
        <v>73</v>
      </c>
      <c r="F25" s="22" t="str">
        <f>IF(ISBLANK('Paste Full'!E25),"",'Paste Full'!E25)</f>
        <v>Republic of Ireland,Scotland,England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M/AM LC</v>
      </c>
      <c r="J25" s="14">
        <f>AVERAGE(SUMPRODUCT($S25:$BM25,AttWeights!$C$10:$AW$10)/SUM(AttWeights!$C$10:$AW$10),SUMPRODUCT($S25:$BM25,AttWeights!$C$17:$AW$17)/SUM(AttWeights!$C$17:$AW$17))*10</f>
        <v>72.416702478154988</v>
      </c>
      <c r="K25" s="14">
        <f>AVERAGE(SUMPRODUCT($S25:$BM25,AttWeights!$C$7:$AW$7)/SUM(AttWeights!$C$7:$AW$7),SUMPRODUCT($S25:$BM25,AttWeights!$C$15:$AW$15)/SUM(AttWeights!$C$15:$AW$15))*10</f>
        <v>76.606864733021837</v>
      </c>
      <c r="L25" s="14">
        <f>AVERAGE(SUMPRODUCT($S25:$BM25,AttWeights!$C$8:$AW$8)/SUM(AttWeights!$C$8:$AW$8),SUMPRODUCT($S25:$BM25,AttWeights!$C$16:$AW$16)/SUM(AttWeights!$C$16:$AW$16))*10</f>
        <v>76.343617956498306</v>
      </c>
      <c r="M25" s="14">
        <f>AVERAGE(SUMPRODUCT($S25:$BM25,AttWeights!$C$9:$AW$9)/SUM(AttWeights!$C$9:$AW$9),SUMPRODUCT($S25:$BM25,AttWeights!$C$15:$AW$15)/SUM(AttWeights!$C$15:$AW$15))*10</f>
        <v>76.443895189169979</v>
      </c>
      <c r="N25" s="14">
        <f>AVERAGE(SUMPRODUCT($S25:$BM25,AttWeights!$C$6:$AW$6)/SUM(AttWeights!$C$6:$AW$6),SUMPRODUCT($S25:$BM25,AttWeights!$C$14:$AW$14)/SUM(AttWeights!$C$14:$AW$14))*10</f>
        <v>71.829895519172766</v>
      </c>
      <c r="O25" s="14">
        <f>AVERAGE(SUMPRODUCT($S25:$BM25,AttWeights!$C$5:$AW$5)/SUM(AttWeights!$C$5:$AW$5),SUMPRODUCT($S25:$BM25,AttWeights!$C$14:$AW$14)/SUM(AttWeights!$C$14:$AW$14))*10</f>
        <v>69.56493931461209</v>
      </c>
      <c r="P25" s="14">
        <f>AVERAGE(SUMPRODUCT($S25:$BM25,AttWeights!$C$4:$AW$4)/SUM(AttWeights!$C$4:$AW$4),SUMPRODUCT($S25:$BM25,AttWeights!$C$13:$AW$13)/SUM(AttWeights!$C$13:$AW$13))*10</f>
        <v>65.978708791208788</v>
      </c>
      <c r="Q25" s="14">
        <f>AVERAGE(SUMPRODUCT($S25:$BM25,AttWeights!$C$3:$AW$3)/SUM(AttWeights!$C$3:$AW$3),SUMPRODUCT($S25:$BM25,AttWeights!$C$12:$AW$12)/SUM(AttWeights!$C$12:$AW$12))*10</f>
        <v>70.673341677096374</v>
      </c>
      <c r="R25" s="14">
        <f>AVERAGE(SUMPRODUCT($S25:$BM25,AttWeights!$C$2:$AW$2)/SUM(AttWeights!$C$2:$AW$2),SUMPRODUCT($S25:$BM25,AttWeights!$C$11:$AW$11)/SUM(AttWeights!$C$11:$AW$11))*10</f>
        <v>50.467707967707973</v>
      </c>
      <c r="S25" s="3">
        <f>IF(ISBLANK('Paste Full'!AC25),"",'Paste Full'!AC25)</f>
        <v>13</v>
      </c>
      <c r="T25" s="3">
        <f>IF(ISBLANK('Paste Full'!AD25),"",'Paste Full'!AD25)</f>
        <v>10</v>
      </c>
      <c r="U25" s="3">
        <f>IF(ISBLANK('Paste Full'!AE25),"",'Paste Full'!AE25)</f>
        <v>6</v>
      </c>
      <c r="V25" s="3">
        <f>IF(ISBLANK('Paste Full'!AF25),"",'Paste Full'!AF25)</f>
        <v>4</v>
      </c>
      <c r="W25" s="3">
        <f>IF(ISBLANK('Paste Full'!AH25),"",'Paste Full'!AH25)</f>
        <v>13</v>
      </c>
      <c r="X25" s="3">
        <f>IF(ISBLANK('Paste Full'!AI25),"",'Paste Full'!AI25)</f>
        <v>9</v>
      </c>
      <c r="Y25" s="3">
        <f>IF(ISBLANK('Paste Full'!AK25),"",'Paste Full'!AK25)</f>
        <v>10</v>
      </c>
      <c r="Z25" s="3">
        <f>IF(ISBLANK('Paste Full'!AL25),"",'Paste Full'!AL25)</f>
        <v>1</v>
      </c>
      <c r="AA25" s="4">
        <f>IF(ISBLANK('Paste Full'!AM25),"",'Paste Full'!AM25)</f>
        <v>2</v>
      </c>
      <c r="AB25" s="4">
        <f>IF(ISBLANK('Paste Full'!AN25),"",'Paste Full'!AN25)</f>
        <v>4</v>
      </c>
      <c r="AC25" s="4">
        <f>IF(ISBLANK('Paste Full'!AO25),"",'Paste Full'!AO25)</f>
        <v>2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1</v>
      </c>
      <c r="AG25" s="4">
        <f>IF(ISBLANK('Paste Full'!AS25),"",'Paste Full'!AS25)</f>
        <v>3</v>
      </c>
      <c r="AH25" s="4">
        <f>IF(ISBLANK('Paste Full'!AV25),"",'Paste Full'!AV25)</f>
        <v>3</v>
      </c>
      <c r="AI25" s="4">
        <f>IF(ISBLANK('Paste Full'!AT25),"",'Paste Full'!AT25)</f>
        <v>2</v>
      </c>
      <c r="AJ25" s="4">
        <f>IF(ISBLANK('Paste Full'!AU25),"",'Paste Full'!AU25)</f>
        <v>1</v>
      </c>
      <c r="AK25" s="4">
        <f>IF(ISBLANK('Paste Full'!AW25),"",'Paste Full'!AW25)</f>
        <v>4</v>
      </c>
      <c r="AL25" s="5">
        <f>IF(ISBLANK('Paste Full'!AX25),"",'Paste Full'!AX25)</f>
        <v>8</v>
      </c>
      <c r="AM25" s="5">
        <f>IF(ISBLANK('Paste Full'!AY25),"",'Paste Full'!AY25)</f>
        <v>8</v>
      </c>
      <c r="AN25" s="5">
        <f>IF(ISBLANK('Paste Full'!AZ25),"",'Paste Full'!AZ25)</f>
        <v>6</v>
      </c>
      <c r="AO25" s="5">
        <f>IF(ISBLANK('Paste Full'!BA25),"",'Paste Full'!BA25)</f>
        <v>6</v>
      </c>
      <c r="AP25" s="5">
        <f>IF(ISBLANK('Paste Full'!BB25),"",'Paste Full'!BB25)</f>
        <v>5</v>
      </c>
      <c r="AQ25" s="5">
        <f>IF(ISBLANK('Paste Full'!BC25),"",'Paste Full'!BC25)</f>
        <v>9</v>
      </c>
      <c r="AR25" s="5">
        <f>IF(ISBLANK('Paste Full'!BD25),"",'Paste Full'!BD25)</f>
        <v>14</v>
      </c>
      <c r="AS25" s="5">
        <f>IF(ISBLANK('Paste Full'!BE25),"",'Paste Full'!BE25)</f>
        <v>9</v>
      </c>
      <c r="AT25" s="5">
        <f>IF(ISBLANK('Paste Full'!BF25),"",'Paste Full'!BF25)</f>
        <v>7</v>
      </c>
      <c r="AU25" s="5">
        <f>IF(ISBLANK('Paste Full'!BG25),"",'Paste Full'!BG25)</f>
        <v>9</v>
      </c>
      <c r="AV25" s="5">
        <f>IF(ISBLANK('Paste Full'!BH25),"",'Paste Full'!BH25)</f>
        <v>6</v>
      </c>
      <c r="AW25" s="5">
        <f>IF(ISBLANK('Paste Full'!BI25),"",'Paste Full'!BI25)</f>
        <v>6</v>
      </c>
      <c r="AX25" s="5">
        <f>IF(ISBLANK('Paste Full'!BJ25),"",'Paste Full'!BJ25)</f>
        <v>8</v>
      </c>
      <c r="AY25" s="5">
        <f>IF(ISBLANK('Paste Full'!BK25),"",'Paste Full'!BK25)</f>
        <v>7</v>
      </c>
      <c r="AZ25" s="6">
        <f>IF(ISBLANK('Paste Full'!BM25),"",'Paste Full'!BM25)</f>
        <v>9</v>
      </c>
      <c r="BA25" s="6">
        <f>IF(ISBLANK('Paste Full'!BN25),"",'Paste Full'!BN25)</f>
        <v>7</v>
      </c>
      <c r="BB25" s="6">
        <f>IF(ISBLANK('Paste Full'!BO25),"",'Paste Full'!BO25)</f>
        <v>9</v>
      </c>
      <c r="BC25" s="6">
        <f>IF(ISBLANK('Paste Full'!BP25),"",'Paste Full'!BP25)</f>
        <v>12</v>
      </c>
      <c r="BD25" s="6">
        <f>IF(ISBLANK('Paste Full'!BR25),"",'Paste Full'!BR25)</f>
        <v>6</v>
      </c>
      <c r="BE25" s="6">
        <f>IF(ISBLANK('Paste Full'!BS25),"",'Paste Full'!BS25)</f>
        <v>6</v>
      </c>
      <c r="BF25" s="6">
        <f>IF(ISBLANK('Paste Full'!BU25),"",'Paste Full'!BU25)</f>
        <v>4</v>
      </c>
      <c r="BG25" s="6">
        <f>IF(ISBLANK('Paste Full'!BV25),"",'Paste Full'!BV25)</f>
        <v>7</v>
      </c>
      <c r="BH25" s="6">
        <f>IF(ISBLANK('Paste Full'!BX25),"",'Paste Full'!BX25)</f>
        <v>6</v>
      </c>
      <c r="BI25" s="6">
        <f>IF(ISBLANK('Paste Full'!BY25),"",'Paste Full'!BY25)</f>
        <v>11</v>
      </c>
      <c r="BJ25" s="13">
        <f>IF(ISBLANK('Paste Full'!BL25),"",'Paste Full'!BL25)</f>
        <v>3</v>
      </c>
      <c r="BK25" s="13">
        <f>IF(ISBLANK('Paste Full'!BQ25),"",'Paste Full'!BQ25)</f>
        <v>1</v>
      </c>
      <c r="BL25" s="13">
        <f>IF(ISBLANK('Paste Full'!BT25),"",'Paste Full'!BT25)</f>
        <v>4</v>
      </c>
      <c r="BM25" s="13">
        <f>IF(ISBLANK('Paste Full'!BW25),"",'Paste Full'!BW25)</f>
        <v>4</v>
      </c>
    </row>
    <row r="26" spans="1:65" x14ac:dyDescent="0.3">
      <c r="A26" t="str">
        <f>IF(ISBLANK('Paste Full'!C26),"",'Paste Full'!C26)</f>
        <v>Will Hancox</v>
      </c>
      <c r="B26" t="str">
        <f t="shared" si="0"/>
        <v>AM(R)</v>
      </c>
      <c r="C26" s="2">
        <f>IF(ISBLANK('Paste Full'!H26),"",'Paste Full'!H26)</f>
        <v>28</v>
      </c>
      <c r="D26" s="2">
        <f>IF(ISBLANK('Paste Full'!F26),"",'Paste Full'!F26)</f>
        <v>40</v>
      </c>
      <c r="E26" s="2">
        <f>IF(ISBLANK('Paste Full'!G26),"",'Paste Full'!G26)</f>
        <v>50</v>
      </c>
      <c r="F26" s="22" t="str">
        <f>IF(ISBLANK('Paste Full'!E26),"",'Paste Full'!E26)</f>
        <v>England</v>
      </c>
      <c r="G26" t="str">
        <f>IF(ISBLANK('Paste Full'!CI26),"",'Paste Full'!CI26)</f>
        <v>Brixham</v>
      </c>
      <c r="H26" s="22">
        <f>IF(ISBLANK('Paste Full'!J26),"",'Paste Full'!J26)</f>
        <v>0</v>
      </c>
      <c r="I26" s="22" t="str">
        <f>IF(ISBLANK('Paste Full'!D26),"",'Paste Full'!D26)</f>
        <v>M/AM R</v>
      </c>
      <c r="J26" s="14">
        <f>AVERAGE(SUMPRODUCT($S26:$BM26,AttWeights!$C$10:$AW$10)/SUM(AttWeights!$C$10:$AW$10),SUMPRODUCT($S26:$BM26,AttWeights!$C$17:$AW$17)/SUM(AttWeights!$C$17:$AW$17))*10</f>
        <v>63.452513966480453</v>
      </c>
      <c r="K26" s="14">
        <f>AVERAGE(SUMPRODUCT($S26:$BM26,AttWeights!$C$7:$AW$7)/SUM(AttWeights!$C$7:$AW$7),SUMPRODUCT($S26:$BM26,AttWeights!$C$15:$AW$15)/SUM(AttWeights!$C$15:$AW$15))*10</f>
        <v>70.281965382467902</v>
      </c>
      <c r="L26" s="14">
        <f>AVERAGE(SUMPRODUCT($S26:$BM26,AttWeights!$C$8:$AW$8)/SUM(AttWeights!$C$8:$AW$8),SUMPRODUCT($S26:$BM26,AttWeights!$C$16:$AW$16)/SUM(AttWeights!$C$16:$AW$16))*10</f>
        <v>70.444375124067719</v>
      </c>
      <c r="M26" s="14">
        <f>AVERAGE(SUMPRODUCT($S26:$BM26,AttWeights!$C$9:$AW$9)/SUM(AttWeights!$C$9:$AW$9),SUMPRODUCT($S26:$BM26,AttWeights!$C$15:$AW$15)/SUM(AttWeights!$C$15:$AW$15))*10</f>
        <v>72.050337630448126</v>
      </c>
      <c r="N26" s="14">
        <f>AVERAGE(SUMPRODUCT($S26:$BM26,AttWeights!$C$6:$AW$6)/SUM(AttWeights!$C$6:$AW$6),SUMPRODUCT($S26:$BM26,AttWeights!$C$14:$AW$14)/SUM(AttWeights!$C$14:$AW$14))*10</f>
        <v>64.434376346402416</v>
      </c>
      <c r="O26" s="14">
        <f>AVERAGE(SUMPRODUCT($S26:$BM26,AttWeights!$C$5:$AW$5)/SUM(AttWeights!$C$5:$AW$5),SUMPRODUCT($S26:$BM26,AttWeights!$C$14:$AW$14)/SUM(AttWeights!$C$14:$AW$14))*10</f>
        <v>64.612535697287001</v>
      </c>
      <c r="P26" s="14">
        <f>AVERAGE(SUMPRODUCT($S26:$BM26,AttWeights!$C$4:$AW$4)/SUM(AttWeights!$C$4:$AW$4),SUMPRODUCT($S26:$BM26,AttWeights!$C$13:$AW$13)/SUM(AttWeights!$C$13:$AW$13))*10</f>
        <v>61.46291208791208</v>
      </c>
      <c r="Q26" s="14">
        <f>AVERAGE(SUMPRODUCT($S26:$BM26,AttWeights!$C$3:$AW$3)/SUM(AttWeights!$C$3:$AW$3),SUMPRODUCT($S26:$BM26,AttWeights!$C$12:$AW$12)/SUM(AttWeights!$C$12:$AW$12))*10</f>
        <v>65.543491864831054</v>
      </c>
      <c r="R26" s="14">
        <f>AVERAGE(SUMPRODUCT($S26:$BM26,AttWeights!$C$2:$AW$2)/SUM(AttWeights!$C$2:$AW$2),SUMPRODUCT($S26:$BM26,AttWeights!$C$11:$AW$11)/SUM(AttWeights!$C$11:$AW$11))*10</f>
        <v>47.022639522639516</v>
      </c>
      <c r="S26" s="3">
        <f>IF(ISBLANK('Paste Full'!AC26),"",'Paste Full'!AC26)</f>
        <v>12</v>
      </c>
      <c r="T26" s="3">
        <f>IF(ISBLANK('Paste Full'!AD26),"",'Paste Full'!AD26)</f>
        <v>9</v>
      </c>
      <c r="U26" s="3">
        <f>IF(ISBLANK('Paste Full'!AE26),"",'Paste Full'!AE26)</f>
        <v>5</v>
      </c>
      <c r="V26" s="3">
        <f>IF(ISBLANK('Paste Full'!AF26),"",'Paste Full'!AF26)</f>
        <v>8</v>
      </c>
      <c r="W26" s="3">
        <f>IF(ISBLANK('Paste Full'!AH26),"",'Paste Full'!AH26)</f>
        <v>9</v>
      </c>
      <c r="X26" s="3">
        <f>IF(ISBLANK('Paste Full'!AI26),"",'Paste Full'!AI26)</f>
        <v>10</v>
      </c>
      <c r="Y26" s="3">
        <f>IF(ISBLANK('Paste Full'!AK26),"",'Paste Full'!AK26)</f>
        <v>12</v>
      </c>
      <c r="Z26" s="3">
        <f>IF(ISBLANK('Paste Full'!AL26),"",'Paste Full'!AL26)</f>
        <v>4</v>
      </c>
      <c r="AA26" s="4">
        <f>IF(ISBLANK('Paste Full'!AM26),"",'Paste Full'!AM26)</f>
        <v>3</v>
      </c>
      <c r="AB26" s="4">
        <f>IF(ISBLANK('Paste Full'!AN26),"",'Paste Full'!AN26)</f>
        <v>1</v>
      </c>
      <c r="AC26" s="4">
        <f>IF(ISBLANK('Paste Full'!AO26),"",'Paste Full'!AO26)</f>
        <v>3</v>
      </c>
      <c r="AD26" s="4">
        <f>IF(ISBLANK('Paste Full'!AP26),"",'Paste Full'!AP26)</f>
        <v>3</v>
      </c>
      <c r="AE26" s="4">
        <f>IF(ISBLANK('Paste Full'!AQ26),"",'Paste Full'!AQ26)</f>
        <v>3</v>
      </c>
      <c r="AF26" s="4">
        <f>IF(ISBLANK('Paste Full'!AR26),"",'Paste Full'!AR26)</f>
        <v>4</v>
      </c>
      <c r="AG26" s="4">
        <f>IF(ISBLANK('Paste Full'!AS26),"",'Paste Full'!AS26)</f>
        <v>3</v>
      </c>
      <c r="AH26" s="4">
        <f>IF(ISBLANK('Paste Full'!AV26),"",'Paste Full'!AV26)</f>
        <v>2</v>
      </c>
      <c r="AI26" s="4">
        <f>IF(ISBLANK('Paste Full'!AT26),"",'Paste Full'!AT26)</f>
        <v>2</v>
      </c>
      <c r="AJ26" s="4">
        <f>IF(ISBLANK('Paste Full'!AU26),"",'Paste Full'!AU26)</f>
        <v>3</v>
      </c>
      <c r="AK26" s="4">
        <f>IF(ISBLANK('Paste Full'!AW26),"",'Paste Full'!AW26)</f>
        <v>3</v>
      </c>
      <c r="AL26" s="5">
        <f>IF(ISBLANK('Paste Full'!AX26),"",'Paste Full'!AX26)</f>
        <v>13</v>
      </c>
      <c r="AM26" s="5">
        <f>IF(ISBLANK('Paste Full'!AY26),"",'Paste Full'!AY26)</f>
        <v>8</v>
      </c>
      <c r="AN26" s="5">
        <f>IF(ISBLANK('Paste Full'!AZ26),"",'Paste Full'!AZ26)</f>
        <v>2</v>
      </c>
      <c r="AO26" s="5">
        <f>IF(ISBLANK('Paste Full'!BA26),"",'Paste Full'!BA26)</f>
        <v>6</v>
      </c>
      <c r="AP26" s="5">
        <f>IF(ISBLANK('Paste Full'!BB26),"",'Paste Full'!BB26)</f>
        <v>3</v>
      </c>
      <c r="AQ26" s="5">
        <f>IF(ISBLANK('Paste Full'!BC26),"",'Paste Full'!BC26)</f>
        <v>7</v>
      </c>
      <c r="AR26" s="5">
        <f>IF(ISBLANK('Paste Full'!BD26),"",'Paste Full'!BD26)</f>
        <v>12</v>
      </c>
      <c r="AS26" s="5">
        <f>IF(ISBLANK('Paste Full'!BE26),"",'Paste Full'!BE26)</f>
        <v>6</v>
      </c>
      <c r="AT26" s="5">
        <f>IF(ISBLANK('Paste Full'!BF26),"",'Paste Full'!BF26)</f>
        <v>13</v>
      </c>
      <c r="AU26" s="5">
        <f>IF(ISBLANK('Paste Full'!BG26),"",'Paste Full'!BG26)</f>
        <v>5</v>
      </c>
      <c r="AV26" s="5">
        <f>IF(ISBLANK('Paste Full'!BH26),"",'Paste Full'!BH26)</f>
        <v>4</v>
      </c>
      <c r="AW26" s="5">
        <f>IF(ISBLANK('Paste Full'!BI26),"",'Paste Full'!BI26)</f>
        <v>6</v>
      </c>
      <c r="AX26" s="5">
        <f>IF(ISBLANK('Paste Full'!BJ26),"",'Paste Full'!BJ26)</f>
        <v>4</v>
      </c>
      <c r="AY26" s="5">
        <f>IF(ISBLANK('Paste Full'!BK26),"",'Paste Full'!BK26)</f>
        <v>11</v>
      </c>
      <c r="AZ26" s="6">
        <f>IF(ISBLANK('Paste Full'!BM26),"",'Paste Full'!BM26)</f>
        <v>10</v>
      </c>
      <c r="BA26" s="6">
        <f>IF(ISBLANK('Paste Full'!BN26),"",'Paste Full'!BN26)</f>
        <v>6</v>
      </c>
      <c r="BB26" s="6">
        <f>IF(ISBLANK('Paste Full'!BO26),"",'Paste Full'!BO26)</f>
        <v>4</v>
      </c>
      <c r="BC26" s="6">
        <f>IF(ISBLANK('Paste Full'!BP26),"",'Paste Full'!BP26)</f>
        <v>10</v>
      </c>
      <c r="BD26" s="6">
        <f>IF(ISBLANK('Paste Full'!BR26),"",'Paste Full'!BR26)</f>
        <v>4</v>
      </c>
      <c r="BE26" s="6">
        <f>IF(ISBLANK('Paste Full'!BS26),"",'Paste Full'!BS26)</f>
        <v>2</v>
      </c>
      <c r="BF26" s="6">
        <f>IF(ISBLANK('Paste Full'!BU26),"",'Paste Full'!BU26)</f>
        <v>4</v>
      </c>
      <c r="BG26" s="6">
        <f>IF(ISBLANK('Paste Full'!BV26),"",'Paste Full'!BV26)</f>
        <v>7</v>
      </c>
      <c r="BH26" s="6">
        <f>IF(ISBLANK('Paste Full'!BX26),"",'Paste Full'!BX26)</f>
        <v>1</v>
      </c>
      <c r="BI26" s="6">
        <f>IF(ISBLANK('Paste Full'!BY26),"",'Paste Full'!BY26)</f>
        <v>6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3</v>
      </c>
      <c r="BM26" s="13">
        <f>IF(ISBLANK('Paste Full'!BW26),"",'Paste Full'!BW26)</f>
        <v>1</v>
      </c>
    </row>
    <row r="27" spans="1:65" x14ac:dyDescent="0.3">
      <c r="A27" t="str">
        <f>IF(ISBLANK('Paste Full'!C27),"",'Paste Full'!C27)</f>
        <v>Barney Stone</v>
      </c>
      <c r="B27" t="str">
        <f t="shared" si="0"/>
        <v>Striker</v>
      </c>
      <c r="C27" s="2">
        <f>IF(ISBLANK('Paste Full'!H27),"",'Paste Full'!H27)</f>
        <v>19</v>
      </c>
      <c r="D27" s="2">
        <f>IF(ISBLANK('Paste Full'!F27),"",'Paste Full'!F27)</f>
        <v>51</v>
      </c>
      <c r="E27" s="2">
        <f>IF(ISBLANK('Paste Full'!G27),"",'Paste Full'!G27)</f>
        <v>89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0</v>
      </c>
      <c r="I27" s="22" t="str">
        <f>IF(ISBLANK('Paste Full'!D27),"",'Paste Full'!D27)</f>
        <v xml:space="preserve">ST </v>
      </c>
      <c r="J27" s="14">
        <f>AVERAGE(SUMPRODUCT($S27:$BM27,AttWeights!$C$10:$AW$10)/SUM(AttWeights!$C$10:$AW$10),SUMPRODUCT($S27:$BM27,AttWeights!$C$17:$AW$17)/SUM(AttWeights!$C$17:$AW$17))*10</f>
        <v>71.813493768801038</v>
      </c>
      <c r="K27" s="14">
        <f>AVERAGE(SUMPRODUCT($S27:$BM27,AttWeights!$C$7:$AW$7)/SUM(AttWeights!$C$7:$AW$7),SUMPRODUCT($S27:$BM27,AttWeights!$C$15:$AW$15)/SUM(AttWeights!$C$15:$AW$15))*10</f>
        <v>68.74930206588499</v>
      </c>
      <c r="L27" s="14">
        <f>AVERAGE(SUMPRODUCT($S27:$BM27,AttWeights!$C$8:$AW$8)/SUM(AttWeights!$C$8:$AW$8),SUMPRODUCT($S27:$BM27,AttWeights!$C$16:$AW$16)/SUM(AttWeights!$C$16:$AW$16))*10</f>
        <v>66.264498199245665</v>
      </c>
      <c r="M27" s="14">
        <f>AVERAGE(SUMPRODUCT($S27:$BM27,AttWeights!$C$9:$AW$9)/SUM(AttWeights!$C$9:$AW$9),SUMPRODUCT($S27:$BM27,AttWeights!$C$15:$AW$15)/SUM(AttWeights!$C$15:$AW$15))*10</f>
        <v>67.298956414978505</v>
      </c>
      <c r="N27" s="14">
        <f>AVERAGE(SUMPRODUCT($S27:$BM27,AttWeights!$C$6:$AW$6)/SUM(AttWeights!$C$6:$AW$6),SUMPRODUCT($S27:$BM27,AttWeights!$C$14:$AW$14)/SUM(AttWeights!$C$14:$AW$14))*10</f>
        <v>60.229696251615685</v>
      </c>
      <c r="O27" s="14">
        <f>AVERAGE(SUMPRODUCT($S27:$BM27,AttWeights!$C$5:$AW$5)/SUM(AttWeights!$C$5:$AW$5),SUMPRODUCT($S27:$BM27,AttWeights!$C$14:$AW$14)/SUM(AttWeights!$C$14:$AW$14))*10</f>
        <v>57.748988576868157</v>
      </c>
      <c r="P27" s="14">
        <f>AVERAGE(SUMPRODUCT($S27:$BM27,AttWeights!$C$4:$AW$4)/SUM(AttWeights!$C$4:$AW$4),SUMPRODUCT($S27:$BM27,AttWeights!$C$13:$AW$13)/SUM(AttWeights!$C$13:$AW$13))*10</f>
        <v>60.051510989010985</v>
      </c>
      <c r="Q27" s="14">
        <f>AVERAGE(SUMPRODUCT($S27:$BM27,AttWeights!$C$3:$AW$3)/SUM(AttWeights!$C$3:$AW$3),SUMPRODUCT($S27:$BM27,AttWeights!$C$12:$AW$12)/SUM(AttWeights!$C$12:$AW$12))*10</f>
        <v>55.772841051314145</v>
      </c>
      <c r="R27" s="14">
        <f>AVERAGE(SUMPRODUCT($S27:$BM27,AttWeights!$C$2:$AW$2)/SUM(AttWeights!$C$2:$AW$2),SUMPRODUCT($S27:$BM27,AttWeights!$C$11:$AW$11)/SUM(AttWeights!$C$11:$AW$11))*10</f>
        <v>39.809143559143564</v>
      </c>
      <c r="S27" s="3">
        <f>IF(ISBLANK('Paste Full'!AC27),"",'Paste Full'!AC27)</f>
        <v>12</v>
      </c>
      <c r="T27" s="3">
        <f>IF(ISBLANK('Paste Full'!AD27),"",'Paste Full'!AD27)</f>
        <v>11</v>
      </c>
      <c r="U27" s="3">
        <f>IF(ISBLANK('Paste Full'!AE27),"",'Paste Full'!AE27)</f>
        <v>12</v>
      </c>
      <c r="V27" s="3">
        <f>IF(ISBLANK('Paste Full'!AF27),"",'Paste Full'!AF27)</f>
        <v>7</v>
      </c>
      <c r="W27" s="3">
        <f>IF(ISBLANK('Paste Full'!AH27),"",'Paste Full'!AH27)</f>
        <v>11</v>
      </c>
      <c r="X27" s="3">
        <f>IF(ISBLANK('Paste Full'!AI27),"",'Paste Full'!AI27)</f>
        <v>12</v>
      </c>
      <c r="Y27" s="3">
        <f>IF(ISBLANK('Paste Full'!AK27),"",'Paste Full'!AK27)</f>
        <v>3</v>
      </c>
      <c r="Z27" s="3">
        <f>IF(ISBLANK('Paste Full'!AL27),"",'Paste Full'!AL27)</f>
        <v>4</v>
      </c>
      <c r="AA27" s="4">
        <f>IF(ISBLANK('Paste Full'!AM27),"",'Paste Full'!AM27)</f>
        <v>1</v>
      </c>
      <c r="AB27" s="4">
        <f>IF(ISBLANK('Paste Full'!AN27),"",'Paste Full'!AN27)</f>
        <v>3</v>
      </c>
      <c r="AC27" s="4">
        <f>IF(ISBLANK('Paste Full'!AO27),"",'Paste Full'!AO27)</f>
        <v>2</v>
      </c>
      <c r="AD27" s="4">
        <f>IF(ISBLANK('Paste Full'!AP27),"",'Paste Full'!AP27)</f>
        <v>2</v>
      </c>
      <c r="AE27" s="4">
        <f>IF(ISBLANK('Paste Full'!AQ27),"",'Paste Full'!AQ27)</f>
        <v>1</v>
      </c>
      <c r="AF27" s="4">
        <f>IF(ISBLANK('Paste Full'!AR27),"",'Paste Full'!AR27)</f>
        <v>3</v>
      </c>
      <c r="AG27" s="4">
        <f>IF(ISBLANK('Paste Full'!AS27),"",'Paste Full'!AS27)</f>
        <v>1</v>
      </c>
      <c r="AH27" s="4">
        <f>IF(ISBLANK('Paste Full'!AV27),"",'Paste Full'!AV27)</f>
        <v>2</v>
      </c>
      <c r="AI27" s="4">
        <f>IF(ISBLANK('Paste Full'!AT27),"",'Paste Full'!AT27)</f>
        <v>3</v>
      </c>
      <c r="AJ27" s="4">
        <f>IF(ISBLANK('Paste Full'!AU27),"",'Paste Full'!AU27)</f>
        <v>2</v>
      </c>
      <c r="AK27" s="4">
        <f>IF(ISBLANK('Paste Full'!AW27),"",'Paste Full'!AW27)</f>
        <v>1</v>
      </c>
      <c r="AL27" s="5">
        <f>IF(ISBLANK('Paste Full'!AX27),"",'Paste Full'!AX27)</f>
        <v>13</v>
      </c>
      <c r="AM27" s="5">
        <f>IF(ISBLANK('Paste Full'!AY27),"",'Paste Full'!AY27)</f>
        <v>7</v>
      </c>
      <c r="AN27" s="5">
        <f>IF(ISBLANK('Paste Full'!AZ27),"",'Paste Full'!AZ27)</f>
        <v>3</v>
      </c>
      <c r="AO27" s="5">
        <f>IF(ISBLANK('Paste Full'!BA27),"",'Paste Full'!BA27)</f>
        <v>7</v>
      </c>
      <c r="AP27" s="5">
        <f>IF(ISBLANK('Paste Full'!BB27),"",'Paste Full'!BB27)</f>
        <v>4</v>
      </c>
      <c r="AQ27" s="5">
        <f>IF(ISBLANK('Paste Full'!BC27),"",'Paste Full'!BC27)</f>
        <v>3</v>
      </c>
      <c r="AR27" s="5">
        <f>IF(ISBLANK('Paste Full'!BD27),"",'Paste Full'!BD27)</f>
        <v>9</v>
      </c>
      <c r="AS27" s="5">
        <f>IF(ISBLANK('Paste Full'!BE27),"",'Paste Full'!BE27)</f>
        <v>11</v>
      </c>
      <c r="AT27" s="5">
        <f>IF(ISBLANK('Paste Full'!BF27),"",'Paste Full'!BF27)</f>
        <v>9</v>
      </c>
      <c r="AU27" s="5">
        <f>IF(ISBLANK('Paste Full'!BG27),"",'Paste Full'!BG27)</f>
        <v>10</v>
      </c>
      <c r="AV27" s="5">
        <f>IF(ISBLANK('Paste Full'!BH27),"",'Paste Full'!BH27)</f>
        <v>1</v>
      </c>
      <c r="AW27" s="5">
        <f>IF(ISBLANK('Paste Full'!BI27),"",'Paste Full'!BI27)</f>
        <v>2</v>
      </c>
      <c r="AX27" s="5">
        <f>IF(ISBLANK('Paste Full'!BJ27),"",'Paste Full'!BJ27)</f>
        <v>4</v>
      </c>
      <c r="AY27" s="5">
        <f>IF(ISBLANK('Paste Full'!BK27),"",'Paste Full'!BK27)</f>
        <v>4</v>
      </c>
      <c r="AZ27" s="6">
        <f>IF(ISBLANK('Paste Full'!BM27),"",'Paste Full'!BM27)</f>
        <v>1</v>
      </c>
      <c r="BA27" s="6">
        <f>IF(ISBLANK('Paste Full'!BN27),"",'Paste Full'!BN27)</f>
        <v>11</v>
      </c>
      <c r="BB27" s="6">
        <f>IF(ISBLANK('Paste Full'!BO27),"",'Paste Full'!BO27)</f>
        <v>12</v>
      </c>
      <c r="BC27" s="6">
        <f>IF(ISBLANK('Paste Full'!BP27),"",'Paste Full'!BP27)</f>
        <v>12</v>
      </c>
      <c r="BD27" s="6">
        <f>IF(ISBLANK('Paste Full'!BR27),"",'Paste Full'!BR27)</f>
        <v>6</v>
      </c>
      <c r="BE27" s="6">
        <f>IF(ISBLANK('Paste Full'!BS27),"",'Paste Full'!BS27)</f>
        <v>4</v>
      </c>
      <c r="BF27" s="6">
        <f>IF(ISBLANK('Paste Full'!BU27),"",'Paste Full'!BU27)</f>
        <v>2</v>
      </c>
      <c r="BG27" s="6">
        <f>IF(ISBLANK('Paste Full'!BV27),"",'Paste Full'!BV27)</f>
        <v>10</v>
      </c>
      <c r="BH27" s="6">
        <f>IF(ISBLANK('Paste Full'!BX27),"",'Paste Full'!BX27)</f>
        <v>1</v>
      </c>
      <c r="BI27" s="6">
        <f>IF(ISBLANK('Paste Full'!BY27),"",'Paste Full'!BY27)</f>
        <v>10</v>
      </c>
      <c r="BJ27" s="13">
        <f>IF(ISBLANK('Paste Full'!BL27),"",'Paste Full'!BL27)</f>
        <v>2</v>
      </c>
      <c r="BK27" s="13">
        <f>IF(ISBLANK('Paste Full'!BQ27),"",'Paste Full'!BQ27)</f>
        <v>2</v>
      </c>
      <c r="BL27" s="13">
        <f>IF(ISBLANK('Paste Full'!BT27),"",'Paste Full'!BT27)</f>
        <v>1</v>
      </c>
      <c r="BM27" s="13">
        <f>IF(ISBLANK('Paste Full'!BW27),"",'Paste Full'!BW27)</f>
        <v>5</v>
      </c>
    </row>
    <row r="28" spans="1:65" x14ac:dyDescent="0.3">
      <c r="A28" t="str">
        <f>IF(ISBLANK('Paste Full'!C28),"",'Paste Full'!C28)</f>
        <v>Connor Underhill</v>
      </c>
      <c r="B28" t="str">
        <f t="shared" si="0"/>
        <v>AM(C)</v>
      </c>
      <c r="C28" s="2">
        <f>IF(ISBLANK('Paste Full'!H28),"",'Paste Full'!H28)</f>
        <v>20</v>
      </c>
      <c r="D28" s="2">
        <f>IF(ISBLANK('Paste Full'!F28),"",'Paste Full'!F28)</f>
        <v>55</v>
      </c>
      <c r="E28" s="2">
        <f>IF(ISBLANK('Paste Full'!G28),"",'Paste Full'!G28)</f>
        <v>63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6946</v>
      </c>
      <c r="I28" s="22" t="str">
        <f>IF(ISBLANK('Paste Full'!D28),"",'Paste Full'!D28)</f>
        <v>M C</v>
      </c>
      <c r="J28" s="14">
        <f>AVERAGE(SUMPRODUCT($S28:$BM28,AttWeights!$C$10:$AW$10)/SUM(AttWeights!$C$10:$AW$10),SUMPRODUCT($S28:$BM28,AttWeights!$C$17:$AW$17)/SUM(AttWeights!$C$17:$AW$17))*10</f>
        <v>77.88081936685289</v>
      </c>
      <c r="K28" s="14">
        <f>AVERAGE(SUMPRODUCT($S28:$BM28,AttWeights!$C$7:$AW$7)/SUM(AttWeights!$C$7:$AW$7),SUMPRODUCT($S28:$BM28,AttWeights!$C$15:$AW$15)/SUM(AttWeights!$C$15:$AW$15))*10</f>
        <v>78.801610391136961</v>
      </c>
      <c r="L28" s="14">
        <f>AVERAGE(SUMPRODUCT($S28:$BM28,AttWeights!$C$8:$AW$8)/SUM(AttWeights!$C$8:$AW$8),SUMPRODUCT($S28:$BM28,AttWeights!$C$16:$AW$16)/SUM(AttWeights!$C$16:$AW$16))*10</f>
        <v>80.15171709724072</v>
      </c>
      <c r="M28" s="14">
        <f>AVERAGE(SUMPRODUCT($S28:$BM28,AttWeights!$C$9:$AW$9)/SUM(AttWeights!$C$9:$AW$9),SUMPRODUCT($S28:$BM28,AttWeights!$C$15:$AW$15)/SUM(AttWeights!$C$15:$AW$15))*10</f>
        <v>80.062195082549849</v>
      </c>
      <c r="N28" s="14">
        <f>AVERAGE(SUMPRODUCT($S28:$BM28,AttWeights!$C$6:$AW$6)/SUM(AttWeights!$C$6:$AW$6),SUMPRODUCT($S28:$BM28,AttWeights!$C$14:$AW$14)/SUM(AttWeights!$C$14:$AW$14))*10</f>
        <v>75.867083153813013</v>
      </c>
      <c r="O28" s="14">
        <f>AVERAGE(SUMPRODUCT($S28:$BM28,AttWeights!$C$5:$AW$5)/SUM(AttWeights!$C$5:$AW$5),SUMPRODUCT($S28:$BM28,AttWeights!$C$14:$AW$14)/SUM(AttWeights!$C$14:$AW$14))*10</f>
        <v>71.876487386958587</v>
      </c>
      <c r="P28" s="14">
        <f>AVERAGE(SUMPRODUCT($S28:$BM28,AttWeights!$C$4:$AW$4)/SUM(AttWeights!$C$4:$AW$4),SUMPRODUCT($S28:$BM28,AttWeights!$C$13:$AW$13)/SUM(AttWeights!$C$13:$AW$13))*10</f>
        <v>67.043269230769226</v>
      </c>
      <c r="Q28" s="14">
        <f>AVERAGE(SUMPRODUCT($S28:$BM28,AttWeights!$C$3:$AW$3)/SUM(AttWeights!$C$3:$AW$3),SUMPRODUCT($S28:$BM28,AttWeights!$C$12:$AW$12)/SUM(AttWeights!$C$12:$AW$12))*10</f>
        <v>71.266896120150193</v>
      </c>
      <c r="R28" s="14">
        <f>AVERAGE(SUMPRODUCT($S28:$BM28,AttWeights!$C$2:$AW$2)/SUM(AttWeights!$C$2:$AW$2),SUMPRODUCT($S28:$BM28,AttWeights!$C$11:$AW$11)/SUM(AttWeights!$C$11:$AW$11))*10</f>
        <v>47.23718848718849</v>
      </c>
      <c r="S28" s="3">
        <f>IF(ISBLANK('Paste Full'!AC28),"",'Paste Full'!AC28)</f>
        <v>9</v>
      </c>
      <c r="T28" s="3">
        <f>IF(ISBLANK('Paste Full'!AD28),"",'Paste Full'!AD28)</f>
        <v>8</v>
      </c>
      <c r="U28" s="3">
        <f>IF(ISBLANK('Paste Full'!AE28),"",'Paste Full'!AE28)</f>
        <v>7</v>
      </c>
      <c r="V28" s="3">
        <f>IF(ISBLANK('Paste Full'!AF28),"",'Paste Full'!AF28)</f>
        <v>6</v>
      </c>
      <c r="W28" s="3">
        <f>IF(ISBLANK('Paste Full'!AH28),"",'Paste Full'!AH28)</f>
        <v>12</v>
      </c>
      <c r="X28" s="3">
        <f>IF(ISBLANK('Paste Full'!AI28),"",'Paste Full'!AI28)</f>
        <v>10</v>
      </c>
      <c r="Y28" s="3">
        <f>IF(ISBLANK('Paste Full'!AK28),"",'Paste Full'!AK28)</f>
        <v>9</v>
      </c>
      <c r="Z28" s="3">
        <f>IF(ISBLANK('Paste Full'!AL28),"",'Paste Full'!AL28)</f>
        <v>6</v>
      </c>
      <c r="AA28" s="4">
        <f>IF(ISBLANK('Paste Full'!AM28),"",'Paste Full'!AM28)</f>
        <v>3</v>
      </c>
      <c r="AB28" s="4">
        <f>IF(ISBLANK('Paste Full'!AN28),"",'Paste Full'!AN28)</f>
        <v>2</v>
      </c>
      <c r="AC28" s="4">
        <f>IF(ISBLANK('Paste Full'!AO28),"",'Paste Full'!AO28)</f>
        <v>1</v>
      </c>
      <c r="AD28" s="4">
        <f>IF(ISBLANK('Paste Full'!AP28),"",'Paste Full'!AP28)</f>
        <v>3</v>
      </c>
      <c r="AE28" s="4">
        <f>IF(ISBLANK('Paste Full'!AQ28),"",'Paste Full'!AQ28)</f>
        <v>2</v>
      </c>
      <c r="AF28" s="4">
        <f>IF(ISBLANK('Paste Full'!AR28),"",'Paste Full'!AR28)</f>
        <v>2</v>
      </c>
      <c r="AG28" s="4">
        <f>IF(ISBLANK('Paste Full'!AS28),"",'Paste Full'!AS28)</f>
        <v>2</v>
      </c>
      <c r="AH28" s="4">
        <f>IF(ISBLANK('Paste Full'!AV28),"",'Paste Full'!AV28)</f>
        <v>3</v>
      </c>
      <c r="AI28" s="4">
        <f>IF(ISBLANK('Paste Full'!AT28),"",'Paste Full'!AT28)</f>
        <v>2</v>
      </c>
      <c r="AJ28" s="4">
        <f>IF(ISBLANK('Paste Full'!AU28),"",'Paste Full'!AU28)</f>
        <v>3</v>
      </c>
      <c r="AK28" s="4">
        <f>IF(ISBLANK('Paste Full'!AW28),"",'Paste Full'!AW28)</f>
        <v>1</v>
      </c>
      <c r="AL28" s="5">
        <f>IF(ISBLANK('Paste Full'!AX28),"",'Paste Full'!AX28)</f>
        <v>6</v>
      </c>
      <c r="AM28" s="5">
        <f>IF(ISBLANK('Paste Full'!AY28),"",'Paste Full'!AY28)</f>
        <v>6</v>
      </c>
      <c r="AN28" s="5">
        <f>IF(ISBLANK('Paste Full'!AZ28),"",'Paste Full'!AZ28)</f>
        <v>3</v>
      </c>
      <c r="AO28" s="5">
        <f>IF(ISBLANK('Paste Full'!BA28),"",'Paste Full'!BA28)</f>
        <v>6</v>
      </c>
      <c r="AP28" s="5">
        <f>IF(ISBLANK('Paste Full'!BB28),"",'Paste Full'!BB28)</f>
        <v>2</v>
      </c>
      <c r="AQ28" s="5">
        <f>IF(ISBLANK('Paste Full'!BC28),"",'Paste Full'!BC28)</f>
        <v>12</v>
      </c>
      <c r="AR28" s="5">
        <f>IF(ISBLANK('Paste Full'!BD28),"",'Paste Full'!BD28)</f>
        <v>14</v>
      </c>
      <c r="AS28" s="5">
        <f>IF(ISBLANK('Paste Full'!BE28),"",'Paste Full'!BE28)</f>
        <v>11</v>
      </c>
      <c r="AT28" s="5">
        <f>IF(ISBLANK('Paste Full'!BF28),"",'Paste Full'!BF28)</f>
        <v>12</v>
      </c>
      <c r="AU28" s="5">
        <f>IF(ISBLANK('Paste Full'!BG28),"",'Paste Full'!BG28)</f>
        <v>12</v>
      </c>
      <c r="AV28" s="5">
        <f>IF(ISBLANK('Paste Full'!BH28),"",'Paste Full'!BH28)</f>
        <v>5</v>
      </c>
      <c r="AW28" s="5">
        <f>IF(ISBLANK('Paste Full'!BI28),"",'Paste Full'!BI28)</f>
        <v>13</v>
      </c>
      <c r="AX28" s="5">
        <f>IF(ISBLANK('Paste Full'!BJ28),"",'Paste Full'!BJ28)</f>
        <v>8</v>
      </c>
      <c r="AY28" s="5">
        <f>IF(ISBLANK('Paste Full'!BK28),"",'Paste Full'!BK28)</f>
        <v>8</v>
      </c>
      <c r="AZ28" s="6">
        <f>IF(ISBLANK('Paste Full'!BM28),"",'Paste Full'!BM28)</f>
        <v>7</v>
      </c>
      <c r="BA28" s="6">
        <f>IF(ISBLANK('Paste Full'!BN28),"",'Paste Full'!BN28)</f>
        <v>6</v>
      </c>
      <c r="BB28" s="6">
        <f>IF(ISBLANK('Paste Full'!BO28),"",'Paste Full'!BO28)</f>
        <v>8</v>
      </c>
      <c r="BC28" s="6">
        <f>IF(ISBLANK('Paste Full'!BP28),"",'Paste Full'!BP28)</f>
        <v>14</v>
      </c>
      <c r="BD28" s="6">
        <f>IF(ISBLANK('Paste Full'!BR28),"",'Paste Full'!BR28)</f>
        <v>5</v>
      </c>
      <c r="BE28" s="6">
        <f>IF(ISBLANK('Paste Full'!BS28),"",'Paste Full'!BS28)</f>
        <v>6</v>
      </c>
      <c r="BF28" s="6">
        <f>IF(ISBLANK('Paste Full'!BU28),"",'Paste Full'!BU28)</f>
        <v>7</v>
      </c>
      <c r="BG28" s="6">
        <f>IF(ISBLANK('Paste Full'!BV28),"",'Paste Full'!BV28)</f>
        <v>12</v>
      </c>
      <c r="BH28" s="6">
        <f>IF(ISBLANK('Paste Full'!BX28),"",'Paste Full'!BX28)</f>
        <v>3</v>
      </c>
      <c r="BI28" s="6">
        <f>IF(ISBLANK('Paste Full'!BY28),"",'Paste Full'!BY28)</f>
        <v>12</v>
      </c>
      <c r="BJ28" s="13">
        <f>IF(ISBLANK('Paste Full'!BL28),"",'Paste Full'!BL28)</f>
        <v>5</v>
      </c>
      <c r="BK28" s="13">
        <f>IF(ISBLANK('Paste Full'!BQ28),"",'Paste Full'!BQ28)</f>
        <v>5</v>
      </c>
      <c r="BL28" s="13">
        <f>IF(ISBLANK('Paste Full'!BT28),"",'Paste Full'!BT28)</f>
        <v>3</v>
      </c>
      <c r="BM28" s="13">
        <f>IF(ISBLANK('Paste Full'!BW28),"",'Paste Full'!BW28)</f>
        <v>3</v>
      </c>
    </row>
    <row r="29" spans="1:65" x14ac:dyDescent="0.3">
      <c r="A29" t="str">
        <f>IF(ISBLANK('Paste Full'!C29),"",'Paste Full'!C29)</f>
        <v>Danny Jordan</v>
      </c>
      <c r="B29" t="str">
        <f t="shared" si="0"/>
        <v>D(C)</v>
      </c>
      <c r="C29" s="2">
        <f>IF(ISBLANK('Paste Full'!H29),"",'Paste Full'!H29)</f>
        <v>19</v>
      </c>
      <c r="D29" s="2">
        <f>IF(ISBLANK('Paste Full'!F29),"",'Paste Full'!F29)</f>
        <v>56</v>
      </c>
      <c r="E29" s="2">
        <f>IF(ISBLANK('Paste Full'!G29),"",'Paste Full'!G29)</f>
        <v>81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0</v>
      </c>
      <c r="I29" s="22" t="str">
        <f>IF(ISBLANK('Paste Full'!D29),"",'Paste Full'!D29)</f>
        <v>D C</v>
      </c>
      <c r="J29" s="14">
        <f>AVERAGE(SUMPRODUCT($S29:$BM29,AttWeights!$C$10:$AW$10)/SUM(AttWeights!$C$10:$AW$10),SUMPRODUCT($S29:$BM29,AttWeights!$C$17:$AW$17)/SUM(AttWeights!$C$17:$AW$17))*10</f>
        <v>59.282624265864484</v>
      </c>
      <c r="K29" s="14">
        <f>AVERAGE(SUMPRODUCT($S29:$BM29,AttWeights!$C$7:$AW$7)/SUM(AttWeights!$C$7:$AW$7),SUMPRODUCT($S29:$BM29,AttWeights!$C$15:$AW$15)/SUM(AttWeights!$C$15:$AW$15))*10</f>
        <v>56.459343501131386</v>
      </c>
      <c r="L29" s="14">
        <f>AVERAGE(SUMPRODUCT($S29:$BM29,AttWeights!$C$8:$AW$8)/SUM(AttWeights!$C$8:$AW$8),SUMPRODUCT($S29:$BM29,AttWeights!$C$16:$AW$16)/SUM(AttWeights!$C$16:$AW$16))*10</f>
        <v>57.105464651334259</v>
      </c>
      <c r="M29" s="14">
        <f>AVERAGE(SUMPRODUCT($S29:$BM29,AttWeights!$C$9:$AW$9)/SUM(AttWeights!$C$9:$AW$9),SUMPRODUCT($S29:$BM29,AttWeights!$C$15:$AW$15)/SUM(AttWeights!$C$15:$AW$15))*10</f>
        <v>58.06710607088624</v>
      </c>
      <c r="N29" s="14">
        <f>AVERAGE(SUMPRODUCT($S29:$BM29,AttWeights!$C$6:$AW$6)/SUM(AttWeights!$C$6:$AW$6),SUMPRODUCT($S29:$BM29,AttWeights!$C$14:$AW$14)/SUM(AttWeights!$C$14:$AW$14))*10</f>
        <v>64.180040930633339</v>
      </c>
      <c r="O29" s="14">
        <f>AVERAGE(SUMPRODUCT($S29:$BM29,AttWeights!$C$5:$AW$5)/SUM(AttWeights!$C$5:$AW$5),SUMPRODUCT($S29:$BM29,AttWeights!$C$14:$AW$14)/SUM(AttWeights!$C$14:$AW$14))*10</f>
        <v>66.993990956687298</v>
      </c>
      <c r="P29" s="14">
        <f>AVERAGE(SUMPRODUCT($S29:$BM29,AttWeights!$C$4:$AW$4)/SUM(AttWeights!$C$4:$AW$4),SUMPRODUCT($S29:$BM29,AttWeights!$C$13:$AW$13)/SUM(AttWeights!$C$13:$AW$13))*10</f>
        <v>74.6875</v>
      </c>
      <c r="Q29" s="14">
        <f>AVERAGE(SUMPRODUCT($S29:$BM29,AttWeights!$C$3:$AW$3)/SUM(AttWeights!$C$3:$AW$3),SUMPRODUCT($S29:$BM29,AttWeights!$C$12:$AW$12)/SUM(AttWeights!$C$12:$AW$12))*10</f>
        <v>68.498435544430535</v>
      </c>
      <c r="R29" s="14">
        <f>AVERAGE(SUMPRODUCT($S29:$BM29,AttWeights!$C$2:$AW$2)/SUM(AttWeights!$C$2:$AW$2),SUMPRODUCT($S29:$BM29,AttWeights!$C$11:$AW$11)/SUM(AttWeights!$C$11:$AW$11))*10</f>
        <v>49.742892242892239</v>
      </c>
      <c r="S29" s="3">
        <f>IF(ISBLANK('Paste Full'!AC29),"",'Paste Full'!AC29)</f>
        <v>8</v>
      </c>
      <c r="T29" s="3">
        <f>IF(ISBLANK('Paste Full'!AD29),"",'Paste Full'!AD29)</f>
        <v>10</v>
      </c>
      <c r="U29" s="3">
        <f>IF(ISBLANK('Paste Full'!AE29),"",'Paste Full'!AE29)</f>
        <v>6</v>
      </c>
      <c r="V29" s="3">
        <f>IF(ISBLANK('Paste Full'!AF29),"",'Paste Full'!AF29)</f>
        <v>13</v>
      </c>
      <c r="W29" s="3">
        <f>IF(ISBLANK('Paste Full'!AH29),"",'Paste Full'!AH29)</f>
        <v>7</v>
      </c>
      <c r="X29" s="3">
        <f>IF(ISBLANK('Paste Full'!AI29),"",'Paste Full'!AI29)</f>
        <v>11</v>
      </c>
      <c r="Y29" s="3">
        <f>IF(ISBLANK('Paste Full'!AK29),"",'Paste Full'!AK29)</f>
        <v>5</v>
      </c>
      <c r="Z29" s="3">
        <f>IF(ISBLANK('Paste Full'!AL29),"",'Paste Full'!AL29)</f>
        <v>7</v>
      </c>
      <c r="AA29" s="4">
        <f>IF(ISBLANK('Paste Full'!AM29),"",'Paste Full'!AM29)</f>
        <v>1</v>
      </c>
      <c r="AB29" s="4">
        <f>IF(ISBLANK('Paste Full'!AN29),"",'Paste Full'!AN29)</f>
        <v>3</v>
      </c>
      <c r="AC29" s="4">
        <f>IF(ISBLANK('Paste Full'!AO29),"",'Paste Full'!AO29)</f>
        <v>1</v>
      </c>
      <c r="AD29" s="4">
        <f>IF(ISBLANK('Paste Full'!AP29),"",'Paste Full'!AP29)</f>
        <v>3</v>
      </c>
      <c r="AE29" s="4">
        <f>IF(ISBLANK('Paste Full'!AQ29),"",'Paste Full'!AQ29)</f>
        <v>2</v>
      </c>
      <c r="AF29" s="4">
        <f>IF(ISBLANK('Paste Full'!AR29),"",'Paste Full'!AR29)</f>
        <v>3</v>
      </c>
      <c r="AG29" s="4">
        <f>IF(ISBLANK('Paste Full'!AS29),"",'Paste Full'!AS29)</f>
        <v>2</v>
      </c>
      <c r="AH29" s="4">
        <f>IF(ISBLANK('Paste Full'!AV29),"",'Paste Full'!AV29)</f>
        <v>1</v>
      </c>
      <c r="AI29" s="4">
        <f>IF(ISBLANK('Paste Full'!AT29),"",'Paste Full'!AT29)</f>
        <v>2</v>
      </c>
      <c r="AJ29" s="4">
        <f>IF(ISBLANK('Paste Full'!AU29),"",'Paste Full'!AU29)</f>
        <v>2</v>
      </c>
      <c r="AK29" s="4">
        <f>IF(ISBLANK('Paste Full'!AW29),"",'Paste Full'!AW29)</f>
        <v>2</v>
      </c>
      <c r="AL29" s="5">
        <f>IF(ISBLANK('Paste Full'!AX29),"",'Paste Full'!AX29)</f>
        <v>10</v>
      </c>
      <c r="AM29" s="5">
        <f>IF(ISBLANK('Paste Full'!AY29),"",'Paste Full'!AY29)</f>
        <v>11</v>
      </c>
      <c r="AN29" s="5">
        <f>IF(ISBLANK('Paste Full'!AZ29),"",'Paste Full'!AZ29)</f>
        <v>7</v>
      </c>
      <c r="AO29" s="5">
        <f>IF(ISBLANK('Paste Full'!BA29),"",'Paste Full'!BA29)</f>
        <v>1</v>
      </c>
      <c r="AP29" s="5">
        <f>IF(ISBLANK('Paste Full'!BB29),"",'Paste Full'!BB29)</f>
        <v>8</v>
      </c>
      <c r="AQ29" s="5">
        <f>IF(ISBLANK('Paste Full'!BC29),"",'Paste Full'!BC29)</f>
        <v>13</v>
      </c>
      <c r="AR29" s="5">
        <f>IF(ISBLANK('Paste Full'!BD29),"",'Paste Full'!BD29)</f>
        <v>6</v>
      </c>
      <c r="AS29" s="5">
        <f>IF(ISBLANK('Paste Full'!BE29),"",'Paste Full'!BE29)</f>
        <v>5</v>
      </c>
      <c r="AT29" s="5">
        <f>IF(ISBLANK('Paste Full'!BF29),"",'Paste Full'!BF29)</f>
        <v>10</v>
      </c>
      <c r="AU29" s="5">
        <f>IF(ISBLANK('Paste Full'!BG29),"",'Paste Full'!BG29)</f>
        <v>3</v>
      </c>
      <c r="AV29" s="5">
        <f>IF(ISBLANK('Paste Full'!BH29),"",'Paste Full'!BH29)</f>
        <v>7</v>
      </c>
      <c r="AW29" s="5">
        <f>IF(ISBLANK('Paste Full'!BI29),"",'Paste Full'!BI29)</f>
        <v>3</v>
      </c>
      <c r="AX29" s="5">
        <f>IF(ISBLANK('Paste Full'!BJ29),"",'Paste Full'!BJ29)</f>
        <v>5</v>
      </c>
      <c r="AY29" s="5">
        <f>IF(ISBLANK('Paste Full'!BK29),"",'Paste Full'!BK29)</f>
        <v>4</v>
      </c>
      <c r="AZ29" s="6">
        <f>IF(ISBLANK('Paste Full'!BM29),"",'Paste Full'!BM29)</f>
        <v>1</v>
      </c>
      <c r="BA29" s="6">
        <f>IF(ISBLANK('Paste Full'!BN29),"",'Paste Full'!BN29)</f>
        <v>1</v>
      </c>
      <c r="BB29" s="6">
        <f>IF(ISBLANK('Paste Full'!BO29),"",'Paste Full'!BO29)</f>
        <v>1</v>
      </c>
      <c r="BC29" s="6">
        <f>IF(ISBLANK('Paste Full'!BP29),"",'Paste Full'!BP29)</f>
        <v>1</v>
      </c>
      <c r="BD29" s="6">
        <f>IF(ISBLANK('Paste Full'!BR29),"",'Paste Full'!BR29)</f>
        <v>12</v>
      </c>
      <c r="BE29" s="6">
        <f>IF(ISBLANK('Paste Full'!BS29),"",'Paste Full'!BS29)</f>
        <v>1</v>
      </c>
      <c r="BF29" s="6">
        <f>IF(ISBLANK('Paste Full'!BU29),"",'Paste Full'!BU29)</f>
        <v>13</v>
      </c>
      <c r="BG29" s="6">
        <f>IF(ISBLANK('Paste Full'!BV29),"",'Paste Full'!BV29)</f>
        <v>3</v>
      </c>
      <c r="BH29" s="6">
        <f>IF(ISBLANK('Paste Full'!BX29),"",'Paste Full'!BX29)</f>
        <v>10</v>
      </c>
      <c r="BI29" s="6">
        <f>IF(ISBLANK('Paste Full'!BY29),"",'Paste Full'!BY29)</f>
        <v>4</v>
      </c>
      <c r="BJ29" s="13">
        <f>IF(ISBLANK('Paste Full'!BL29),"",'Paste Full'!BL29)</f>
        <v>1</v>
      </c>
      <c r="BK29" s="13">
        <f>IF(ISBLANK('Paste Full'!BQ29),"",'Paste Full'!BQ29)</f>
        <v>1</v>
      </c>
      <c r="BL29" s="13">
        <f>IF(ISBLANK('Paste Full'!BT29),"",'Paste Full'!BT29)</f>
        <v>1</v>
      </c>
      <c r="BM29" s="13">
        <f>IF(ISBLANK('Paste Full'!BW29),"",'Paste Full'!BW29)</f>
        <v>1</v>
      </c>
    </row>
    <row r="30" spans="1:65" x14ac:dyDescent="0.3">
      <c r="A30" t="str">
        <f>IF(ISBLANK('Paste Full'!C30),"",'Paste Full'!C30)</f>
        <v>Freddie Hammond</v>
      </c>
      <c r="B30" t="str">
        <f t="shared" si="0"/>
        <v>D(R/L)</v>
      </c>
      <c r="C30" s="2">
        <f>IF(ISBLANK('Paste Full'!H30),"",'Paste Full'!H30)</f>
        <v>19</v>
      </c>
      <c r="D30" s="2">
        <f>IF(ISBLANK('Paste Full'!F30),"",'Paste Full'!F30)</f>
        <v>42</v>
      </c>
      <c r="E30" s="2">
        <f>IF(ISBLANK('Paste Full'!G30),"",'Paste Full'!G30)</f>
        <v>75</v>
      </c>
      <c r="F30" s="22" t="str">
        <f>IF(ISBLANK('Paste Full'!E30),"",'Paste Full'!E30)</f>
        <v>England</v>
      </c>
      <c r="G30" t="str">
        <f>IF(ISBLANK('Paste Full'!CI30),"",'Paste Full'!CI30)</f>
        <v>Brixham</v>
      </c>
      <c r="H30" s="22">
        <f>IF(ISBLANK('Paste Full'!J30),"",'Paste Full'!J30)</f>
        <v>0</v>
      </c>
      <c r="I30" s="22" t="str">
        <f>IF(ISBLANK('Paste Full'!D30),"",'Paste Full'!D30)</f>
        <v>D RL</v>
      </c>
      <c r="J30" s="14">
        <f>AVERAGE(SUMPRODUCT($S30:$BM30,AttWeights!$C$10:$AW$10)/SUM(AttWeights!$C$10:$AW$10),SUMPRODUCT($S30:$BM30,AttWeights!$C$17:$AW$17)/SUM(AttWeights!$C$17:$AW$17))*10</f>
        <v>60.382896433175759</v>
      </c>
      <c r="K30" s="14">
        <f>AVERAGE(SUMPRODUCT($S30:$BM30,AttWeights!$C$7:$AW$7)/SUM(AttWeights!$C$7:$AW$7),SUMPRODUCT($S30:$BM30,AttWeights!$C$15:$AW$15)/SUM(AttWeights!$C$15:$AW$15))*10</f>
        <v>62.007552381791996</v>
      </c>
      <c r="L30" s="14">
        <f>AVERAGE(SUMPRODUCT($S30:$BM30,AttWeights!$C$8:$AW$8)/SUM(AttWeights!$C$8:$AW$8),SUMPRODUCT($S30:$BM30,AttWeights!$C$16:$AW$16)/SUM(AttWeights!$C$16:$AW$16))*10</f>
        <v>63.648583501120157</v>
      </c>
      <c r="M30" s="14">
        <f>AVERAGE(SUMPRODUCT($S30:$BM30,AttWeights!$C$9:$AW$9)/SUM(AttWeights!$C$9:$AW$9),SUMPRODUCT($S30:$BM30,AttWeights!$C$15:$AW$15)/SUM(AttWeights!$C$15:$AW$15))*10</f>
        <v>64.677393299085651</v>
      </c>
      <c r="N30" s="14">
        <f>AVERAGE(SUMPRODUCT($S30:$BM30,AttWeights!$C$6:$AW$6)/SUM(AttWeights!$C$6:$AW$6),SUMPRODUCT($S30:$BM30,AttWeights!$C$14:$AW$14)/SUM(AttWeights!$C$14:$AW$14))*10</f>
        <v>65.948809780267112</v>
      </c>
      <c r="O30" s="14">
        <f>AVERAGE(SUMPRODUCT($S30:$BM30,AttWeights!$C$5:$AW$5)/SUM(AttWeights!$C$5:$AW$5),SUMPRODUCT($S30:$BM30,AttWeights!$C$14:$AW$14)/SUM(AttWeights!$C$14:$AW$14))*10</f>
        <v>66.806728938600656</v>
      </c>
      <c r="P30" s="14">
        <f>AVERAGE(SUMPRODUCT($S30:$BM30,AttWeights!$C$4:$AW$4)/SUM(AttWeights!$C$4:$AW$4),SUMPRODUCT($S30:$BM30,AttWeights!$C$13:$AW$13)/SUM(AttWeights!$C$13:$AW$13))*10</f>
        <v>67.884615384615387</v>
      </c>
      <c r="Q30" s="14">
        <f>AVERAGE(SUMPRODUCT($S30:$BM30,AttWeights!$C$3:$AW$3)/SUM(AttWeights!$C$3:$AW$3),SUMPRODUCT($S30:$BM30,AttWeights!$C$12:$AW$12)/SUM(AttWeights!$C$12:$AW$12))*10</f>
        <v>68.984981226533165</v>
      </c>
      <c r="R30" s="14">
        <f>AVERAGE(SUMPRODUCT($S30:$BM30,AttWeights!$C$2:$AW$2)/SUM(AttWeights!$C$2:$AW$2),SUMPRODUCT($S30:$BM30,AttWeights!$C$11:$AW$11)/SUM(AttWeights!$C$11:$AW$11))*10</f>
        <v>47.490347490347489</v>
      </c>
      <c r="S30" s="3">
        <f>IF(ISBLANK('Paste Full'!AC30),"",'Paste Full'!AC30)</f>
        <v>13</v>
      </c>
      <c r="T30" s="3">
        <f>IF(ISBLANK('Paste Full'!AD30),"",'Paste Full'!AD30)</f>
        <v>9</v>
      </c>
      <c r="U30" s="3">
        <f>IF(ISBLANK('Paste Full'!AE30),"",'Paste Full'!AE30)</f>
        <v>3</v>
      </c>
      <c r="V30" s="3">
        <f>IF(ISBLANK('Paste Full'!AF30),"",'Paste Full'!AF30)</f>
        <v>11</v>
      </c>
      <c r="W30" s="3">
        <f>IF(ISBLANK('Paste Full'!AH30),"",'Paste Full'!AH30)</f>
        <v>7</v>
      </c>
      <c r="X30" s="3">
        <f>IF(ISBLANK('Paste Full'!AI30),"",'Paste Full'!AI30)</f>
        <v>12</v>
      </c>
      <c r="Y30" s="3">
        <f>IF(ISBLANK('Paste Full'!AK30),"",'Paste Full'!AK30)</f>
        <v>5</v>
      </c>
      <c r="Z30" s="3">
        <f>IF(ISBLANK('Paste Full'!AL30),"",'Paste Full'!AL30)</f>
        <v>4</v>
      </c>
      <c r="AA30" s="4">
        <f>IF(ISBLANK('Paste Full'!AM30),"",'Paste Full'!AM30)</f>
        <v>3</v>
      </c>
      <c r="AB30" s="4">
        <f>IF(ISBLANK('Paste Full'!AN30),"",'Paste Full'!AN30)</f>
        <v>3</v>
      </c>
      <c r="AC30" s="4">
        <f>IF(ISBLANK('Paste Full'!AO30),"",'Paste Full'!AO30)</f>
        <v>3</v>
      </c>
      <c r="AD30" s="4">
        <f>IF(ISBLANK('Paste Full'!AP30),"",'Paste Full'!AP30)</f>
        <v>1</v>
      </c>
      <c r="AE30" s="4">
        <f>IF(ISBLANK('Paste Full'!AQ30),"",'Paste Full'!AQ30)</f>
        <v>1</v>
      </c>
      <c r="AF30" s="4">
        <f>IF(ISBLANK('Paste Full'!AR30),"",'Paste Full'!AR30)</f>
        <v>2</v>
      </c>
      <c r="AG30" s="4">
        <f>IF(ISBLANK('Paste Full'!AS30),"",'Paste Full'!AS30)</f>
        <v>1</v>
      </c>
      <c r="AH30" s="4">
        <f>IF(ISBLANK('Paste Full'!AV30),"",'Paste Full'!AV30)</f>
        <v>1</v>
      </c>
      <c r="AI30" s="4">
        <f>IF(ISBLANK('Paste Full'!AT30),"",'Paste Full'!AT30)</f>
        <v>3</v>
      </c>
      <c r="AJ30" s="4">
        <f>IF(ISBLANK('Paste Full'!AU30),"",'Paste Full'!AU30)</f>
        <v>1</v>
      </c>
      <c r="AK30" s="4">
        <f>IF(ISBLANK('Paste Full'!AW30),"",'Paste Full'!AW30)</f>
        <v>2</v>
      </c>
      <c r="AL30" s="5">
        <f>IF(ISBLANK('Paste Full'!AX30),"",'Paste Full'!AX30)</f>
        <v>6</v>
      </c>
      <c r="AM30" s="5">
        <f>IF(ISBLANK('Paste Full'!AY30),"",'Paste Full'!AY30)</f>
        <v>7</v>
      </c>
      <c r="AN30" s="5">
        <f>IF(ISBLANK('Paste Full'!AZ30),"",'Paste Full'!AZ30)</f>
        <v>7</v>
      </c>
      <c r="AO30" s="5">
        <f>IF(ISBLANK('Paste Full'!BA30),"",'Paste Full'!BA30)</f>
        <v>4</v>
      </c>
      <c r="AP30" s="5">
        <f>IF(ISBLANK('Paste Full'!BB30),"",'Paste Full'!BB30)</f>
        <v>7</v>
      </c>
      <c r="AQ30" s="5">
        <f>IF(ISBLANK('Paste Full'!BC30),"",'Paste Full'!BC30)</f>
        <v>13</v>
      </c>
      <c r="AR30" s="5">
        <f>IF(ISBLANK('Paste Full'!BD30),"",'Paste Full'!BD30)</f>
        <v>4</v>
      </c>
      <c r="AS30" s="5">
        <f>IF(ISBLANK('Paste Full'!BE30),"",'Paste Full'!BE30)</f>
        <v>9</v>
      </c>
      <c r="AT30" s="5">
        <f>IF(ISBLANK('Paste Full'!BF30),"",'Paste Full'!BF30)</f>
        <v>10</v>
      </c>
      <c r="AU30" s="5">
        <f>IF(ISBLANK('Paste Full'!BG30),"",'Paste Full'!BG30)</f>
        <v>2</v>
      </c>
      <c r="AV30" s="5">
        <f>IF(ISBLANK('Paste Full'!BH30),"",'Paste Full'!BH30)</f>
        <v>5</v>
      </c>
      <c r="AW30" s="5">
        <f>IF(ISBLANK('Paste Full'!BI30),"",'Paste Full'!BI30)</f>
        <v>6</v>
      </c>
      <c r="AX30" s="5">
        <f>IF(ISBLANK('Paste Full'!BJ30),"",'Paste Full'!BJ30)</f>
        <v>6</v>
      </c>
      <c r="AY30" s="5">
        <f>IF(ISBLANK('Paste Full'!BK30),"",'Paste Full'!BK30)</f>
        <v>6</v>
      </c>
      <c r="AZ30" s="6">
        <f>IF(ISBLANK('Paste Full'!BM30),"",'Paste Full'!BM30)</f>
        <v>10</v>
      </c>
      <c r="BA30" s="6">
        <f>IF(ISBLANK('Paste Full'!BN30),"",'Paste Full'!BN30)</f>
        <v>5</v>
      </c>
      <c r="BB30" s="6">
        <f>IF(ISBLANK('Paste Full'!BO30),"",'Paste Full'!BO30)</f>
        <v>1</v>
      </c>
      <c r="BC30" s="6">
        <f>IF(ISBLANK('Paste Full'!BP30),"",'Paste Full'!BP30)</f>
        <v>8</v>
      </c>
      <c r="BD30" s="6">
        <f>IF(ISBLANK('Paste Full'!BR30),"",'Paste Full'!BR30)</f>
        <v>5</v>
      </c>
      <c r="BE30" s="6">
        <f>IF(ISBLANK('Paste Full'!BS30),"",'Paste Full'!BS30)</f>
        <v>1</v>
      </c>
      <c r="BF30" s="6">
        <f>IF(ISBLANK('Paste Full'!BU30),"",'Paste Full'!BU30)</f>
        <v>7</v>
      </c>
      <c r="BG30" s="6">
        <f>IF(ISBLANK('Paste Full'!BV30),"",'Paste Full'!BV30)</f>
        <v>4</v>
      </c>
      <c r="BH30" s="6">
        <f>IF(ISBLANK('Paste Full'!BX30),"",'Paste Full'!BX30)</f>
        <v>12</v>
      </c>
      <c r="BI30" s="6">
        <f>IF(ISBLANK('Paste Full'!BY30),"",'Paste Full'!BY30)</f>
        <v>5</v>
      </c>
      <c r="BJ30" s="13">
        <f>IF(ISBLANK('Paste Full'!BL30),"",'Paste Full'!BL30)</f>
        <v>4</v>
      </c>
      <c r="BK30" s="13">
        <f>IF(ISBLANK('Paste Full'!BQ30),"",'Paste Full'!BQ30)</f>
        <v>2</v>
      </c>
      <c r="BL30" s="13">
        <f>IF(ISBLANK('Paste Full'!BT30),"",'Paste Full'!BT30)</f>
        <v>4</v>
      </c>
      <c r="BM30" s="13">
        <f>IF(ISBLANK('Paste Full'!BW30),"",'Paste Full'!BW30)</f>
        <v>1</v>
      </c>
    </row>
    <row r="31" spans="1:65" x14ac:dyDescent="0.3">
      <c r="A31" t="str">
        <f>IF(ISBLANK('Paste Full'!C31),"",'Paste Full'!C31)</f>
        <v>Gabe Reivers</v>
      </c>
      <c r="B31" t="str">
        <f t="shared" si="0"/>
        <v>AM(C)</v>
      </c>
      <c r="C31" s="2">
        <f>IF(ISBLANK('Paste Full'!H31),"",'Paste Full'!H31)</f>
        <v>20</v>
      </c>
      <c r="D31" s="2">
        <f>IF(ISBLANK('Paste Full'!F31),"",'Paste Full'!F31)</f>
        <v>52</v>
      </c>
      <c r="E31" s="2">
        <f>IF(ISBLANK('Paste Full'!G31),"",'Paste Full'!G31)</f>
        <v>81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0</v>
      </c>
      <c r="I31" s="22" t="str">
        <f>IF(ISBLANK('Paste Full'!D31),"",'Paste Full'!D31)</f>
        <v>M/AM C</v>
      </c>
      <c r="J31" s="14">
        <f>AVERAGE(SUMPRODUCT($S31:$BM31,AttWeights!$C$10:$AW$10)/SUM(AttWeights!$C$10:$AW$10),SUMPRODUCT($S31:$BM31,AttWeights!$C$17:$AW$17)/SUM(AttWeights!$C$17:$AW$17))*10</f>
        <v>69.41426729694885</v>
      </c>
      <c r="K31" s="14">
        <f>AVERAGE(SUMPRODUCT($S31:$BM31,AttWeights!$C$7:$AW$7)/SUM(AttWeights!$C$7:$AW$7),SUMPRODUCT($S31:$BM31,AttWeights!$C$15:$AW$15)/SUM(AttWeights!$C$15:$AW$15))*10</f>
        <v>71.244820594199069</v>
      </c>
      <c r="L31" s="14">
        <f>AVERAGE(SUMPRODUCT($S31:$BM31,AttWeights!$C$8:$AW$8)/SUM(AttWeights!$C$8:$AW$8),SUMPRODUCT($S31:$BM31,AttWeights!$C$16:$AW$16)/SUM(AttWeights!$C$16:$AW$16))*10</f>
        <v>72.439384056943538</v>
      </c>
      <c r="M31" s="14">
        <f>AVERAGE(SUMPRODUCT($S31:$BM31,AttWeights!$C$9:$AW$9)/SUM(AttWeights!$C$9:$AW$9),SUMPRODUCT($S31:$BM31,AttWeights!$C$15:$AW$15)/SUM(AttWeights!$C$15:$AW$15))*10</f>
        <v>70.058641077832704</v>
      </c>
      <c r="N31" s="14">
        <f>AVERAGE(SUMPRODUCT($S31:$BM31,AttWeights!$C$6:$AW$6)/SUM(AttWeights!$C$6:$AW$6),SUMPRODUCT($S31:$BM31,AttWeights!$C$14:$AW$14)/SUM(AttWeights!$C$14:$AW$14))*10</f>
        <v>69.002450452391201</v>
      </c>
      <c r="O31" s="14">
        <f>AVERAGE(SUMPRODUCT($S31:$BM31,AttWeights!$C$5:$AW$5)/SUM(AttWeights!$C$5:$AW$5),SUMPRODUCT($S31:$BM31,AttWeights!$C$14:$AW$14)/SUM(AttWeights!$C$14:$AW$14))*10</f>
        <v>65.372887910518799</v>
      </c>
      <c r="P31" s="14">
        <f>AVERAGE(SUMPRODUCT($S31:$BM31,AttWeights!$C$4:$AW$4)/SUM(AttWeights!$C$4:$AW$4),SUMPRODUCT($S31:$BM31,AttWeights!$C$13:$AW$13)/SUM(AttWeights!$C$13:$AW$13))*10</f>
        <v>65.944368131868146</v>
      </c>
      <c r="Q31" s="14">
        <f>AVERAGE(SUMPRODUCT($S31:$BM31,AttWeights!$C$3:$AW$3)/SUM(AttWeights!$C$3:$AW$3),SUMPRODUCT($S31:$BM31,AttWeights!$C$12:$AW$12)/SUM(AttWeights!$C$12:$AW$12))*10</f>
        <v>64.377033792240297</v>
      </c>
      <c r="R31" s="14">
        <f>AVERAGE(SUMPRODUCT($S31:$BM31,AttWeights!$C$2:$AW$2)/SUM(AttWeights!$C$2:$AW$2),SUMPRODUCT($S31:$BM31,AttWeights!$C$11:$AW$11)/SUM(AttWeights!$C$11:$AW$11))*10</f>
        <v>42.194190944190943</v>
      </c>
      <c r="S31" s="3">
        <f>IF(ISBLANK('Paste Full'!AC31),"",'Paste Full'!AC31)</f>
        <v>7</v>
      </c>
      <c r="T31" s="3">
        <f>IF(ISBLANK('Paste Full'!AD31),"",'Paste Full'!AD31)</f>
        <v>11</v>
      </c>
      <c r="U31" s="3">
        <f>IF(ISBLANK('Paste Full'!AE31),"",'Paste Full'!AE31)</f>
        <v>5</v>
      </c>
      <c r="V31" s="3">
        <f>IF(ISBLANK('Paste Full'!AF31),"",'Paste Full'!AF31)</f>
        <v>11</v>
      </c>
      <c r="W31" s="3">
        <f>IF(ISBLANK('Paste Full'!AH31),"",'Paste Full'!AH31)</f>
        <v>7</v>
      </c>
      <c r="X31" s="3">
        <f>IF(ISBLANK('Paste Full'!AI31),"",'Paste Full'!AI31)</f>
        <v>12</v>
      </c>
      <c r="Y31" s="3">
        <f>IF(ISBLANK('Paste Full'!AK31),"",'Paste Full'!AK31)</f>
        <v>7</v>
      </c>
      <c r="Z31" s="3">
        <f>IF(ISBLANK('Paste Full'!AL31),"",'Paste Full'!AL31)</f>
        <v>3</v>
      </c>
      <c r="AA31" s="4">
        <f>IF(ISBLANK('Paste Full'!AM31),"",'Paste Full'!AM31)</f>
        <v>2</v>
      </c>
      <c r="AB31" s="4">
        <f>IF(ISBLANK('Paste Full'!AN31),"",'Paste Full'!AN31)</f>
        <v>1</v>
      </c>
      <c r="AC31" s="4">
        <f>IF(ISBLANK('Paste Full'!AO31),"",'Paste Full'!AO31)</f>
        <v>2</v>
      </c>
      <c r="AD31" s="4">
        <f>IF(ISBLANK('Paste Full'!AP31),"",'Paste Full'!AP31)</f>
        <v>1</v>
      </c>
      <c r="AE31" s="4">
        <f>IF(ISBLANK('Paste Full'!AQ31),"",'Paste Full'!AQ31)</f>
        <v>1</v>
      </c>
      <c r="AF31" s="4">
        <f>IF(ISBLANK('Paste Full'!AR31),"",'Paste Full'!AR31)</f>
        <v>1</v>
      </c>
      <c r="AG31" s="4">
        <f>IF(ISBLANK('Paste Full'!AS31),"",'Paste Full'!AS31)</f>
        <v>2</v>
      </c>
      <c r="AH31" s="4">
        <f>IF(ISBLANK('Paste Full'!AV31),"",'Paste Full'!AV31)</f>
        <v>3</v>
      </c>
      <c r="AI31" s="4">
        <f>IF(ISBLANK('Paste Full'!AT31),"",'Paste Full'!AT31)</f>
        <v>1</v>
      </c>
      <c r="AJ31" s="4">
        <f>IF(ISBLANK('Paste Full'!AU31),"",'Paste Full'!AU31)</f>
        <v>1</v>
      </c>
      <c r="AK31" s="4">
        <f>IF(ISBLANK('Paste Full'!AW31),"",'Paste Full'!AW31)</f>
        <v>2</v>
      </c>
      <c r="AL31" s="5">
        <f>IF(ISBLANK('Paste Full'!AX31),"",'Paste Full'!AX31)</f>
        <v>10</v>
      </c>
      <c r="AM31" s="5">
        <f>IF(ISBLANK('Paste Full'!AY31),"",'Paste Full'!AY31)</f>
        <v>7</v>
      </c>
      <c r="AN31" s="5">
        <f>IF(ISBLANK('Paste Full'!AZ31),"",'Paste Full'!AZ31)</f>
        <v>6</v>
      </c>
      <c r="AO31" s="5">
        <f>IF(ISBLANK('Paste Full'!BA31),"",'Paste Full'!BA31)</f>
        <v>7</v>
      </c>
      <c r="AP31" s="5">
        <f>IF(ISBLANK('Paste Full'!BB31),"",'Paste Full'!BB31)</f>
        <v>4</v>
      </c>
      <c r="AQ31" s="5">
        <f>IF(ISBLANK('Paste Full'!BC31),"",'Paste Full'!BC31)</f>
        <v>12</v>
      </c>
      <c r="AR31" s="5">
        <f>IF(ISBLANK('Paste Full'!BD31),"",'Paste Full'!BD31)</f>
        <v>5</v>
      </c>
      <c r="AS31" s="5">
        <f>IF(ISBLANK('Paste Full'!BE31),"",'Paste Full'!BE31)</f>
        <v>12</v>
      </c>
      <c r="AT31" s="5">
        <f>IF(ISBLANK('Paste Full'!BF31),"",'Paste Full'!BF31)</f>
        <v>2</v>
      </c>
      <c r="AU31" s="5">
        <f>IF(ISBLANK('Paste Full'!BG31),"",'Paste Full'!BG31)</f>
        <v>8</v>
      </c>
      <c r="AV31" s="5">
        <f>IF(ISBLANK('Paste Full'!BH31),"",'Paste Full'!BH31)</f>
        <v>4</v>
      </c>
      <c r="AW31" s="5">
        <f>IF(ISBLANK('Paste Full'!BI31),"",'Paste Full'!BI31)</f>
        <v>5</v>
      </c>
      <c r="AX31" s="5">
        <f>IF(ISBLANK('Paste Full'!BJ31),"",'Paste Full'!BJ31)</f>
        <v>11</v>
      </c>
      <c r="AY31" s="5">
        <f>IF(ISBLANK('Paste Full'!BK31),"",'Paste Full'!BK31)</f>
        <v>10</v>
      </c>
      <c r="AZ31" s="6">
        <f>IF(ISBLANK('Paste Full'!BM31),"",'Paste Full'!BM31)</f>
        <v>3</v>
      </c>
      <c r="BA31" s="6">
        <f>IF(ISBLANK('Paste Full'!BN31),"",'Paste Full'!BN31)</f>
        <v>7</v>
      </c>
      <c r="BB31" s="6">
        <f>IF(ISBLANK('Paste Full'!BO31),"",'Paste Full'!BO31)</f>
        <v>8</v>
      </c>
      <c r="BC31" s="6">
        <f>IF(ISBLANK('Paste Full'!BP31),"",'Paste Full'!BP31)</f>
        <v>13</v>
      </c>
      <c r="BD31" s="6">
        <f>IF(ISBLANK('Paste Full'!BR31),"",'Paste Full'!BR31)</f>
        <v>4</v>
      </c>
      <c r="BE31" s="6">
        <f>IF(ISBLANK('Paste Full'!BS31),"",'Paste Full'!BS31)</f>
        <v>5</v>
      </c>
      <c r="BF31" s="6">
        <f>IF(ISBLANK('Paste Full'!BU31),"",'Paste Full'!BU31)</f>
        <v>7</v>
      </c>
      <c r="BG31" s="6">
        <f>IF(ISBLANK('Paste Full'!BV31),"",'Paste Full'!BV31)</f>
        <v>6</v>
      </c>
      <c r="BH31" s="6">
        <f>IF(ISBLANK('Paste Full'!BX31),"",'Paste Full'!BX31)</f>
        <v>5</v>
      </c>
      <c r="BI31" s="6">
        <f>IF(ISBLANK('Paste Full'!BY31),"",'Paste Full'!BY31)</f>
        <v>12</v>
      </c>
      <c r="BJ31" s="13">
        <f>IF(ISBLANK('Paste Full'!BL31),"",'Paste Full'!BL31)</f>
        <v>4</v>
      </c>
      <c r="BK31" s="13">
        <f>IF(ISBLANK('Paste Full'!BQ31),"",'Paste Full'!BQ31)</f>
        <v>3</v>
      </c>
      <c r="BL31" s="13">
        <f>IF(ISBLANK('Paste Full'!BT31),"",'Paste Full'!BT31)</f>
        <v>3</v>
      </c>
      <c r="BM31" s="13">
        <f>IF(ISBLANK('Paste Full'!BW31),"",'Paste Full'!BW31)</f>
        <v>2</v>
      </c>
    </row>
    <row r="32" spans="1:65" x14ac:dyDescent="0.3">
      <c r="A32" t="str">
        <f>IF(ISBLANK('Paste Full'!C32),"",'Paste Full'!C32)</f>
        <v>Jake Hicks</v>
      </c>
      <c r="B32" t="str">
        <f t="shared" si="0"/>
        <v>AM(L)</v>
      </c>
      <c r="C32" s="2">
        <f>IF(ISBLANK('Paste Full'!H32),"",'Paste Full'!H32)</f>
        <v>19</v>
      </c>
      <c r="D32" s="2">
        <f>IF(ISBLANK('Paste Full'!F32),"",'Paste Full'!F32)</f>
        <v>57</v>
      </c>
      <c r="E32" s="2">
        <f>IF(ISBLANK('Paste Full'!G32),"",'Paste Full'!G32)</f>
        <v>70</v>
      </c>
      <c r="F32" s="22" t="str">
        <f>IF(ISBLANK('Paste Full'!E32),"",'Paste Full'!E32)</f>
        <v>England</v>
      </c>
      <c r="G32" t="str">
        <f>IF(ISBLANK('Paste Full'!CI32),"",'Paste Full'!CI32)</f>
        <v>Brixham</v>
      </c>
      <c r="H32" s="22">
        <f>IF(ISBLANK('Paste Full'!J32),"",'Paste Full'!J32)</f>
        <v>8774</v>
      </c>
      <c r="I32" s="22" t="str">
        <f>IF(ISBLANK('Paste Full'!D32),"",'Paste Full'!D32)</f>
        <v>DM/M C</v>
      </c>
      <c r="J32" s="14">
        <f>AVERAGE(SUMPRODUCT($S32:$BM32,AttWeights!$C$10:$AW$10)/SUM(AttWeights!$C$10:$AW$10),SUMPRODUCT($S32:$BM32,AttWeights!$C$17:$AW$17)/SUM(AttWeights!$C$17:$AW$17))*10</f>
        <v>78.129064603924945</v>
      </c>
      <c r="K32" s="14">
        <f>AVERAGE(SUMPRODUCT($S32:$BM32,AttWeights!$C$7:$AW$7)/SUM(AttWeights!$C$7:$AW$7),SUMPRODUCT($S32:$BM32,AttWeights!$C$15:$AW$15)/SUM(AttWeights!$C$15:$AW$15))*10</f>
        <v>85.162949249169827</v>
      </c>
      <c r="L32" s="14">
        <f>AVERAGE(SUMPRODUCT($S32:$BM32,AttWeights!$C$8:$AW$8)/SUM(AttWeights!$C$8:$AW$8),SUMPRODUCT($S32:$BM32,AttWeights!$C$16:$AW$16)/SUM(AttWeights!$C$16:$AW$16))*10</f>
        <v>84.808723024132945</v>
      </c>
      <c r="M32" s="14">
        <f>AVERAGE(SUMPRODUCT($S32:$BM32,AttWeights!$C$9:$AW$9)/SUM(AttWeights!$C$9:$AW$9),SUMPRODUCT($S32:$BM32,AttWeights!$C$15:$AW$15)/SUM(AttWeights!$C$15:$AW$15))*10</f>
        <v>85.081742108494069</v>
      </c>
      <c r="N32" s="14">
        <f>AVERAGE(SUMPRODUCT($S32:$BM32,AttWeights!$C$6:$AW$6)/SUM(AttWeights!$C$6:$AW$6),SUMPRODUCT($S32:$BM32,AttWeights!$C$14:$AW$14)/SUM(AttWeights!$C$14:$AW$14))*10</f>
        <v>81.739686557518326</v>
      </c>
      <c r="O32" s="14">
        <f>AVERAGE(SUMPRODUCT($S32:$BM32,AttWeights!$C$5:$AW$5)/SUM(AttWeights!$C$5:$AW$5),SUMPRODUCT($S32:$BM32,AttWeights!$C$14:$AW$14)/SUM(AttWeights!$C$14:$AW$14))*10</f>
        <v>80.730158257972391</v>
      </c>
      <c r="P32" s="14">
        <f>AVERAGE(SUMPRODUCT($S32:$BM32,AttWeights!$C$4:$AW$4)/SUM(AttWeights!$C$4:$AW$4),SUMPRODUCT($S32:$BM32,AttWeights!$C$13:$AW$13)/SUM(AttWeights!$C$13:$AW$13))*10</f>
        <v>75.98557692307692</v>
      </c>
      <c r="Q32" s="14">
        <f>AVERAGE(SUMPRODUCT($S32:$BM32,AttWeights!$C$3:$AW$3)/SUM(AttWeights!$C$3:$AW$3),SUMPRODUCT($S32:$BM32,AttWeights!$C$12:$AW$12)/SUM(AttWeights!$C$12:$AW$12))*10</f>
        <v>79.763767209011263</v>
      </c>
      <c r="R32" s="14">
        <f>AVERAGE(SUMPRODUCT($S32:$BM32,AttWeights!$C$2:$AW$2)/SUM(AttWeights!$C$2:$AW$2),SUMPRODUCT($S32:$BM32,AttWeights!$C$11:$AW$11)/SUM(AttWeights!$C$11:$AW$11))*10</f>
        <v>56.69138294138294</v>
      </c>
      <c r="S32" s="3">
        <f>IF(ISBLANK('Paste Full'!AC32),"",'Paste Full'!AC32)</f>
        <v>9</v>
      </c>
      <c r="T32" s="3">
        <f>IF(ISBLANK('Paste Full'!AD32),"",'Paste Full'!AD32)</f>
        <v>13</v>
      </c>
      <c r="U32" s="3">
        <f>IF(ISBLANK('Paste Full'!AE32),"",'Paste Full'!AE32)</f>
        <v>10</v>
      </c>
      <c r="V32" s="3">
        <f>IF(ISBLANK('Paste Full'!AF32),"",'Paste Full'!AF32)</f>
        <v>8</v>
      </c>
      <c r="W32" s="3">
        <f>IF(ISBLANK('Paste Full'!AH32),"",'Paste Full'!AH32)</f>
        <v>7</v>
      </c>
      <c r="X32" s="3">
        <f>IF(ISBLANK('Paste Full'!AI32),"",'Paste Full'!AI32)</f>
        <v>9</v>
      </c>
      <c r="Y32" s="3">
        <f>IF(ISBLANK('Paste Full'!AK32),"",'Paste Full'!AK32)</f>
        <v>12</v>
      </c>
      <c r="Z32" s="3">
        <f>IF(ISBLANK('Paste Full'!AL32),"",'Paste Full'!AL32)</f>
        <v>7</v>
      </c>
      <c r="AA32" s="4">
        <f>IF(ISBLANK('Paste Full'!AM32),"",'Paste Full'!AM32)</f>
        <v>3</v>
      </c>
      <c r="AB32" s="4">
        <f>IF(ISBLANK('Paste Full'!AN32),"",'Paste Full'!AN32)</f>
        <v>3</v>
      </c>
      <c r="AC32" s="4">
        <f>IF(ISBLANK('Paste Full'!AO32),"",'Paste Full'!AO32)</f>
        <v>3</v>
      </c>
      <c r="AD32" s="4">
        <f>IF(ISBLANK('Paste Full'!AP32),"",'Paste Full'!AP32)</f>
        <v>2</v>
      </c>
      <c r="AE32" s="4">
        <f>IF(ISBLANK('Paste Full'!AQ32),"",'Paste Full'!AQ32)</f>
        <v>1</v>
      </c>
      <c r="AF32" s="4">
        <f>IF(ISBLANK('Paste Full'!AR32),"",'Paste Full'!AR32)</f>
        <v>3</v>
      </c>
      <c r="AG32" s="4">
        <f>IF(ISBLANK('Paste Full'!AS32),"",'Paste Full'!AS32)</f>
        <v>2</v>
      </c>
      <c r="AH32" s="4">
        <f>IF(ISBLANK('Paste Full'!AV32),"",'Paste Full'!AV32)</f>
        <v>2</v>
      </c>
      <c r="AI32" s="4">
        <f>IF(ISBLANK('Paste Full'!AT32),"",'Paste Full'!AT32)</f>
        <v>3</v>
      </c>
      <c r="AJ32" s="4">
        <f>IF(ISBLANK('Paste Full'!AU32),"",'Paste Full'!AU32)</f>
        <v>1</v>
      </c>
      <c r="AK32" s="4">
        <f>IF(ISBLANK('Paste Full'!AW32),"",'Paste Full'!AW32)</f>
        <v>3</v>
      </c>
      <c r="AL32" s="5">
        <f>IF(ISBLANK('Paste Full'!AX32),"",'Paste Full'!AX32)</f>
        <v>15</v>
      </c>
      <c r="AM32" s="5">
        <f>IF(ISBLANK('Paste Full'!AY32),"",'Paste Full'!AY32)</f>
        <v>10</v>
      </c>
      <c r="AN32" s="5">
        <f>IF(ISBLANK('Paste Full'!AZ32),"",'Paste Full'!AZ32)</f>
        <v>6</v>
      </c>
      <c r="AO32" s="5">
        <f>IF(ISBLANK('Paste Full'!BA32),"",'Paste Full'!BA32)</f>
        <v>9</v>
      </c>
      <c r="AP32" s="5">
        <f>IF(ISBLANK('Paste Full'!BB32),"",'Paste Full'!BB32)</f>
        <v>6</v>
      </c>
      <c r="AQ32" s="5">
        <f>IF(ISBLANK('Paste Full'!BC32),"",'Paste Full'!BC32)</f>
        <v>6</v>
      </c>
      <c r="AR32" s="5">
        <f>IF(ISBLANK('Paste Full'!BD32),"",'Paste Full'!BD32)</f>
        <v>16</v>
      </c>
      <c r="AS32" s="5">
        <f>IF(ISBLANK('Paste Full'!BE32),"",'Paste Full'!BE32)</f>
        <v>5</v>
      </c>
      <c r="AT32" s="5">
        <f>IF(ISBLANK('Paste Full'!BF32),"",'Paste Full'!BF32)</f>
        <v>7</v>
      </c>
      <c r="AU32" s="5">
        <f>IF(ISBLANK('Paste Full'!BG32),"",'Paste Full'!BG32)</f>
        <v>9</v>
      </c>
      <c r="AV32" s="5">
        <f>IF(ISBLANK('Paste Full'!BH32),"",'Paste Full'!BH32)</f>
        <v>8</v>
      </c>
      <c r="AW32" s="5">
        <f>IF(ISBLANK('Paste Full'!BI32),"",'Paste Full'!BI32)</f>
        <v>11</v>
      </c>
      <c r="AX32" s="5">
        <f>IF(ISBLANK('Paste Full'!BJ32),"",'Paste Full'!BJ32)</f>
        <v>10</v>
      </c>
      <c r="AY32" s="5">
        <f>IF(ISBLANK('Paste Full'!BK32),"",'Paste Full'!BK32)</f>
        <v>14</v>
      </c>
      <c r="AZ32" s="6">
        <f>IF(ISBLANK('Paste Full'!BM32),"",'Paste Full'!BM32)</f>
        <v>6</v>
      </c>
      <c r="BA32" s="6">
        <f>IF(ISBLANK('Paste Full'!BN32),"",'Paste Full'!BN32)</f>
        <v>3</v>
      </c>
      <c r="BB32" s="6">
        <f>IF(ISBLANK('Paste Full'!BO32),"",'Paste Full'!BO32)</f>
        <v>7</v>
      </c>
      <c r="BC32" s="6">
        <f>IF(ISBLANK('Paste Full'!BP32),"",'Paste Full'!BP32)</f>
        <v>9</v>
      </c>
      <c r="BD32" s="6">
        <f>IF(ISBLANK('Paste Full'!BR32),"",'Paste Full'!BR32)</f>
        <v>3</v>
      </c>
      <c r="BE32" s="6">
        <f>IF(ISBLANK('Paste Full'!BS32),"",'Paste Full'!BS32)</f>
        <v>9</v>
      </c>
      <c r="BF32" s="6">
        <f>IF(ISBLANK('Paste Full'!BU32),"",'Paste Full'!BU32)</f>
        <v>5</v>
      </c>
      <c r="BG32" s="6">
        <f>IF(ISBLANK('Paste Full'!BV32),"",'Paste Full'!BV32)</f>
        <v>8</v>
      </c>
      <c r="BH32" s="6">
        <f>IF(ISBLANK('Paste Full'!BX32),"",'Paste Full'!BX32)</f>
        <v>5</v>
      </c>
      <c r="BI32" s="6">
        <f>IF(ISBLANK('Paste Full'!BY32),"",'Paste Full'!BY32)</f>
        <v>13</v>
      </c>
      <c r="BJ32" s="13">
        <f>IF(ISBLANK('Paste Full'!BL32),"",'Paste Full'!BL32)</f>
        <v>7</v>
      </c>
      <c r="BK32" s="13">
        <f>IF(ISBLANK('Paste Full'!BQ32),"",'Paste Full'!BQ32)</f>
        <v>7</v>
      </c>
      <c r="BL32" s="13">
        <f>IF(ISBLANK('Paste Full'!BT32),"",'Paste Full'!BT32)</f>
        <v>1</v>
      </c>
      <c r="BM32" s="13">
        <f>IF(ISBLANK('Paste Full'!BW32),"",'Paste Full'!BW32)</f>
        <v>3</v>
      </c>
    </row>
    <row r="33" spans="1:65" x14ac:dyDescent="0.3">
      <c r="A33" t="str">
        <f>IF(ISBLANK('Paste Full'!C33),"",'Paste Full'!C33)</f>
        <v>Jordan Wright</v>
      </c>
      <c r="B33" t="str">
        <f t="shared" si="0"/>
        <v>Striker</v>
      </c>
      <c r="C33" s="2">
        <f>IF(ISBLANK('Paste Full'!H33),"",'Paste Full'!H33)</f>
        <v>17</v>
      </c>
      <c r="D33" s="2">
        <f>IF(ISBLANK('Paste Full'!F33),"",'Paste Full'!F33)</f>
        <v>45</v>
      </c>
      <c r="E33" s="2">
        <f>IF(ISBLANK('Paste Full'!G33),"",'Paste Full'!G33)</f>
        <v>93</v>
      </c>
      <c r="F33" s="22" t="str">
        <f>IF(ISBLANK('Paste Full'!E33),"",'Paste Full'!E33)</f>
        <v>New Zealand,England</v>
      </c>
      <c r="G33" t="str">
        <f>IF(ISBLANK('Paste Full'!CI33),"",'Paste Full'!CI33)</f>
        <v/>
      </c>
      <c r="H33" s="22">
        <f>IF(ISBLANK('Paste Full'!J33),"",'Paste Full'!J33)</f>
        <v>-1</v>
      </c>
      <c r="I33" s="22" t="str">
        <f>IF(ISBLANK('Paste Full'!D33),"",'Paste Full'!D33)</f>
        <v xml:space="preserve">ST </v>
      </c>
      <c r="J33" s="14">
        <f>AVERAGE(SUMPRODUCT($S33:$BM33,AttWeights!$C$10:$AW$10)/SUM(AttWeights!$C$10:$AW$10),SUMPRODUCT($S33:$BM33,AttWeights!$C$17:$AW$17)/SUM(AttWeights!$C$17:$AW$17))*10</f>
        <v>72.452800458387046</v>
      </c>
      <c r="K33" s="14">
        <f>AVERAGE(SUMPRODUCT($S33:$BM33,AttWeights!$C$7:$AW$7)/SUM(AttWeights!$C$7:$AW$7),SUMPRODUCT($S33:$BM33,AttWeights!$C$15:$AW$15)/SUM(AttWeights!$C$15:$AW$15))*10</f>
        <v>70.765523524053009</v>
      </c>
      <c r="L33" s="14">
        <f>AVERAGE(SUMPRODUCT($S33:$BM33,AttWeights!$C$8:$AW$8)/SUM(AttWeights!$C$8:$AW$8),SUMPRODUCT($S33:$BM33,AttWeights!$C$16:$AW$16)/SUM(AttWeights!$C$16:$AW$16))*10</f>
        <v>69.610781839321675</v>
      </c>
      <c r="M33" s="14">
        <f>AVERAGE(SUMPRODUCT($S33:$BM33,AttWeights!$C$9:$AW$9)/SUM(AttWeights!$C$9:$AW$9),SUMPRODUCT($S33:$BM33,AttWeights!$C$15:$AW$15)/SUM(AttWeights!$C$15:$AW$15))*10</f>
        <v>70.119059158023987</v>
      </c>
      <c r="N33" s="14">
        <f>AVERAGE(SUMPRODUCT($S33:$BM33,AttWeights!$C$6:$AW$6)/SUM(AttWeights!$C$6:$AW$6),SUMPRODUCT($S33:$BM33,AttWeights!$C$14:$AW$14)/SUM(AttWeights!$C$14:$AW$14))*10</f>
        <v>64.122549547608799</v>
      </c>
      <c r="O33" s="14">
        <f>AVERAGE(SUMPRODUCT($S33:$BM33,AttWeights!$C$5:$AW$5)/SUM(AttWeights!$C$5:$AW$5),SUMPRODUCT($S33:$BM33,AttWeights!$C$14:$AW$14)/SUM(AttWeights!$C$14:$AW$14))*10</f>
        <v>62.1500178486435</v>
      </c>
      <c r="P33" s="14">
        <f>AVERAGE(SUMPRODUCT($S33:$BM33,AttWeights!$C$4:$AW$4)/SUM(AttWeights!$C$4:$AW$4),SUMPRODUCT($S33:$BM33,AttWeights!$C$13:$AW$13)/SUM(AttWeights!$C$13:$AW$13))*10</f>
        <v>64.333791208791212</v>
      </c>
      <c r="Q33" s="14">
        <f>AVERAGE(SUMPRODUCT($S33:$BM33,AttWeights!$C$3:$AW$3)/SUM(AttWeights!$C$3:$AW$3),SUMPRODUCT($S33:$BM33,AttWeights!$C$12:$AW$12)/SUM(AttWeights!$C$12:$AW$12))*10</f>
        <v>62.787546933667088</v>
      </c>
      <c r="R33" s="14">
        <f>AVERAGE(SUMPRODUCT($S33:$BM33,AttWeights!$C$2:$AW$2)/SUM(AttWeights!$C$2:$AW$2),SUMPRODUCT($S33:$BM33,AttWeights!$C$11:$AW$11)/SUM(AttWeights!$C$11:$AW$11))*10</f>
        <v>43.519217269217272</v>
      </c>
      <c r="S33" s="3">
        <f>IF(ISBLANK('Paste Full'!AC33),"",'Paste Full'!AC33)</f>
        <v>11</v>
      </c>
      <c r="T33" s="3">
        <f>IF(ISBLANK('Paste Full'!AD33),"",'Paste Full'!AD33)</f>
        <v>8</v>
      </c>
      <c r="U33" s="3">
        <f>IF(ISBLANK('Paste Full'!AE33),"",'Paste Full'!AE33)</f>
        <v>12</v>
      </c>
      <c r="V33" s="3">
        <f>IF(ISBLANK('Paste Full'!AF33),"",'Paste Full'!AF33)</f>
        <v>7</v>
      </c>
      <c r="W33" s="3">
        <f>IF(ISBLANK('Paste Full'!AH33),"",'Paste Full'!AH33)</f>
        <v>14</v>
      </c>
      <c r="X33" s="3">
        <f>IF(ISBLANK('Paste Full'!AI33),"",'Paste Full'!AI33)</f>
        <v>8</v>
      </c>
      <c r="Y33" s="3">
        <f>IF(ISBLANK('Paste Full'!AK33),"",'Paste Full'!AK33)</f>
        <v>9</v>
      </c>
      <c r="Z33" s="3">
        <f>IF(ISBLANK('Paste Full'!AL33),"",'Paste Full'!AL33)</f>
        <v>6</v>
      </c>
      <c r="AA33" s="4">
        <f>IF(ISBLANK('Paste Full'!AM33),"",'Paste Full'!AM33)</f>
        <v>2</v>
      </c>
      <c r="AB33" s="4">
        <f>IF(ISBLANK('Paste Full'!AN33),"",'Paste Full'!AN33)</f>
        <v>3</v>
      </c>
      <c r="AC33" s="4">
        <f>IF(ISBLANK('Paste Full'!AO33),"",'Paste Full'!AO33)</f>
        <v>3</v>
      </c>
      <c r="AD33" s="4">
        <f>IF(ISBLANK('Paste Full'!AP33),"",'Paste Full'!AP33)</f>
        <v>2</v>
      </c>
      <c r="AE33" s="4">
        <f>IF(ISBLANK('Paste Full'!AQ33),"",'Paste Full'!AQ33)</f>
        <v>2</v>
      </c>
      <c r="AF33" s="4">
        <f>IF(ISBLANK('Paste Full'!AR33),"",'Paste Full'!AR33)</f>
        <v>3</v>
      </c>
      <c r="AG33" s="4">
        <f>IF(ISBLANK('Paste Full'!AS33),"",'Paste Full'!AS33)</f>
        <v>1</v>
      </c>
      <c r="AH33" s="4">
        <f>IF(ISBLANK('Paste Full'!AV33),"",'Paste Full'!AV33)</f>
        <v>1</v>
      </c>
      <c r="AI33" s="4">
        <f>IF(ISBLANK('Paste Full'!AT33),"",'Paste Full'!AT33)</f>
        <v>1</v>
      </c>
      <c r="AJ33" s="4">
        <f>IF(ISBLANK('Paste Full'!AU33),"",'Paste Full'!AU33)</f>
        <v>3</v>
      </c>
      <c r="AK33" s="4">
        <f>IF(ISBLANK('Paste Full'!AW33),"",'Paste Full'!AW33)</f>
        <v>2</v>
      </c>
      <c r="AL33" s="5">
        <f>IF(ISBLANK('Paste Full'!AX33),"",'Paste Full'!AX33)</f>
        <v>9</v>
      </c>
      <c r="AM33" s="5">
        <f>IF(ISBLANK('Paste Full'!AY33),"",'Paste Full'!AY33)</f>
        <v>7</v>
      </c>
      <c r="AN33" s="5">
        <f>IF(ISBLANK('Paste Full'!AZ33),"",'Paste Full'!AZ33)</f>
        <v>16</v>
      </c>
      <c r="AO33" s="5">
        <f>IF(ISBLANK('Paste Full'!BA33),"",'Paste Full'!BA33)</f>
        <v>7</v>
      </c>
      <c r="AP33" s="5">
        <f>IF(ISBLANK('Paste Full'!BB33),"",'Paste Full'!BB33)</f>
        <v>4</v>
      </c>
      <c r="AQ33" s="5">
        <f>IF(ISBLANK('Paste Full'!BC33),"",'Paste Full'!BC33)</f>
        <v>9</v>
      </c>
      <c r="AR33" s="5">
        <f>IF(ISBLANK('Paste Full'!BD33),"",'Paste Full'!BD33)</f>
        <v>5</v>
      </c>
      <c r="AS33" s="5">
        <f>IF(ISBLANK('Paste Full'!BE33),"",'Paste Full'!BE33)</f>
        <v>8</v>
      </c>
      <c r="AT33" s="5">
        <f>IF(ISBLANK('Paste Full'!BF33),"",'Paste Full'!BF33)</f>
        <v>5</v>
      </c>
      <c r="AU33" s="5">
        <f>IF(ISBLANK('Paste Full'!BG33),"",'Paste Full'!BG33)</f>
        <v>8</v>
      </c>
      <c r="AV33" s="5">
        <f>IF(ISBLANK('Paste Full'!BH33),"",'Paste Full'!BH33)</f>
        <v>2</v>
      </c>
      <c r="AW33" s="5">
        <f>IF(ISBLANK('Paste Full'!BI33),"",'Paste Full'!BI33)</f>
        <v>3</v>
      </c>
      <c r="AX33" s="5">
        <f>IF(ISBLANK('Paste Full'!BJ33),"",'Paste Full'!BJ33)</f>
        <v>5</v>
      </c>
      <c r="AY33" s="5">
        <f>IF(ISBLANK('Paste Full'!BK33),"",'Paste Full'!BK33)</f>
        <v>7</v>
      </c>
      <c r="AZ33" s="6">
        <f>IF(ISBLANK('Paste Full'!BM33),"",'Paste Full'!BM33)</f>
        <v>7</v>
      </c>
      <c r="BA33" s="6">
        <f>IF(ISBLANK('Paste Full'!BN33),"",'Paste Full'!BN33)</f>
        <v>11</v>
      </c>
      <c r="BB33" s="6">
        <f>IF(ISBLANK('Paste Full'!BO33),"",'Paste Full'!BO33)</f>
        <v>10</v>
      </c>
      <c r="BC33" s="6">
        <f>IF(ISBLANK('Paste Full'!BP33),"",'Paste Full'!BP33)</f>
        <v>10</v>
      </c>
      <c r="BD33" s="6">
        <f>IF(ISBLANK('Paste Full'!BR33),"",'Paste Full'!BR33)</f>
        <v>6</v>
      </c>
      <c r="BE33" s="6">
        <f>IF(ISBLANK('Paste Full'!BS33),"",'Paste Full'!BS33)</f>
        <v>4</v>
      </c>
      <c r="BF33" s="6">
        <f>IF(ISBLANK('Paste Full'!BU33),"",'Paste Full'!BU33)</f>
        <v>3</v>
      </c>
      <c r="BG33" s="6">
        <f>IF(ISBLANK('Paste Full'!BV33),"",'Paste Full'!BV33)</f>
        <v>7</v>
      </c>
      <c r="BH33" s="6">
        <f>IF(ISBLANK('Paste Full'!BX33),"",'Paste Full'!BX33)</f>
        <v>2</v>
      </c>
      <c r="BI33" s="6">
        <f>IF(ISBLANK('Paste Full'!BY33),"",'Paste Full'!BY33)</f>
        <v>9</v>
      </c>
      <c r="BJ33" s="13">
        <f>IF(ISBLANK('Paste Full'!BL33),"",'Paste Full'!BL33)</f>
        <v>3</v>
      </c>
      <c r="BK33" s="13">
        <f>IF(ISBLANK('Paste Full'!BQ33),"",'Paste Full'!BQ33)</f>
        <v>1</v>
      </c>
      <c r="BL33" s="13">
        <f>IF(ISBLANK('Paste Full'!BT33),"",'Paste Full'!BT33)</f>
        <v>3</v>
      </c>
      <c r="BM33" s="13">
        <f>IF(ISBLANK('Paste Full'!BW33),"",'Paste Full'!BW33)</f>
        <v>4</v>
      </c>
    </row>
    <row r="34" spans="1:65" x14ac:dyDescent="0.3">
      <c r="A34" t="str">
        <f>IF(ISBLANK('Paste Full'!C34),"",'Paste Full'!C34)</f>
        <v>Joseph James</v>
      </c>
      <c r="B34" t="str">
        <f t="shared" ref="B34:B65" si="1">INDEX($J$1:$R$1, MATCH(MAX($J34:$R34), $J34:$R34, 0))</f>
        <v>D(C)</v>
      </c>
      <c r="C34" s="2">
        <f>IF(ISBLANK('Paste Full'!H34),"",'Paste Full'!H34)</f>
        <v>20</v>
      </c>
      <c r="D34" s="2">
        <f>IF(ISBLANK('Paste Full'!F34),"",'Paste Full'!F34)</f>
        <v>60</v>
      </c>
      <c r="E34" s="2">
        <f>IF(ISBLANK('Paste Full'!G34),"",'Paste Full'!G34)</f>
        <v>80</v>
      </c>
      <c r="F34" s="22" t="str">
        <f>IF(ISBLANK('Paste Full'!E34),"",'Paste Full'!E34)</f>
        <v>England</v>
      </c>
      <c r="G34" t="str">
        <f>IF(ISBLANK('Paste Full'!CI34),"",'Paste Full'!CI34)</f>
        <v>Brixham</v>
      </c>
      <c r="H34" s="22">
        <f>IF(ISBLANK('Paste Full'!J34),"",'Paste Full'!J34)</f>
        <v>0</v>
      </c>
      <c r="I34" s="22" t="str">
        <f>IF(ISBLANK('Paste Full'!D34),"",'Paste Full'!D34)</f>
        <v>D RC</v>
      </c>
      <c r="J34" s="14">
        <f>AVERAGE(SUMPRODUCT($S34:$BM34,AttWeights!$C$10:$AW$10)/SUM(AttWeights!$C$10:$AW$10),SUMPRODUCT($S34:$BM34,AttWeights!$C$17:$AW$17)/SUM(AttWeights!$C$17:$AW$17))*10</f>
        <v>73.258415699756483</v>
      </c>
      <c r="K34" s="14">
        <f>AVERAGE(SUMPRODUCT($S34:$BM34,AttWeights!$C$7:$AW$7)/SUM(AttWeights!$C$7:$AW$7),SUMPRODUCT($S34:$BM34,AttWeights!$C$15:$AW$15)/SUM(AttWeights!$C$15:$AW$15))*10</f>
        <v>72.415586705457116</v>
      </c>
      <c r="L34" s="14">
        <f>AVERAGE(SUMPRODUCT($S34:$BM34,AttWeights!$C$8:$AW$8)/SUM(AttWeights!$C$8:$AW$8),SUMPRODUCT($S34:$BM34,AttWeights!$C$16:$AW$16)/SUM(AttWeights!$C$16:$AW$16))*10</f>
        <v>73.01434931798201</v>
      </c>
      <c r="M34" s="14">
        <f>AVERAGE(SUMPRODUCT($S34:$BM34,AttWeights!$C$9:$AW$9)/SUM(AttWeights!$C$9:$AW$9),SUMPRODUCT($S34:$BM34,AttWeights!$C$15:$AW$15)/SUM(AttWeights!$C$15:$AW$15))*10</f>
        <v>73.126877968401672</v>
      </c>
      <c r="N34" s="14">
        <f>AVERAGE(SUMPRODUCT($S34:$BM34,AttWeights!$C$6:$AW$6)/SUM(AttWeights!$C$6:$AW$6),SUMPRODUCT($S34:$BM34,AttWeights!$C$14:$AW$14)/SUM(AttWeights!$C$14:$AW$14))*10</f>
        <v>76.095971563981038</v>
      </c>
      <c r="O34" s="14">
        <f>AVERAGE(SUMPRODUCT($S34:$BM34,AttWeights!$C$5:$AW$5)/SUM(AttWeights!$C$5:$AW$5),SUMPRODUCT($S34:$BM34,AttWeights!$C$14:$AW$14)/SUM(AttWeights!$C$14:$AW$14))*10</f>
        <v>77.938481675392666</v>
      </c>
      <c r="P34" s="14">
        <f>AVERAGE(SUMPRODUCT($S34:$BM34,AttWeights!$C$4:$AW$4)/SUM(AttWeights!$C$4:$AW$4),SUMPRODUCT($S34:$BM34,AttWeights!$C$13:$AW$13)/SUM(AttWeights!$C$13:$AW$13))*10</f>
        <v>83.818681318681314</v>
      </c>
      <c r="Q34" s="14">
        <f>AVERAGE(SUMPRODUCT($S34:$BM34,AttWeights!$C$3:$AW$3)/SUM(AttWeights!$C$3:$AW$3),SUMPRODUCT($S34:$BM34,AttWeights!$C$12:$AW$12)/SUM(AttWeights!$C$12:$AW$12))*10</f>
        <v>78.338548185231531</v>
      </c>
      <c r="R34" s="14">
        <f>AVERAGE(SUMPRODUCT($S34:$BM34,AttWeights!$C$2:$AW$2)/SUM(AttWeights!$C$2:$AW$2),SUMPRODUCT($S34:$BM34,AttWeights!$C$11:$AW$11)/SUM(AttWeights!$C$11:$AW$11))*10</f>
        <v>53.842576342576351</v>
      </c>
      <c r="S34" s="3">
        <f>IF(ISBLANK('Paste Full'!AC34),"",'Paste Full'!AC34)</f>
        <v>8</v>
      </c>
      <c r="T34" s="3">
        <f>IF(ISBLANK('Paste Full'!AD34),"",'Paste Full'!AD34)</f>
        <v>9</v>
      </c>
      <c r="U34" s="3">
        <f>IF(ISBLANK('Paste Full'!AE34),"",'Paste Full'!AE34)</f>
        <v>8</v>
      </c>
      <c r="V34" s="3">
        <f>IF(ISBLANK('Paste Full'!AF34),"",'Paste Full'!AF34)</f>
        <v>13</v>
      </c>
      <c r="W34" s="3">
        <f>IF(ISBLANK('Paste Full'!AH34),"",'Paste Full'!AH34)</f>
        <v>11</v>
      </c>
      <c r="X34" s="3">
        <f>IF(ISBLANK('Paste Full'!AI34),"",'Paste Full'!AI34)</f>
        <v>12</v>
      </c>
      <c r="Y34" s="3">
        <f>IF(ISBLANK('Paste Full'!AK34),"",'Paste Full'!AK34)</f>
        <v>6</v>
      </c>
      <c r="Z34" s="3">
        <f>IF(ISBLANK('Paste Full'!AL34),"",'Paste Full'!AL34)</f>
        <v>7</v>
      </c>
      <c r="AA34" s="4">
        <f>IF(ISBLANK('Paste Full'!AM34),"",'Paste Full'!AM34)</f>
        <v>1</v>
      </c>
      <c r="AB34" s="4">
        <f>IF(ISBLANK('Paste Full'!AN34),"",'Paste Full'!AN34)</f>
        <v>1</v>
      </c>
      <c r="AC34" s="4">
        <f>IF(ISBLANK('Paste Full'!AO34),"",'Paste Full'!AO34)</f>
        <v>3</v>
      </c>
      <c r="AD34" s="4">
        <f>IF(ISBLANK('Paste Full'!AP34),"",'Paste Full'!AP34)</f>
        <v>3</v>
      </c>
      <c r="AE34" s="4">
        <f>IF(ISBLANK('Paste Full'!AQ34),"",'Paste Full'!AQ34)</f>
        <v>3</v>
      </c>
      <c r="AF34" s="4">
        <f>IF(ISBLANK('Paste Full'!AR34),"",'Paste Full'!AR34)</f>
        <v>2</v>
      </c>
      <c r="AG34" s="4">
        <f>IF(ISBLANK('Paste Full'!AS34),"",'Paste Full'!AS34)</f>
        <v>2</v>
      </c>
      <c r="AH34" s="4">
        <f>IF(ISBLANK('Paste Full'!AV34),"",'Paste Full'!AV34)</f>
        <v>3</v>
      </c>
      <c r="AI34" s="4">
        <f>IF(ISBLANK('Paste Full'!AT34),"",'Paste Full'!AT34)</f>
        <v>3</v>
      </c>
      <c r="AJ34" s="4">
        <f>IF(ISBLANK('Paste Full'!AU34),"",'Paste Full'!AU34)</f>
        <v>1</v>
      </c>
      <c r="AK34" s="4">
        <f>IF(ISBLANK('Paste Full'!AW34),"",'Paste Full'!AW34)</f>
        <v>4</v>
      </c>
      <c r="AL34" s="5">
        <f>IF(ISBLANK('Paste Full'!AX34),"",'Paste Full'!AX34)</f>
        <v>15</v>
      </c>
      <c r="AM34" s="5">
        <f>IF(ISBLANK('Paste Full'!AY34),"",'Paste Full'!AY34)</f>
        <v>7</v>
      </c>
      <c r="AN34" s="5">
        <f>IF(ISBLANK('Paste Full'!AZ34),"",'Paste Full'!AZ34)</f>
        <v>11</v>
      </c>
      <c r="AO34" s="5">
        <f>IF(ISBLANK('Paste Full'!BA34),"",'Paste Full'!BA34)</f>
        <v>12</v>
      </c>
      <c r="AP34" s="5">
        <f>IF(ISBLANK('Paste Full'!BB34),"",'Paste Full'!BB34)</f>
        <v>7</v>
      </c>
      <c r="AQ34" s="5">
        <f>IF(ISBLANK('Paste Full'!BC34),"",'Paste Full'!BC34)</f>
        <v>12</v>
      </c>
      <c r="AR34" s="5">
        <f>IF(ISBLANK('Paste Full'!BD34),"",'Paste Full'!BD34)</f>
        <v>5</v>
      </c>
      <c r="AS34" s="5">
        <f>IF(ISBLANK('Paste Full'!BE34),"",'Paste Full'!BE34)</f>
        <v>6</v>
      </c>
      <c r="AT34" s="5">
        <f>IF(ISBLANK('Paste Full'!BF34),"",'Paste Full'!BF34)</f>
        <v>4</v>
      </c>
      <c r="AU34" s="5">
        <f>IF(ISBLANK('Paste Full'!BG34),"",'Paste Full'!BG34)</f>
        <v>5</v>
      </c>
      <c r="AV34" s="5">
        <f>IF(ISBLANK('Paste Full'!BH34),"",'Paste Full'!BH34)</f>
        <v>11</v>
      </c>
      <c r="AW34" s="5">
        <f>IF(ISBLANK('Paste Full'!BI34),"",'Paste Full'!BI34)</f>
        <v>7</v>
      </c>
      <c r="AX34" s="5">
        <f>IF(ISBLANK('Paste Full'!BJ34),"",'Paste Full'!BJ34)</f>
        <v>3</v>
      </c>
      <c r="AY34" s="5">
        <f>IF(ISBLANK('Paste Full'!BK34),"",'Paste Full'!BK34)</f>
        <v>8</v>
      </c>
      <c r="AZ34" s="6">
        <f>IF(ISBLANK('Paste Full'!BM34),"",'Paste Full'!BM34)</f>
        <v>6</v>
      </c>
      <c r="BA34" s="6">
        <f>IF(ISBLANK('Paste Full'!BN34),"",'Paste Full'!BN34)</f>
        <v>6</v>
      </c>
      <c r="BB34" s="6">
        <f>IF(ISBLANK('Paste Full'!BO34),"",'Paste Full'!BO34)</f>
        <v>3</v>
      </c>
      <c r="BC34" s="6">
        <f>IF(ISBLANK('Paste Full'!BP34),"",'Paste Full'!BP34)</f>
        <v>8</v>
      </c>
      <c r="BD34" s="6">
        <f>IF(ISBLANK('Paste Full'!BR34),"",'Paste Full'!BR34)</f>
        <v>9</v>
      </c>
      <c r="BE34" s="6">
        <f>IF(ISBLANK('Paste Full'!BS34),"",'Paste Full'!BS34)</f>
        <v>4</v>
      </c>
      <c r="BF34" s="6">
        <f>IF(ISBLANK('Paste Full'!BU34),"",'Paste Full'!BU34)</f>
        <v>9</v>
      </c>
      <c r="BG34" s="6">
        <f>IF(ISBLANK('Paste Full'!BV34),"",'Paste Full'!BV34)</f>
        <v>6</v>
      </c>
      <c r="BH34" s="6">
        <f>IF(ISBLANK('Paste Full'!BX34),"",'Paste Full'!BX34)</f>
        <v>11</v>
      </c>
      <c r="BI34" s="6">
        <f>IF(ISBLANK('Paste Full'!BY34),"",'Paste Full'!BY34)</f>
        <v>7</v>
      </c>
      <c r="BJ34" s="13">
        <f>IF(ISBLANK('Paste Full'!BL34),"",'Paste Full'!BL34)</f>
        <v>6</v>
      </c>
      <c r="BK34" s="13">
        <f>IF(ISBLANK('Paste Full'!BQ34),"",'Paste Full'!BQ34)</f>
        <v>6</v>
      </c>
      <c r="BL34" s="13">
        <f>IF(ISBLANK('Paste Full'!BT34),"",'Paste Full'!BT34)</f>
        <v>10</v>
      </c>
      <c r="BM34" s="13">
        <f>IF(ISBLANK('Paste Full'!BW34),"",'Paste Full'!BW34)</f>
        <v>1</v>
      </c>
    </row>
    <row r="35" spans="1:65" x14ac:dyDescent="0.3">
      <c r="A35" t="str">
        <f>IF(ISBLANK('Paste Full'!C35),"",'Paste Full'!C35)</f>
        <v>Joshua Adepoju</v>
      </c>
      <c r="B35" t="str">
        <f t="shared" si="1"/>
        <v>AM(R)</v>
      </c>
      <c r="C35" s="2">
        <f>IF(ISBLANK('Paste Full'!H35),"",'Paste Full'!H35)</f>
        <v>20</v>
      </c>
      <c r="D35" s="2">
        <f>IF(ISBLANK('Paste Full'!F35),"",'Paste Full'!F35)</f>
        <v>53</v>
      </c>
      <c r="E35" s="2">
        <f>IF(ISBLANK('Paste Full'!G35),"",'Paste Full'!G35)</f>
        <v>73</v>
      </c>
      <c r="F35" s="22" t="str">
        <f>IF(ISBLANK('Paste Full'!E35),"",'Paste Full'!E35)</f>
        <v>England</v>
      </c>
      <c r="G35" t="str">
        <f>IF(ISBLANK('Paste Full'!CI35),"",'Paste Full'!CI35)</f>
        <v>Brixham</v>
      </c>
      <c r="H35" s="22">
        <f>IF(ISBLANK('Paste Full'!J35),"",'Paste Full'!J35)</f>
        <v>0</v>
      </c>
      <c r="I35" s="22" t="str">
        <f>IF(ISBLANK('Paste Full'!D35),"",'Paste Full'!D35)</f>
        <v>AM/ST R</v>
      </c>
      <c r="J35" s="14">
        <f>AVERAGE(SUMPRODUCT($S35:$BM35,AttWeights!$C$10:$AW$10)/SUM(AttWeights!$C$10:$AW$10),SUMPRODUCT($S35:$BM35,AttWeights!$C$17:$AW$17)/SUM(AttWeights!$C$17:$AW$17))*10</f>
        <v>74.60779257985962</v>
      </c>
      <c r="K35" s="14">
        <f>AVERAGE(SUMPRODUCT($S35:$BM35,AttWeights!$C$7:$AW$7)/SUM(AttWeights!$C$7:$AW$7),SUMPRODUCT($S35:$BM35,AttWeights!$C$15:$AW$15)/SUM(AttWeights!$C$15:$AW$15))*10</f>
        <v>75.103881983014489</v>
      </c>
      <c r="L35" s="14">
        <f>AVERAGE(SUMPRODUCT($S35:$BM35,AttWeights!$C$8:$AW$8)/SUM(AttWeights!$C$8:$AW$8),SUMPRODUCT($S35:$BM35,AttWeights!$C$16:$AW$16)/SUM(AttWeights!$C$16:$AW$16))*10</f>
        <v>74.143011088109347</v>
      </c>
      <c r="M35" s="14">
        <f>AVERAGE(SUMPRODUCT($S35:$BM35,AttWeights!$C$9:$AW$9)/SUM(AttWeights!$C$9:$AW$9),SUMPRODUCT($S35:$BM35,AttWeights!$C$15:$AW$15)/SUM(AttWeights!$C$15:$AW$15))*10</f>
        <v>75.441342767600403</v>
      </c>
      <c r="N35" s="14">
        <f>AVERAGE(SUMPRODUCT($S35:$BM35,AttWeights!$C$6:$AW$6)/SUM(AttWeights!$C$6:$AW$6),SUMPRODUCT($S35:$BM35,AttWeights!$C$14:$AW$14)/SUM(AttWeights!$C$14:$AW$14))*10</f>
        <v>72.217255493321844</v>
      </c>
      <c r="O35" s="14">
        <f>AVERAGE(SUMPRODUCT($S35:$BM35,AttWeights!$C$5:$AW$5)/SUM(AttWeights!$C$5:$AW$5),SUMPRODUCT($S35:$BM35,AttWeights!$C$14:$AW$14)/SUM(AttWeights!$C$14:$AW$14))*10</f>
        <v>71.790218943360301</v>
      </c>
      <c r="P35" s="14">
        <f>AVERAGE(SUMPRODUCT($S35:$BM35,AttWeights!$C$4:$AW$4)/SUM(AttWeights!$C$4:$AW$4),SUMPRODUCT($S35:$BM35,AttWeights!$C$13:$AW$13)/SUM(AttWeights!$C$13:$AW$13))*10</f>
        <v>69.42307692307692</v>
      </c>
      <c r="Q35" s="14">
        <f>AVERAGE(SUMPRODUCT($S35:$BM35,AttWeights!$C$3:$AW$3)/SUM(AttWeights!$C$3:$AW$3),SUMPRODUCT($S35:$BM35,AttWeights!$C$12:$AW$12)/SUM(AttWeights!$C$12:$AW$12))*10</f>
        <v>72.03003754693367</v>
      </c>
      <c r="R35" s="14">
        <f>AVERAGE(SUMPRODUCT($S35:$BM35,AttWeights!$C$2:$AW$2)/SUM(AttWeights!$C$2:$AW$2),SUMPRODUCT($S35:$BM35,AttWeights!$C$11:$AW$11)/SUM(AttWeights!$C$11:$AW$11))*10</f>
        <v>48.546419796419798</v>
      </c>
      <c r="S35" s="3">
        <f>IF(ISBLANK('Paste Full'!AC35),"",'Paste Full'!AC35)</f>
        <v>11</v>
      </c>
      <c r="T35" s="3">
        <f>IF(ISBLANK('Paste Full'!AD35),"",'Paste Full'!AD35)</f>
        <v>9</v>
      </c>
      <c r="U35" s="3">
        <f>IF(ISBLANK('Paste Full'!AE35),"",'Paste Full'!AE35)</f>
        <v>9</v>
      </c>
      <c r="V35" s="3">
        <f>IF(ISBLANK('Paste Full'!AF35),"",'Paste Full'!AF35)</f>
        <v>6</v>
      </c>
      <c r="W35" s="3">
        <f>IF(ISBLANK('Paste Full'!AH35),"",'Paste Full'!AH35)</f>
        <v>12</v>
      </c>
      <c r="X35" s="3">
        <f>IF(ISBLANK('Paste Full'!AI35),"",'Paste Full'!AI35)</f>
        <v>10</v>
      </c>
      <c r="Y35" s="3">
        <f>IF(ISBLANK('Paste Full'!AK35),"",'Paste Full'!AK35)</f>
        <v>11</v>
      </c>
      <c r="Z35" s="3">
        <f>IF(ISBLANK('Paste Full'!AL35),"",'Paste Full'!AL35)</f>
        <v>8</v>
      </c>
      <c r="AA35" s="4">
        <f>IF(ISBLANK('Paste Full'!AM35),"",'Paste Full'!AM35)</f>
        <v>1</v>
      </c>
      <c r="AB35" s="4">
        <f>IF(ISBLANK('Paste Full'!AN35),"",'Paste Full'!AN35)</f>
        <v>3</v>
      </c>
      <c r="AC35" s="4">
        <f>IF(ISBLANK('Paste Full'!AO35),"",'Paste Full'!AO35)</f>
        <v>1</v>
      </c>
      <c r="AD35" s="4">
        <f>IF(ISBLANK('Paste Full'!AP35),"",'Paste Full'!AP35)</f>
        <v>1</v>
      </c>
      <c r="AE35" s="4">
        <f>IF(ISBLANK('Paste Full'!AQ35),"",'Paste Full'!AQ35)</f>
        <v>2</v>
      </c>
      <c r="AF35" s="4">
        <f>IF(ISBLANK('Paste Full'!AR35),"",'Paste Full'!AR35)</f>
        <v>3</v>
      </c>
      <c r="AG35" s="4">
        <f>IF(ISBLANK('Paste Full'!AS35),"",'Paste Full'!AS35)</f>
        <v>1</v>
      </c>
      <c r="AH35" s="4">
        <f>IF(ISBLANK('Paste Full'!AV35),"",'Paste Full'!AV35)</f>
        <v>1</v>
      </c>
      <c r="AI35" s="4">
        <f>IF(ISBLANK('Paste Full'!AT35),"",'Paste Full'!AT35)</f>
        <v>2</v>
      </c>
      <c r="AJ35" s="4">
        <f>IF(ISBLANK('Paste Full'!AU35),"",'Paste Full'!AU35)</f>
        <v>2</v>
      </c>
      <c r="AK35" s="4">
        <f>IF(ISBLANK('Paste Full'!AW35),"",'Paste Full'!AW35)</f>
        <v>3</v>
      </c>
      <c r="AL35" s="5">
        <f>IF(ISBLANK('Paste Full'!AX35),"",'Paste Full'!AX35)</f>
        <v>6</v>
      </c>
      <c r="AM35" s="5">
        <f>IF(ISBLANK('Paste Full'!AY35),"",'Paste Full'!AY35)</f>
        <v>8</v>
      </c>
      <c r="AN35" s="5">
        <f>IF(ISBLANK('Paste Full'!AZ35),"",'Paste Full'!AZ35)</f>
        <v>6</v>
      </c>
      <c r="AO35" s="5">
        <f>IF(ISBLANK('Paste Full'!BA35),"",'Paste Full'!BA35)</f>
        <v>8</v>
      </c>
      <c r="AP35" s="5">
        <f>IF(ISBLANK('Paste Full'!BB35),"",'Paste Full'!BB35)</f>
        <v>7</v>
      </c>
      <c r="AQ35" s="5">
        <f>IF(ISBLANK('Paste Full'!BC35),"",'Paste Full'!BC35)</f>
        <v>6</v>
      </c>
      <c r="AR35" s="5">
        <f>IF(ISBLANK('Paste Full'!BD35),"",'Paste Full'!BD35)</f>
        <v>16</v>
      </c>
      <c r="AS35" s="5">
        <f>IF(ISBLANK('Paste Full'!BE35),"",'Paste Full'!BE35)</f>
        <v>7</v>
      </c>
      <c r="AT35" s="5">
        <f>IF(ISBLANK('Paste Full'!BF35),"",'Paste Full'!BF35)</f>
        <v>5</v>
      </c>
      <c r="AU35" s="5">
        <f>IF(ISBLANK('Paste Full'!BG35),"",'Paste Full'!BG35)</f>
        <v>11</v>
      </c>
      <c r="AV35" s="5">
        <f>IF(ISBLANK('Paste Full'!BH35),"",'Paste Full'!BH35)</f>
        <v>8</v>
      </c>
      <c r="AW35" s="5">
        <f>IF(ISBLANK('Paste Full'!BI35),"",'Paste Full'!BI35)</f>
        <v>7</v>
      </c>
      <c r="AX35" s="5">
        <f>IF(ISBLANK('Paste Full'!BJ35),"",'Paste Full'!BJ35)</f>
        <v>6</v>
      </c>
      <c r="AY35" s="5">
        <f>IF(ISBLANK('Paste Full'!BK35),"",'Paste Full'!BK35)</f>
        <v>8</v>
      </c>
      <c r="AZ35" s="6">
        <f>IF(ISBLANK('Paste Full'!BM35),"",'Paste Full'!BM35)</f>
        <v>7</v>
      </c>
      <c r="BA35" s="6">
        <f>IF(ISBLANK('Paste Full'!BN35),"",'Paste Full'!BN35)</f>
        <v>11</v>
      </c>
      <c r="BB35" s="6">
        <f>IF(ISBLANK('Paste Full'!BO35),"",'Paste Full'!BO35)</f>
        <v>8</v>
      </c>
      <c r="BC35" s="6">
        <f>IF(ISBLANK('Paste Full'!BP35),"",'Paste Full'!BP35)</f>
        <v>7</v>
      </c>
      <c r="BD35" s="6">
        <f>IF(ISBLANK('Paste Full'!BR35),"",'Paste Full'!BR35)</f>
        <v>6</v>
      </c>
      <c r="BE35" s="6">
        <f>IF(ISBLANK('Paste Full'!BS35),"",'Paste Full'!BS35)</f>
        <v>4</v>
      </c>
      <c r="BF35" s="6">
        <f>IF(ISBLANK('Paste Full'!BU35),"",'Paste Full'!BU35)</f>
        <v>7</v>
      </c>
      <c r="BG35" s="6">
        <f>IF(ISBLANK('Paste Full'!BV35),"",'Paste Full'!BV35)</f>
        <v>8</v>
      </c>
      <c r="BH35" s="6">
        <f>IF(ISBLANK('Paste Full'!BX35),"",'Paste Full'!BX35)</f>
        <v>4</v>
      </c>
      <c r="BI35" s="6">
        <f>IF(ISBLANK('Paste Full'!BY35),"",'Paste Full'!BY35)</f>
        <v>7</v>
      </c>
      <c r="BJ35" s="13">
        <f>IF(ISBLANK('Paste Full'!BL35),"",'Paste Full'!BL35)</f>
        <v>5</v>
      </c>
      <c r="BK35" s="13">
        <f>IF(ISBLANK('Paste Full'!BQ35),"",'Paste Full'!BQ35)</f>
        <v>5</v>
      </c>
      <c r="BL35" s="13">
        <f>IF(ISBLANK('Paste Full'!BT35),"",'Paste Full'!BT35)</f>
        <v>6</v>
      </c>
      <c r="BM35" s="13">
        <f>IF(ISBLANK('Paste Full'!BW35),"",'Paste Full'!BW35)</f>
        <v>5</v>
      </c>
    </row>
    <row r="36" spans="1:65" x14ac:dyDescent="0.3">
      <c r="A36" t="str">
        <f>IF(ISBLANK('Paste Full'!C36),"",'Paste Full'!C36)</f>
        <v>Junior McQuilken</v>
      </c>
      <c r="B36" t="str">
        <f t="shared" si="1"/>
        <v>D(R/L)</v>
      </c>
      <c r="C36" s="2">
        <f>IF(ISBLANK('Paste Full'!H36),"",'Paste Full'!H36)</f>
        <v>20</v>
      </c>
      <c r="D36" s="2">
        <f>IF(ISBLANK('Paste Full'!F36),"",'Paste Full'!F36)</f>
        <v>40</v>
      </c>
      <c r="E36" s="2">
        <f>IF(ISBLANK('Paste Full'!G36),"",'Paste Full'!G36)</f>
        <v>78</v>
      </c>
      <c r="F36" s="22" t="str">
        <f>IF(ISBLANK('Paste Full'!E36),"",'Paste Full'!E36)</f>
        <v>Scotland</v>
      </c>
      <c r="G36" t="str">
        <f>IF(ISBLANK('Paste Full'!CI36),"",'Paste Full'!CI36)</f>
        <v>Brixham</v>
      </c>
      <c r="H36" s="22">
        <f>IF(ISBLANK('Paste Full'!J36),"",'Paste Full'!J36)</f>
        <v>0</v>
      </c>
      <c r="I36" s="22" t="str">
        <f>IF(ISBLANK('Paste Full'!D36),"",'Paste Full'!D36)</f>
        <v>D/WB L</v>
      </c>
      <c r="J36" s="14">
        <f>AVERAGE(SUMPRODUCT($S36:$BM36,AttWeights!$C$10:$AW$10)/SUM(AttWeights!$C$10:$AW$10),SUMPRODUCT($S36:$BM36,AttWeights!$C$17:$AW$17)/SUM(AttWeights!$C$17:$AW$17))*10</f>
        <v>61.354963472281909</v>
      </c>
      <c r="K36" s="14">
        <f>AVERAGE(SUMPRODUCT($S36:$BM36,AttWeights!$C$7:$AW$7)/SUM(AttWeights!$C$7:$AW$7),SUMPRODUCT($S36:$BM36,AttWeights!$C$15:$AW$15)/SUM(AttWeights!$C$15:$AW$15))*10</f>
        <v>67.194157924123544</v>
      </c>
      <c r="L36" s="14">
        <f>AVERAGE(SUMPRODUCT($S36:$BM36,AttWeights!$C$8:$AW$8)/SUM(AttWeights!$C$8:$AW$8),SUMPRODUCT($S36:$BM36,AttWeights!$C$16:$AW$16)/SUM(AttWeights!$C$16:$AW$16))*10</f>
        <v>67.573377194226239</v>
      </c>
      <c r="M36" s="14">
        <f>AVERAGE(SUMPRODUCT($S36:$BM36,AttWeights!$C$9:$AW$9)/SUM(AttWeights!$C$9:$AW$9),SUMPRODUCT($S36:$BM36,AttWeights!$C$15:$AW$15)/SUM(AttWeights!$C$15:$AW$15))*10</f>
        <v>70.445219863655453</v>
      </c>
      <c r="N36" s="14">
        <f>AVERAGE(SUMPRODUCT($S36:$BM36,AttWeights!$C$6:$AW$6)/SUM(AttWeights!$C$6:$AW$6),SUMPRODUCT($S36:$BM36,AttWeights!$C$14:$AW$14)/SUM(AttWeights!$C$14:$AW$14))*10</f>
        <v>67.53150581645842</v>
      </c>
      <c r="O36" s="14">
        <f>AVERAGE(SUMPRODUCT($S36:$BM36,AttWeights!$C$5:$AW$5)/SUM(AttWeights!$C$5:$AW$5),SUMPRODUCT($S36:$BM36,AttWeights!$C$14:$AW$14)/SUM(AttWeights!$C$14:$AW$14))*10</f>
        <v>68.345133269871496</v>
      </c>
      <c r="P36" s="14">
        <f>AVERAGE(SUMPRODUCT($S36:$BM36,AttWeights!$C$4:$AW$4)/SUM(AttWeights!$C$4:$AW$4),SUMPRODUCT($S36:$BM36,AttWeights!$C$13:$AW$13)/SUM(AttWeights!$C$13:$AW$13))*10</f>
        <v>65.08585164835165</v>
      </c>
      <c r="Q36" s="14">
        <f>AVERAGE(SUMPRODUCT($S36:$BM36,AttWeights!$C$3:$AW$3)/SUM(AttWeights!$C$3:$AW$3),SUMPRODUCT($S36:$BM36,AttWeights!$C$12:$AW$12)/SUM(AttWeights!$C$12:$AW$12))*10</f>
        <v>70.66927409261578</v>
      </c>
      <c r="R36" s="14">
        <f>AVERAGE(SUMPRODUCT($S36:$BM36,AttWeights!$C$2:$AW$2)/SUM(AttWeights!$C$2:$AW$2),SUMPRODUCT($S36:$BM36,AttWeights!$C$11:$AW$11)/SUM(AttWeights!$C$11:$AW$11))*10</f>
        <v>48.016409266409269</v>
      </c>
      <c r="S36" s="3">
        <f>IF(ISBLANK('Paste Full'!AC36),"",'Paste Full'!AC36)</f>
        <v>13</v>
      </c>
      <c r="T36" s="3">
        <f>IF(ISBLANK('Paste Full'!AD36),"",'Paste Full'!AD36)</f>
        <v>13</v>
      </c>
      <c r="U36" s="3">
        <f>IF(ISBLANK('Paste Full'!AE36),"",'Paste Full'!AE36)</f>
        <v>3</v>
      </c>
      <c r="V36" s="3">
        <f>IF(ISBLANK('Paste Full'!AF36),"",'Paste Full'!AF36)</f>
        <v>5</v>
      </c>
      <c r="W36" s="3">
        <f>IF(ISBLANK('Paste Full'!AH36),"",'Paste Full'!AH36)</f>
        <v>14</v>
      </c>
      <c r="X36" s="3">
        <f>IF(ISBLANK('Paste Full'!AI36),"",'Paste Full'!AI36)</f>
        <v>14</v>
      </c>
      <c r="Y36" s="3">
        <f>IF(ISBLANK('Paste Full'!AK36),"",'Paste Full'!AK36)</f>
        <v>8</v>
      </c>
      <c r="Z36" s="3">
        <f>IF(ISBLANK('Paste Full'!AL36),"",'Paste Full'!AL36)</f>
        <v>2</v>
      </c>
      <c r="AA36" s="4">
        <f>IF(ISBLANK('Paste Full'!AM36),"",'Paste Full'!AM36)</f>
        <v>1</v>
      </c>
      <c r="AB36" s="4">
        <f>IF(ISBLANK('Paste Full'!AN36),"",'Paste Full'!AN36)</f>
        <v>3</v>
      </c>
      <c r="AC36" s="4">
        <f>IF(ISBLANK('Paste Full'!AO36),"",'Paste Full'!AO36)</f>
        <v>1</v>
      </c>
      <c r="AD36" s="4">
        <f>IF(ISBLANK('Paste Full'!AP36),"",'Paste Full'!AP36)</f>
        <v>2</v>
      </c>
      <c r="AE36" s="4">
        <f>IF(ISBLANK('Paste Full'!AQ36),"",'Paste Full'!AQ36)</f>
        <v>2</v>
      </c>
      <c r="AF36" s="4">
        <f>IF(ISBLANK('Paste Full'!AR36),"",'Paste Full'!AR36)</f>
        <v>3</v>
      </c>
      <c r="AG36" s="4">
        <f>IF(ISBLANK('Paste Full'!AS36),"",'Paste Full'!AS36)</f>
        <v>4</v>
      </c>
      <c r="AH36" s="4">
        <f>IF(ISBLANK('Paste Full'!AV36),"",'Paste Full'!AV36)</f>
        <v>2</v>
      </c>
      <c r="AI36" s="4">
        <f>IF(ISBLANK('Paste Full'!AT36),"",'Paste Full'!AT36)</f>
        <v>3</v>
      </c>
      <c r="AJ36" s="4">
        <f>IF(ISBLANK('Paste Full'!AU36),"",'Paste Full'!AU36)</f>
        <v>2</v>
      </c>
      <c r="AK36" s="4">
        <f>IF(ISBLANK('Paste Full'!AW36),"",'Paste Full'!AW36)</f>
        <v>3</v>
      </c>
      <c r="AL36" s="5">
        <f>IF(ISBLANK('Paste Full'!AX36),"",'Paste Full'!AX36)</f>
        <v>10</v>
      </c>
      <c r="AM36" s="5">
        <f>IF(ISBLANK('Paste Full'!AY36),"",'Paste Full'!AY36)</f>
        <v>7</v>
      </c>
      <c r="AN36" s="5">
        <f>IF(ISBLANK('Paste Full'!AZ36),"",'Paste Full'!AZ36)</f>
        <v>6</v>
      </c>
      <c r="AO36" s="5">
        <f>IF(ISBLANK('Paste Full'!BA36),"",'Paste Full'!BA36)</f>
        <v>5</v>
      </c>
      <c r="AP36" s="5">
        <f>IF(ISBLANK('Paste Full'!BB36),"",'Paste Full'!BB36)</f>
        <v>6</v>
      </c>
      <c r="AQ36" s="5">
        <f>IF(ISBLANK('Paste Full'!BC36),"",'Paste Full'!BC36)</f>
        <v>10</v>
      </c>
      <c r="AR36" s="5">
        <f>IF(ISBLANK('Paste Full'!BD36),"",'Paste Full'!BD36)</f>
        <v>3</v>
      </c>
      <c r="AS36" s="5">
        <f>IF(ISBLANK('Paste Full'!BE36),"",'Paste Full'!BE36)</f>
        <v>7</v>
      </c>
      <c r="AT36" s="5">
        <f>IF(ISBLANK('Paste Full'!BF36),"",'Paste Full'!BF36)</f>
        <v>5</v>
      </c>
      <c r="AU36" s="5">
        <f>IF(ISBLANK('Paste Full'!BG36),"",'Paste Full'!BG36)</f>
        <v>3</v>
      </c>
      <c r="AV36" s="5">
        <f>IF(ISBLANK('Paste Full'!BH36),"",'Paste Full'!BH36)</f>
        <v>6</v>
      </c>
      <c r="AW36" s="5">
        <f>IF(ISBLANK('Paste Full'!BI36),"",'Paste Full'!BI36)</f>
        <v>7</v>
      </c>
      <c r="AX36" s="5">
        <f>IF(ISBLANK('Paste Full'!BJ36),"",'Paste Full'!BJ36)</f>
        <v>2</v>
      </c>
      <c r="AY36" s="5">
        <f>IF(ISBLANK('Paste Full'!BK36),"",'Paste Full'!BK36)</f>
        <v>6</v>
      </c>
      <c r="AZ36" s="6">
        <f>IF(ISBLANK('Paste Full'!BM36),"",'Paste Full'!BM36)</f>
        <v>8</v>
      </c>
      <c r="BA36" s="6">
        <f>IF(ISBLANK('Paste Full'!BN36),"",'Paste Full'!BN36)</f>
        <v>6</v>
      </c>
      <c r="BB36" s="6">
        <f>IF(ISBLANK('Paste Full'!BO36),"",'Paste Full'!BO36)</f>
        <v>2</v>
      </c>
      <c r="BC36" s="6">
        <f>IF(ISBLANK('Paste Full'!BP36),"",'Paste Full'!BP36)</f>
        <v>5</v>
      </c>
      <c r="BD36" s="6">
        <f>IF(ISBLANK('Paste Full'!BR36),"",'Paste Full'!BR36)</f>
        <v>4</v>
      </c>
      <c r="BE36" s="6">
        <f>IF(ISBLANK('Paste Full'!BS36),"",'Paste Full'!BS36)</f>
        <v>3</v>
      </c>
      <c r="BF36" s="6">
        <f>IF(ISBLANK('Paste Full'!BU36),"",'Paste Full'!BU36)</f>
        <v>5</v>
      </c>
      <c r="BG36" s="6">
        <f>IF(ISBLANK('Paste Full'!BV36),"",'Paste Full'!BV36)</f>
        <v>8</v>
      </c>
      <c r="BH36" s="6">
        <f>IF(ISBLANK('Paste Full'!BX36),"",'Paste Full'!BX36)</f>
        <v>9</v>
      </c>
      <c r="BI36" s="6">
        <f>IF(ISBLANK('Paste Full'!BY36),"",'Paste Full'!BY36)</f>
        <v>10</v>
      </c>
      <c r="BJ36" s="13">
        <f>IF(ISBLANK('Paste Full'!BL36),"",'Paste Full'!BL36)</f>
        <v>3</v>
      </c>
      <c r="BK36" s="13">
        <f>IF(ISBLANK('Paste Full'!BQ36),"",'Paste Full'!BQ36)</f>
        <v>1</v>
      </c>
      <c r="BL36" s="13">
        <f>IF(ISBLANK('Paste Full'!BT36),"",'Paste Full'!BT36)</f>
        <v>4</v>
      </c>
      <c r="BM36" s="13">
        <f>IF(ISBLANK('Paste Full'!BW36),"",'Paste Full'!BW36)</f>
        <v>1</v>
      </c>
    </row>
    <row r="37" spans="1:65" x14ac:dyDescent="0.3">
      <c r="A37" t="str">
        <f>IF(ISBLANK('Paste Full'!C37),"",'Paste Full'!C37)</f>
        <v>Karnell Dunton</v>
      </c>
      <c r="B37" t="str">
        <f t="shared" si="1"/>
        <v>Striker</v>
      </c>
      <c r="C37" s="2">
        <f>IF(ISBLANK('Paste Full'!H37),"",'Paste Full'!H37)</f>
        <v>17</v>
      </c>
      <c r="D37" s="2">
        <f>IF(ISBLANK('Paste Full'!F37),"",'Paste Full'!F37)</f>
        <v>40</v>
      </c>
      <c r="E37" s="2">
        <f>IF(ISBLANK('Paste Full'!G37),"",'Paste Full'!G37)</f>
        <v>91</v>
      </c>
      <c r="F37" s="22" t="str">
        <f>IF(ISBLANK('Paste Full'!E37),"",'Paste Full'!E37)</f>
        <v>England</v>
      </c>
      <c r="G37" t="str">
        <f>IF(ISBLANK('Paste Full'!CI37),"",'Paste Full'!CI37)</f>
        <v>Brixham</v>
      </c>
      <c r="H37" s="22">
        <f>IF(ISBLANK('Paste Full'!J37),"",'Paste Full'!J37)</f>
        <v>1748</v>
      </c>
      <c r="I37" s="22" t="str">
        <f>IF(ISBLANK('Paste Full'!D37),"",'Paste Full'!D37)</f>
        <v xml:space="preserve">ST </v>
      </c>
      <c r="J37" s="14">
        <f>AVERAGE(SUMPRODUCT($S37:$BM37,AttWeights!$C$10:$AW$10)/SUM(AttWeights!$C$10:$AW$10),SUMPRODUCT($S37:$BM37,AttWeights!$C$17:$AW$17)/SUM(AttWeights!$C$17:$AW$17))*10</f>
        <v>74.339206417418708</v>
      </c>
      <c r="K37" s="14">
        <f>AVERAGE(SUMPRODUCT($S37:$BM37,AttWeights!$C$7:$AW$7)/SUM(AttWeights!$C$7:$AW$7),SUMPRODUCT($S37:$BM37,AttWeights!$C$15:$AW$15)/SUM(AttWeights!$C$15:$AW$15))*10</f>
        <v>68.585030415234073</v>
      </c>
      <c r="L37" s="14">
        <f>AVERAGE(SUMPRODUCT($S37:$BM37,AttWeights!$C$8:$AW$8)/SUM(AttWeights!$C$8:$AW$8),SUMPRODUCT($S37:$BM37,AttWeights!$C$16:$AW$16)/SUM(AttWeights!$C$16:$AW$16))*10</f>
        <v>68.156424581005581</v>
      </c>
      <c r="M37" s="14">
        <f>AVERAGE(SUMPRODUCT($S37:$BM37,AttWeights!$C$9:$AW$9)/SUM(AttWeights!$C$9:$AW$9),SUMPRODUCT($S37:$BM37,AttWeights!$C$15:$AW$15)/SUM(AttWeights!$C$15:$AW$15))*10</f>
        <v>70.450712416400108</v>
      </c>
      <c r="N37" s="14">
        <f>AVERAGE(SUMPRODUCT($S37:$BM37,AttWeights!$C$6:$AW$6)/SUM(AttWeights!$C$6:$AW$6),SUMPRODUCT($S37:$BM37,AttWeights!$C$14:$AW$14)/SUM(AttWeights!$C$14:$AW$14))*10</f>
        <v>64.587327660491169</v>
      </c>
      <c r="O37" s="14">
        <f>AVERAGE(SUMPRODUCT($S37:$BM37,AttWeights!$C$5:$AW$5)/SUM(AttWeights!$C$5:$AW$5),SUMPRODUCT($S37:$BM37,AttWeights!$C$14:$AW$14)/SUM(AttWeights!$C$14:$AW$14))*10</f>
        <v>62.568271061399336</v>
      </c>
      <c r="P37" s="14">
        <f>AVERAGE(SUMPRODUCT($S37:$BM37,AttWeights!$C$4:$AW$4)/SUM(AttWeights!$C$4:$AW$4),SUMPRODUCT($S37:$BM37,AttWeights!$C$13:$AW$13)/SUM(AttWeights!$C$13:$AW$13))*10</f>
        <v>70.690247252747255</v>
      </c>
      <c r="Q37" s="14">
        <f>AVERAGE(SUMPRODUCT($S37:$BM37,AttWeights!$C$3:$AW$3)/SUM(AttWeights!$C$3:$AW$3),SUMPRODUCT($S37:$BM37,AttWeights!$C$12:$AW$12)/SUM(AttWeights!$C$12:$AW$12))*10</f>
        <v>64.331977471839807</v>
      </c>
      <c r="R37" s="14">
        <f>AVERAGE(SUMPRODUCT($S37:$BM37,AttWeights!$C$2:$AW$2)/SUM(AttWeights!$C$2:$AW$2),SUMPRODUCT($S37:$BM37,AttWeights!$C$11:$AW$11)/SUM(AttWeights!$C$11:$AW$11))*10</f>
        <v>47.829501579501574</v>
      </c>
      <c r="S37" s="3">
        <f>IF(ISBLANK('Paste Full'!AC37),"",'Paste Full'!AC37)</f>
        <v>11</v>
      </c>
      <c r="T37" s="3">
        <f>IF(ISBLANK('Paste Full'!AD37),"",'Paste Full'!AD37)</f>
        <v>8</v>
      </c>
      <c r="U37" s="3">
        <f>IF(ISBLANK('Paste Full'!AE37),"",'Paste Full'!AE37)</f>
        <v>5</v>
      </c>
      <c r="V37" s="3">
        <f>IF(ISBLANK('Paste Full'!AF37),"",'Paste Full'!AF37)</f>
        <v>12</v>
      </c>
      <c r="W37" s="3">
        <f>IF(ISBLANK('Paste Full'!AH37),"",'Paste Full'!AH37)</f>
        <v>12</v>
      </c>
      <c r="X37" s="3">
        <f>IF(ISBLANK('Paste Full'!AI37),"",'Paste Full'!AI37)</f>
        <v>8</v>
      </c>
      <c r="Y37" s="3">
        <f>IF(ISBLANK('Paste Full'!AK37),"",'Paste Full'!AK37)</f>
        <v>7</v>
      </c>
      <c r="Z37" s="3">
        <f>IF(ISBLANK('Paste Full'!AL37),"",'Paste Full'!AL37)</f>
        <v>9</v>
      </c>
      <c r="AA37" s="4">
        <f>IF(ISBLANK('Paste Full'!AM37),"",'Paste Full'!AM37)</f>
        <v>3</v>
      </c>
      <c r="AB37" s="4">
        <f>IF(ISBLANK('Paste Full'!AN37),"",'Paste Full'!AN37)</f>
        <v>3</v>
      </c>
      <c r="AC37" s="4">
        <f>IF(ISBLANK('Paste Full'!AO37),"",'Paste Full'!AO37)</f>
        <v>1</v>
      </c>
      <c r="AD37" s="4">
        <f>IF(ISBLANK('Paste Full'!AP37),"",'Paste Full'!AP37)</f>
        <v>2</v>
      </c>
      <c r="AE37" s="4">
        <f>IF(ISBLANK('Paste Full'!AQ37),"",'Paste Full'!AQ37)</f>
        <v>4</v>
      </c>
      <c r="AF37" s="4">
        <f>IF(ISBLANK('Paste Full'!AR37),"",'Paste Full'!AR37)</f>
        <v>3</v>
      </c>
      <c r="AG37" s="4">
        <f>IF(ISBLANK('Paste Full'!AS37),"",'Paste Full'!AS37)</f>
        <v>1</v>
      </c>
      <c r="AH37" s="4">
        <f>IF(ISBLANK('Paste Full'!AV37),"",'Paste Full'!AV37)</f>
        <v>3</v>
      </c>
      <c r="AI37" s="4">
        <f>IF(ISBLANK('Paste Full'!AT37),"",'Paste Full'!AT37)</f>
        <v>1</v>
      </c>
      <c r="AJ37" s="4">
        <f>IF(ISBLANK('Paste Full'!AU37),"",'Paste Full'!AU37)</f>
        <v>3</v>
      </c>
      <c r="AK37" s="4">
        <f>IF(ISBLANK('Paste Full'!AW37),"",'Paste Full'!AW37)</f>
        <v>1</v>
      </c>
      <c r="AL37" s="5">
        <f>IF(ISBLANK('Paste Full'!AX37),"",'Paste Full'!AX37)</f>
        <v>10</v>
      </c>
      <c r="AM37" s="5">
        <f>IF(ISBLANK('Paste Full'!AY37),"",'Paste Full'!AY37)</f>
        <v>6</v>
      </c>
      <c r="AN37" s="5">
        <f>IF(ISBLANK('Paste Full'!AZ37),"",'Paste Full'!AZ37)</f>
        <v>16</v>
      </c>
      <c r="AO37" s="5">
        <f>IF(ISBLANK('Paste Full'!BA37),"",'Paste Full'!BA37)</f>
        <v>6</v>
      </c>
      <c r="AP37" s="5">
        <f>IF(ISBLANK('Paste Full'!BB37),"",'Paste Full'!BB37)</f>
        <v>3</v>
      </c>
      <c r="AQ37" s="5">
        <f>IF(ISBLANK('Paste Full'!BC37),"",'Paste Full'!BC37)</f>
        <v>7</v>
      </c>
      <c r="AR37" s="5">
        <f>IF(ISBLANK('Paste Full'!BD37),"",'Paste Full'!BD37)</f>
        <v>12</v>
      </c>
      <c r="AS37" s="5">
        <f>IF(ISBLANK('Paste Full'!BE37),"",'Paste Full'!BE37)</f>
        <v>16</v>
      </c>
      <c r="AT37" s="5">
        <f>IF(ISBLANK('Paste Full'!BF37),"",'Paste Full'!BF37)</f>
        <v>9</v>
      </c>
      <c r="AU37" s="5">
        <f>IF(ISBLANK('Paste Full'!BG37),"",'Paste Full'!BG37)</f>
        <v>3</v>
      </c>
      <c r="AV37" s="5">
        <f>IF(ISBLANK('Paste Full'!BH37),"",'Paste Full'!BH37)</f>
        <v>4</v>
      </c>
      <c r="AW37" s="5">
        <f>IF(ISBLANK('Paste Full'!BI37),"",'Paste Full'!BI37)</f>
        <v>10</v>
      </c>
      <c r="AX37" s="5">
        <f>IF(ISBLANK('Paste Full'!BJ37),"",'Paste Full'!BJ37)</f>
        <v>3</v>
      </c>
      <c r="AY37" s="5">
        <f>IF(ISBLANK('Paste Full'!BK37),"",'Paste Full'!BK37)</f>
        <v>5</v>
      </c>
      <c r="AZ37" s="6">
        <f>IF(ISBLANK('Paste Full'!BM37),"",'Paste Full'!BM37)</f>
        <v>2</v>
      </c>
      <c r="BA37" s="6">
        <f>IF(ISBLANK('Paste Full'!BN37),"",'Paste Full'!BN37)</f>
        <v>9</v>
      </c>
      <c r="BB37" s="6">
        <f>IF(ISBLANK('Paste Full'!BO37),"",'Paste Full'!BO37)</f>
        <v>7</v>
      </c>
      <c r="BC37" s="6">
        <f>IF(ISBLANK('Paste Full'!BP37),"",'Paste Full'!BP37)</f>
        <v>10</v>
      </c>
      <c r="BD37" s="6">
        <f>IF(ISBLANK('Paste Full'!BR37),"",'Paste Full'!BR37)</f>
        <v>13</v>
      </c>
      <c r="BE37" s="6">
        <f>IF(ISBLANK('Paste Full'!BS37),"",'Paste Full'!BS37)</f>
        <v>3</v>
      </c>
      <c r="BF37" s="6">
        <f>IF(ISBLANK('Paste Full'!BU37),"",'Paste Full'!BU37)</f>
        <v>1</v>
      </c>
      <c r="BG37" s="6">
        <f>IF(ISBLANK('Paste Full'!BV37),"",'Paste Full'!BV37)</f>
        <v>9</v>
      </c>
      <c r="BH37" s="6">
        <f>IF(ISBLANK('Paste Full'!BX37),"",'Paste Full'!BX37)</f>
        <v>1</v>
      </c>
      <c r="BI37" s="6">
        <f>IF(ISBLANK('Paste Full'!BY37),"",'Paste Full'!BY37)</f>
        <v>15</v>
      </c>
      <c r="BJ37" s="13">
        <f>IF(ISBLANK('Paste Full'!BL37),"",'Paste Full'!BL37)</f>
        <v>5</v>
      </c>
      <c r="BK37" s="13">
        <f>IF(ISBLANK('Paste Full'!BQ37),"",'Paste Full'!BQ37)</f>
        <v>8</v>
      </c>
      <c r="BL37" s="13">
        <f>IF(ISBLANK('Paste Full'!BT37),"",'Paste Full'!BT37)</f>
        <v>1</v>
      </c>
      <c r="BM37" s="13">
        <f>IF(ISBLANK('Paste Full'!BW37),"",'Paste Full'!BW37)</f>
        <v>1</v>
      </c>
    </row>
    <row r="38" spans="1:65" x14ac:dyDescent="0.3">
      <c r="A38" t="str">
        <f>IF(ISBLANK('Paste Full'!C38),"",'Paste Full'!C38)</f>
        <v>Kieran Edworthy</v>
      </c>
      <c r="B38" t="str">
        <f t="shared" si="1"/>
        <v>Striker</v>
      </c>
      <c r="C38" s="2">
        <f>IF(ISBLANK('Paste Full'!H38),"",'Paste Full'!H38)</f>
        <v>21</v>
      </c>
      <c r="D38" s="2">
        <f>IF(ISBLANK('Paste Full'!F38),"",'Paste Full'!F38)</f>
        <v>45</v>
      </c>
      <c r="E38" s="2">
        <f>IF(ISBLANK('Paste Full'!G38),"",'Paste Full'!G38)</f>
        <v>85</v>
      </c>
      <c r="F38" s="22" t="str">
        <f>IF(ISBLANK('Paste Full'!E38),"",'Paste Full'!E38)</f>
        <v>England</v>
      </c>
      <c r="G38" t="str">
        <f>IF(ISBLANK('Paste Full'!CI38),"",'Paste Full'!CI38)</f>
        <v>Brixham</v>
      </c>
      <c r="H38" s="22">
        <f>IF(ISBLANK('Paste Full'!J38),"",'Paste Full'!J38)</f>
        <v>0</v>
      </c>
      <c r="I38" s="22" t="str">
        <f>IF(ISBLANK('Paste Full'!D38),"",'Paste Full'!D38)</f>
        <v xml:space="preserve">ST </v>
      </c>
      <c r="J38" s="14">
        <f>AVERAGE(SUMPRODUCT($S38:$BM38,AttWeights!$C$10:$AW$10)/SUM(AttWeights!$C$10:$AW$10),SUMPRODUCT($S38:$BM38,AttWeights!$C$17:$AW$17)/SUM(AttWeights!$C$17:$AW$17))*10</f>
        <v>74.063601203266018</v>
      </c>
      <c r="K38" s="14">
        <f>AVERAGE(SUMPRODUCT($S38:$BM38,AttWeights!$C$7:$AW$7)/SUM(AttWeights!$C$7:$AW$7),SUMPRODUCT($S38:$BM38,AttWeights!$C$15:$AW$15)/SUM(AttWeights!$C$15:$AW$15))*10</f>
        <v>69.01437009609451</v>
      </c>
      <c r="L38" s="14">
        <f>AVERAGE(SUMPRODUCT($S38:$BM38,AttWeights!$C$8:$AW$8)/SUM(AttWeights!$C$8:$AW$8),SUMPRODUCT($S38:$BM38,AttWeights!$C$16:$AW$16)/SUM(AttWeights!$C$16:$AW$16))*10</f>
        <v>68.018886651731265</v>
      </c>
      <c r="M38" s="14">
        <f>AVERAGE(SUMPRODUCT($S38:$BM38,AttWeights!$C$9:$AW$9)/SUM(AttWeights!$C$9:$AW$9),SUMPRODUCT($S38:$BM38,AttWeights!$C$15:$AW$15)/SUM(AttWeights!$C$15:$AW$15))*10</f>
        <v>68.137055345546173</v>
      </c>
      <c r="N38" s="14">
        <f>AVERAGE(SUMPRODUCT($S38:$BM38,AttWeights!$C$6:$AW$6)/SUM(AttWeights!$C$6:$AW$6),SUMPRODUCT($S38:$BM38,AttWeights!$C$14:$AW$14)/SUM(AttWeights!$C$14:$AW$14))*10</f>
        <v>62.602191943127963</v>
      </c>
      <c r="O38" s="14">
        <f>AVERAGE(SUMPRODUCT($S38:$BM38,AttWeights!$C$5:$AW$5)/SUM(AttWeights!$C$5:$AW$5),SUMPRODUCT($S38:$BM38,AttWeights!$C$14:$AW$14)/SUM(AttWeights!$C$14:$AW$14))*10</f>
        <v>60.682264397905769</v>
      </c>
      <c r="P38" s="14">
        <f>AVERAGE(SUMPRODUCT($S38:$BM38,AttWeights!$C$4:$AW$4)/SUM(AttWeights!$C$4:$AW$4),SUMPRODUCT($S38:$BM38,AttWeights!$C$13:$AW$13)/SUM(AttWeights!$C$13:$AW$13))*10</f>
        <v>65.460164835164832</v>
      </c>
      <c r="Q38" s="14">
        <f>AVERAGE(SUMPRODUCT($S38:$BM38,AttWeights!$C$3:$AW$3)/SUM(AttWeights!$C$3:$AW$3),SUMPRODUCT($S38:$BM38,AttWeights!$C$12:$AW$12)/SUM(AttWeights!$C$12:$AW$12))*10</f>
        <v>60.04599499374217</v>
      </c>
      <c r="R38" s="14">
        <f>AVERAGE(SUMPRODUCT($S38:$BM38,AttWeights!$C$2:$AW$2)/SUM(AttWeights!$C$2:$AW$2),SUMPRODUCT($S38:$BM38,AttWeights!$C$11:$AW$11)/SUM(AttWeights!$C$11:$AW$11))*10</f>
        <v>44.64548964548964</v>
      </c>
      <c r="S38" s="3">
        <f>IF(ISBLANK('Paste Full'!AC38),"",'Paste Full'!AC38)</f>
        <v>11</v>
      </c>
      <c r="T38" s="3">
        <f>IF(ISBLANK('Paste Full'!AD38),"",'Paste Full'!AD38)</f>
        <v>9</v>
      </c>
      <c r="U38" s="3">
        <f>IF(ISBLANK('Paste Full'!AE38),"",'Paste Full'!AE38)</f>
        <v>4</v>
      </c>
      <c r="V38" s="3">
        <f>IF(ISBLANK('Paste Full'!AF38),"",'Paste Full'!AF38)</f>
        <v>6</v>
      </c>
      <c r="W38" s="3">
        <f>IF(ISBLANK('Paste Full'!AH38),"",'Paste Full'!AH38)</f>
        <v>13</v>
      </c>
      <c r="X38" s="3">
        <f>IF(ISBLANK('Paste Full'!AI38),"",'Paste Full'!AI38)</f>
        <v>11</v>
      </c>
      <c r="Y38" s="3">
        <f>IF(ISBLANK('Paste Full'!AK38),"",'Paste Full'!AK38)</f>
        <v>2</v>
      </c>
      <c r="Z38" s="3">
        <f>IF(ISBLANK('Paste Full'!AL38),"",'Paste Full'!AL38)</f>
        <v>6</v>
      </c>
      <c r="AA38" s="4">
        <f>IF(ISBLANK('Paste Full'!AM38),"",'Paste Full'!AM38)</f>
        <v>1</v>
      </c>
      <c r="AB38" s="4">
        <f>IF(ISBLANK('Paste Full'!AN38),"",'Paste Full'!AN38)</f>
        <v>2</v>
      </c>
      <c r="AC38" s="4">
        <f>IF(ISBLANK('Paste Full'!AO38),"",'Paste Full'!AO38)</f>
        <v>2</v>
      </c>
      <c r="AD38" s="4">
        <f>IF(ISBLANK('Paste Full'!AP38),"",'Paste Full'!AP38)</f>
        <v>2</v>
      </c>
      <c r="AE38" s="4">
        <f>IF(ISBLANK('Paste Full'!AQ38),"",'Paste Full'!AQ38)</f>
        <v>2</v>
      </c>
      <c r="AF38" s="4">
        <f>IF(ISBLANK('Paste Full'!AR38),"",'Paste Full'!AR38)</f>
        <v>2</v>
      </c>
      <c r="AG38" s="4">
        <f>IF(ISBLANK('Paste Full'!AS38),"",'Paste Full'!AS38)</f>
        <v>1</v>
      </c>
      <c r="AH38" s="4">
        <f>IF(ISBLANK('Paste Full'!AV38),"",'Paste Full'!AV38)</f>
        <v>4</v>
      </c>
      <c r="AI38" s="4">
        <f>IF(ISBLANK('Paste Full'!AT38),"",'Paste Full'!AT38)</f>
        <v>3</v>
      </c>
      <c r="AJ38" s="4">
        <f>IF(ISBLANK('Paste Full'!AU38),"",'Paste Full'!AU38)</f>
        <v>3</v>
      </c>
      <c r="AK38" s="4">
        <f>IF(ISBLANK('Paste Full'!AW38),"",'Paste Full'!AW38)</f>
        <v>3</v>
      </c>
      <c r="AL38" s="5">
        <f>IF(ISBLANK('Paste Full'!AX38),"",'Paste Full'!AX38)</f>
        <v>9</v>
      </c>
      <c r="AM38" s="5">
        <f>IF(ISBLANK('Paste Full'!AY38),"",'Paste Full'!AY38)</f>
        <v>11</v>
      </c>
      <c r="AN38" s="5">
        <f>IF(ISBLANK('Paste Full'!AZ38),"",'Paste Full'!AZ38)</f>
        <v>6</v>
      </c>
      <c r="AO38" s="5">
        <f>IF(ISBLANK('Paste Full'!BA38),"",'Paste Full'!BA38)</f>
        <v>6</v>
      </c>
      <c r="AP38" s="5">
        <f>IF(ISBLANK('Paste Full'!BB38),"",'Paste Full'!BB38)</f>
        <v>5</v>
      </c>
      <c r="AQ38" s="5">
        <f>IF(ISBLANK('Paste Full'!BC38),"",'Paste Full'!BC38)</f>
        <v>7</v>
      </c>
      <c r="AR38" s="5">
        <f>IF(ISBLANK('Paste Full'!BD38),"",'Paste Full'!BD38)</f>
        <v>7</v>
      </c>
      <c r="AS38" s="5">
        <f>IF(ISBLANK('Paste Full'!BE38),"",'Paste Full'!BE38)</f>
        <v>12</v>
      </c>
      <c r="AT38" s="5">
        <f>IF(ISBLANK('Paste Full'!BF38),"",'Paste Full'!BF38)</f>
        <v>11</v>
      </c>
      <c r="AU38" s="5">
        <f>IF(ISBLANK('Paste Full'!BG38),"",'Paste Full'!BG38)</f>
        <v>12</v>
      </c>
      <c r="AV38" s="5">
        <f>IF(ISBLANK('Paste Full'!BH38),"",'Paste Full'!BH38)</f>
        <v>2</v>
      </c>
      <c r="AW38" s="5">
        <f>IF(ISBLANK('Paste Full'!BI38),"",'Paste Full'!BI38)</f>
        <v>4</v>
      </c>
      <c r="AX38" s="5">
        <f>IF(ISBLANK('Paste Full'!BJ38),"",'Paste Full'!BJ38)</f>
        <v>3</v>
      </c>
      <c r="AY38" s="5">
        <f>IF(ISBLANK('Paste Full'!BK38),"",'Paste Full'!BK38)</f>
        <v>5</v>
      </c>
      <c r="AZ38" s="6">
        <f>IF(ISBLANK('Paste Full'!BM38),"",'Paste Full'!BM38)</f>
        <v>5</v>
      </c>
      <c r="BA38" s="6">
        <f>IF(ISBLANK('Paste Full'!BN38),"",'Paste Full'!BN38)</f>
        <v>7</v>
      </c>
      <c r="BB38" s="6">
        <f>IF(ISBLANK('Paste Full'!BO38),"",'Paste Full'!BO38)</f>
        <v>12</v>
      </c>
      <c r="BC38" s="6">
        <f>IF(ISBLANK('Paste Full'!BP38),"",'Paste Full'!BP38)</f>
        <v>9</v>
      </c>
      <c r="BD38" s="6">
        <f>IF(ISBLANK('Paste Full'!BR38),"",'Paste Full'!BR38)</f>
        <v>13</v>
      </c>
      <c r="BE38" s="6">
        <f>IF(ISBLANK('Paste Full'!BS38),"",'Paste Full'!BS38)</f>
        <v>5</v>
      </c>
      <c r="BF38" s="6">
        <f>IF(ISBLANK('Paste Full'!BU38),"",'Paste Full'!BU38)</f>
        <v>3</v>
      </c>
      <c r="BG38" s="6">
        <f>IF(ISBLANK('Paste Full'!BV38),"",'Paste Full'!BV38)</f>
        <v>11</v>
      </c>
      <c r="BH38" s="6">
        <f>IF(ISBLANK('Paste Full'!BX38),"",'Paste Full'!BX38)</f>
        <v>1</v>
      </c>
      <c r="BI38" s="6">
        <f>IF(ISBLANK('Paste Full'!BY38),"",'Paste Full'!BY38)</f>
        <v>10</v>
      </c>
      <c r="BJ38" s="13">
        <f>IF(ISBLANK('Paste Full'!BL38),"",'Paste Full'!BL38)</f>
        <v>5</v>
      </c>
      <c r="BK38" s="13">
        <f>IF(ISBLANK('Paste Full'!BQ38),"",'Paste Full'!BQ38)</f>
        <v>4</v>
      </c>
      <c r="BL38" s="13">
        <f>IF(ISBLANK('Paste Full'!BT38),"",'Paste Full'!BT38)</f>
        <v>1</v>
      </c>
      <c r="BM38" s="13">
        <f>IF(ISBLANK('Paste Full'!BW38),"",'Paste Full'!BW38)</f>
        <v>3</v>
      </c>
    </row>
    <row r="39" spans="1:65" x14ac:dyDescent="0.3">
      <c r="A39" t="str">
        <f>IF(ISBLANK('Paste Full'!C39),"",'Paste Full'!C39)</f>
        <v>Max Drayton</v>
      </c>
      <c r="B39" t="str">
        <f t="shared" si="1"/>
        <v>AM(C)</v>
      </c>
      <c r="C39" s="2">
        <f>IF(ISBLANK('Paste Full'!H39),"",'Paste Full'!H39)</f>
        <v>20</v>
      </c>
      <c r="D39" s="2">
        <f>IF(ISBLANK('Paste Full'!F39),"",'Paste Full'!F39)</f>
        <v>30</v>
      </c>
      <c r="E39" s="2">
        <f>IF(ISBLANK('Paste Full'!G39),"",'Paste Full'!G39)</f>
        <v>75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0</v>
      </c>
      <c r="I39" s="22" t="str">
        <f>IF(ISBLANK('Paste Full'!D39),"",'Paste Full'!D39)</f>
        <v>M C</v>
      </c>
      <c r="J39" s="14">
        <f>AVERAGE(SUMPRODUCT($S39:$BM39,AttWeights!$C$10:$AW$10)/SUM(AttWeights!$C$10:$AW$10),SUMPRODUCT($S39:$BM39,AttWeights!$C$17:$AW$17)/SUM(AttWeights!$C$17:$AW$17))*10</f>
        <v>61.871938117748172</v>
      </c>
      <c r="K39" s="14">
        <f>AVERAGE(SUMPRODUCT($S39:$BM39,AttWeights!$C$7:$AW$7)/SUM(AttWeights!$C$7:$AW$7),SUMPRODUCT($S39:$BM39,AttWeights!$C$15:$AW$15)/SUM(AttWeights!$C$15:$AW$15))*10</f>
        <v>66.002233389168069</v>
      </c>
      <c r="L39" s="14">
        <f>AVERAGE(SUMPRODUCT($S39:$BM39,AttWeights!$C$8:$AW$8)/SUM(AttWeights!$C$8:$AW$8),SUMPRODUCT($S39:$BM39,AttWeights!$C$16:$AW$16)/SUM(AttWeights!$C$16:$AW$16))*10</f>
        <v>67.223009953775914</v>
      </c>
      <c r="M39" s="14">
        <f>AVERAGE(SUMPRODUCT($S39:$BM39,AttWeights!$C$9:$AW$9)/SUM(AttWeights!$C$9:$AW$9),SUMPRODUCT($S39:$BM39,AttWeights!$C$15:$AW$15)/SUM(AttWeights!$C$15:$AW$15))*10</f>
        <v>66.682013505217924</v>
      </c>
      <c r="N39" s="14">
        <f>AVERAGE(SUMPRODUCT($S39:$BM39,AttWeights!$C$6:$AW$6)/SUM(AttWeights!$C$6:$AW$6),SUMPRODUCT($S39:$BM39,AttWeights!$C$14:$AW$14)/SUM(AttWeights!$C$14:$AW$14))*10</f>
        <v>65.889029513140883</v>
      </c>
      <c r="O39" s="14">
        <f>AVERAGE(SUMPRODUCT($S39:$BM39,AttWeights!$C$5:$AW$5)/SUM(AttWeights!$C$5:$AW$5),SUMPRODUCT($S39:$BM39,AttWeights!$C$14:$AW$14)/SUM(AttWeights!$C$14:$AW$14))*10</f>
        <v>64.534596620656828</v>
      </c>
      <c r="P39" s="14">
        <f>AVERAGE(SUMPRODUCT($S39:$BM39,AttWeights!$C$4:$AW$4)/SUM(AttWeights!$C$4:$AW$4),SUMPRODUCT($S39:$BM39,AttWeights!$C$13:$AW$13)/SUM(AttWeights!$C$13:$AW$13))*10</f>
        <v>60.88942307692308</v>
      </c>
      <c r="Q39" s="14">
        <f>AVERAGE(SUMPRODUCT($S39:$BM39,AttWeights!$C$3:$AW$3)/SUM(AttWeights!$C$3:$AW$3),SUMPRODUCT($S39:$BM39,AttWeights!$C$12:$AW$12)/SUM(AttWeights!$C$12:$AW$12))*10</f>
        <v>63.702440550688365</v>
      </c>
      <c r="R39" s="14">
        <f>AVERAGE(SUMPRODUCT($S39:$BM39,AttWeights!$C$2:$AW$2)/SUM(AttWeights!$C$2:$AW$2),SUMPRODUCT($S39:$BM39,AttWeights!$C$11:$AW$11)/SUM(AttWeights!$C$11:$AW$11))*10</f>
        <v>43.531063531063538</v>
      </c>
      <c r="S39" s="3">
        <f>IF(ISBLANK('Paste Full'!AC39),"",'Paste Full'!AC39)</f>
        <v>9</v>
      </c>
      <c r="T39" s="3">
        <f>IF(ISBLANK('Paste Full'!AD39),"",'Paste Full'!AD39)</f>
        <v>8</v>
      </c>
      <c r="U39" s="3">
        <f>IF(ISBLANK('Paste Full'!AE39),"",'Paste Full'!AE39)</f>
        <v>5</v>
      </c>
      <c r="V39" s="3">
        <f>IF(ISBLANK('Paste Full'!AF39),"",'Paste Full'!AF39)</f>
        <v>9</v>
      </c>
      <c r="W39" s="3">
        <f>IF(ISBLANK('Paste Full'!AH39),"",'Paste Full'!AH39)</f>
        <v>13</v>
      </c>
      <c r="X39" s="3">
        <f>IF(ISBLANK('Paste Full'!AI39),"",'Paste Full'!AI39)</f>
        <v>9</v>
      </c>
      <c r="Y39" s="3">
        <f>IF(ISBLANK('Paste Full'!AK39),"",'Paste Full'!AK39)</f>
        <v>7</v>
      </c>
      <c r="Z39" s="3">
        <f>IF(ISBLANK('Paste Full'!AL39),"",'Paste Full'!AL39)</f>
        <v>4</v>
      </c>
      <c r="AA39" s="4">
        <f>IF(ISBLANK('Paste Full'!AM39),"",'Paste Full'!AM39)</f>
        <v>1</v>
      </c>
      <c r="AB39" s="4">
        <f>IF(ISBLANK('Paste Full'!AN39),"",'Paste Full'!AN39)</f>
        <v>2</v>
      </c>
      <c r="AC39" s="4">
        <f>IF(ISBLANK('Paste Full'!AO39),"",'Paste Full'!AO39)</f>
        <v>2</v>
      </c>
      <c r="AD39" s="4">
        <f>IF(ISBLANK('Paste Full'!AP39),"",'Paste Full'!AP39)</f>
        <v>2</v>
      </c>
      <c r="AE39" s="4">
        <f>IF(ISBLANK('Paste Full'!AQ39),"",'Paste Full'!AQ39)</f>
        <v>2</v>
      </c>
      <c r="AF39" s="4">
        <f>IF(ISBLANK('Paste Full'!AR39),"",'Paste Full'!AR39)</f>
        <v>1</v>
      </c>
      <c r="AG39" s="4">
        <f>IF(ISBLANK('Paste Full'!AS39),"",'Paste Full'!AS39)</f>
        <v>1</v>
      </c>
      <c r="AH39" s="4">
        <f>IF(ISBLANK('Paste Full'!AV39),"",'Paste Full'!AV39)</f>
        <v>3</v>
      </c>
      <c r="AI39" s="4">
        <f>IF(ISBLANK('Paste Full'!AT39),"",'Paste Full'!AT39)</f>
        <v>3</v>
      </c>
      <c r="AJ39" s="4">
        <f>IF(ISBLANK('Paste Full'!AU39),"",'Paste Full'!AU39)</f>
        <v>3</v>
      </c>
      <c r="AK39" s="4">
        <f>IF(ISBLANK('Paste Full'!AW39),"",'Paste Full'!AW39)</f>
        <v>1</v>
      </c>
      <c r="AL39" s="5">
        <f>IF(ISBLANK('Paste Full'!AX39),"",'Paste Full'!AX39)</f>
        <v>10</v>
      </c>
      <c r="AM39" s="5">
        <f>IF(ISBLANK('Paste Full'!AY39),"",'Paste Full'!AY39)</f>
        <v>7</v>
      </c>
      <c r="AN39" s="5">
        <f>IF(ISBLANK('Paste Full'!AZ39),"",'Paste Full'!AZ39)</f>
        <v>1</v>
      </c>
      <c r="AO39" s="5">
        <f>IF(ISBLANK('Paste Full'!BA39),"",'Paste Full'!BA39)</f>
        <v>4</v>
      </c>
      <c r="AP39" s="5">
        <f>IF(ISBLANK('Paste Full'!BB39),"",'Paste Full'!BB39)</f>
        <v>3</v>
      </c>
      <c r="AQ39" s="5">
        <f>IF(ISBLANK('Paste Full'!BC39),"",'Paste Full'!BC39)</f>
        <v>12</v>
      </c>
      <c r="AR39" s="5">
        <f>IF(ISBLANK('Paste Full'!BD39),"",'Paste Full'!BD39)</f>
        <v>11</v>
      </c>
      <c r="AS39" s="5">
        <f>IF(ISBLANK('Paste Full'!BE39),"",'Paste Full'!BE39)</f>
        <v>6</v>
      </c>
      <c r="AT39" s="5">
        <f>IF(ISBLANK('Paste Full'!BF39),"",'Paste Full'!BF39)</f>
        <v>11</v>
      </c>
      <c r="AU39" s="5">
        <f>IF(ISBLANK('Paste Full'!BG39),"",'Paste Full'!BG39)</f>
        <v>6</v>
      </c>
      <c r="AV39" s="5">
        <f>IF(ISBLANK('Paste Full'!BH39),"",'Paste Full'!BH39)</f>
        <v>4</v>
      </c>
      <c r="AW39" s="5">
        <f>IF(ISBLANK('Paste Full'!BI39),"",'Paste Full'!BI39)</f>
        <v>7</v>
      </c>
      <c r="AX39" s="5">
        <f>IF(ISBLANK('Paste Full'!BJ39),"",'Paste Full'!BJ39)</f>
        <v>6</v>
      </c>
      <c r="AY39" s="5">
        <f>IF(ISBLANK('Paste Full'!BK39),"",'Paste Full'!BK39)</f>
        <v>11</v>
      </c>
      <c r="AZ39" s="6">
        <f>IF(ISBLANK('Paste Full'!BM39),"",'Paste Full'!BM39)</f>
        <v>1</v>
      </c>
      <c r="BA39" s="6">
        <f>IF(ISBLANK('Paste Full'!BN39),"",'Paste Full'!BN39)</f>
        <v>4</v>
      </c>
      <c r="BB39" s="6">
        <f>IF(ISBLANK('Paste Full'!BO39),"",'Paste Full'!BO39)</f>
        <v>2</v>
      </c>
      <c r="BC39" s="6">
        <f>IF(ISBLANK('Paste Full'!BP39),"",'Paste Full'!BP39)</f>
        <v>13</v>
      </c>
      <c r="BD39" s="6">
        <f>IF(ISBLANK('Paste Full'!BR39),"",'Paste Full'!BR39)</f>
        <v>1</v>
      </c>
      <c r="BE39" s="6">
        <f>IF(ISBLANK('Paste Full'!BS39),"",'Paste Full'!BS39)</f>
        <v>5</v>
      </c>
      <c r="BF39" s="6">
        <f>IF(ISBLANK('Paste Full'!BU39),"",'Paste Full'!BU39)</f>
        <v>8</v>
      </c>
      <c r="BG39" s="6">
        <f>IF(ISBLANK('Paste Full'!BV39),"",'Paste Full'!BV39)</f>
        <v>7</v>
      </c>
      <c r="BH39" s="6">
        <f>IF(ISBLANK('Paste Full'!BX39),"",'Paste Full'!BX39)</f>
        <v>5</v>
      </c>
      <c r="BI39" s="6">
        <f>IF(ISBLANK('Paste Full'!BY39),"",'Paste Full'!BY39)</f>
        <v>9</v>
      </c>
      <c r="BJ39" s="13">
        <f>IF(ISBLANK('Paste Full'!BL39),"",'Paste Full'!BL39)</f>
        <v>4</v>
      </c>
      <c r="BK39" s="13">
        <f>IF(ISBLANK('Paste Full'!BQ39),"",'Paste Full'!BQ39)</f>
        <v>4</v>
      </c>
      <c r="BL39" s="13">
        <f>IF(ISBLANK('Paste Full'!BT39),"",'Paste Full'!BT39)</f>
        <v>1</v>
      </c>
      <c r="BM39" s="13">
        <f>IF(ISBLANK('Paste Full'!BW39),"",'Paste Full'!BW39)</f>
        <v>2</v>
      </c>
    </row>
    <row r="40" spans="1:65" x14ac:dyDescent="0.3">
      <c r="A40" t="str">
        <f>IF(ISBLANK('Paste Full'!C40),"",'Paste Full'!C40)</f>
        <v>Maxwell Redman</v>
      </c>
      <c r="B40" t="str">
        <f t="shared" si="1"/>
        <v>D(C)</v>
      </c>
      <c r="C40" s="2">
        <f>IF(ISBLANK('Paste Full'!H40),"",'Paste Full'!H40)</f>
        <v>17</v>
      </c>
      <c r="D40" s="2">
        <f>IF(ISBLANK('Paste Full'!F40),"",'Paste Full'!F40)</f>
        <v>61</v>
      </c>
      <c r="E40" s="2">
        <f>IF(ISBLANK('Paste Full'!G40),"",'Paste Full'!G40)</f>
        <v>78</v>
      </c>
      <c r="F40" s="22" t="str">
        <f>IF(ISBLANK('Paste Full'!E40),"",'Paste Full'!E40)</f>
        <v>Australia,England</v>
      </c>
      <c r="G40" t="str">
        <f>IF(ISBLANK('Paste Full'!CI40),"",'Paste Full'!CI40)</f>
        <v>Brixham</v>
      </c>
      <c r="H40" s="22">
        <f>IF(ISBLANK('Paste Full'!J40),"",'Paste Full'!J40)</f>
        <v>0</v>
      </c>
      <c r="I40" s="22" t="str">
        <f>IF(ISBLANK('Paste Full'!D40),"",'Paste Full'!D40)</f>
        <v>D LC</v>
      </c>
      <c r="J40" s="14">
        <f>AVERAGE(SUMPRODUCT($S40:$BM40,AttWeights!$C$10:$AW$10)/SUM(AttWeights!$C$10:$AW$10),SUMPRODUCT($S40:$BM40,AttWeights!$C$17:$AW$17)/SUM(AttWeights!$C$17:$AW$17))*10</f>
        <v>70.790860908179354</v>
      </c>
      <c r="K40" s="14">
        <f>AVERAGE(SUMPRODUCT($S40:$BM40,AttWeights!$C$7:$AW$7)/SUM(AttWeights!$C$7:$AW$7),SUMPRODUCT($S40:$BM40,AttWeights!$C$15:$AW$15)/SUM(AttWeights!$C$15:$AW$15))*10</f>
        <v>68.278380205119163</v>
      </c>
      <c r="L40" s="14">
        <f>AVERAGE(SUMPRODUCT($S40:$BM40,AttWeights!$C$8:$AW$8)/SUM(AttWeights!$C$8:$AW$8),SUMPRODUCT($S40:$BM40,AttWeights!$C$16:$AW$16)/SUM(AttWeights!$C$16:$AW$16))*10</f>
        <v>68.559112951252018</v>
      </c>
      <c r="M40" s="14">
        <f>AVERAGE(SUMPRODUCT($S40:$BM40,AttWeights!$C$9:$AW$9)/SUM(AttWeights!$C$9:$AW$9),SUMPRODUCT($S40:$BM40,AttWeights!$C$15:$AW$15)/SUM(AttWeights!$C$15:$AW$15))*10</f>
        <v>69.661400277858547</v>
      </c>
      <c r="N40" s="14">
        <f>AVERAGE(SUMPRODUCT($S40:$BM40,AttWeights!$C$6:$AW$6)/SUM(AttWeights!$C$6:$AW$6),SUMPRODUCT($S40:$BM40,AttWeights!$C$14:$AW$14)/SUM(AttWeights!$C$14:$AW$14))*10</f>
        <v>74.058056872037923</v>
      </c>
      <c r="O40" s="14">
        <f>AVERAGE(SUMPRODUCT($S40:$BM40,AttWeights!$C$5:$AW$5)/SUM(AttWeights!$C$5:$AW$5),SUMPRODUCT($S40:$BM40,AttWeights!$C$14:$AW$14)/SUM(AttWeights!$C$14:$AW$14))*10</f>
        <v>76.420157068062821</v>
      </c>
      <c r="P40" s="14">
        <f>AVERAGE(SUMPRODUCT($S40:$BM40,AttWeights!$C$4:$AW$4)/SUM(AttWeights!$C$4:$AW$4),SUMPRODUCT($S40:$BM40,AttWeights!$C$13:$AW$13)/SUM(AttWeights!$C$13:$AW$13))*10</f>
        <v>84.532967032967036</v>
      </c>
      <c r="Q40" s="14">
        <f>AVERAGE(SUMPRODUCT($S40:$BM40,AttWeights!$C$3:$AW$3)/SUM(AttWeights!$C$3:$AW$3),SUMPRODUCT($S40:$BM40,AttWeights!$C$12:$AW$12)/SUM(AttWeights!$C$12:$AW$12))*10</f>
        <v>79.282227784730907</v>
      </c>
      <c r="R40" s="14">
        <f>AVERAGE(SUMPRODUCT($S40:$BM40,AttWeights!$C$2:$AW$2)/SUM(AttWeights!$C$2:$AW$2),SUMPRODUCT($S40:$BM40,AttWeights!$C$11:$AW$11)/SUM(AttWeights!$C$11:$AW$11))*10</f>
        <v>55.845910845910836</v>
      </c>
      <c r="S40" s="3">
        <f>IF(ISBLANK('Paste Full'!AC40),"",'Paste Full'!AC40)</f>
        <v>8</v>
      </c>
      <c r="T40" s="3">
        <f>IF(ISBLANK('Paste Full'!AD40),"",'Paste Full'!AD40)</f>
        <v>7</v>
      </c>
      <c r="U40" s="3">
        <f>IF(ISBLANK('Paste Full'!AE40),"",'Paste Full'!AE40)</f>
        <v>13</v>
      </c>
      <c r="V40" s="3">
        <f>IF(ISBLANK('Paste Full'!AF40),"",'Paste Full'!AF40)</f>
        <v>13</v>
      </c>
      <c r="W40" s="3">
        <f>IF(ISBLANK('Paste Full'!AH40),"",'Paste Full'!AH40)</f>
        <v>12</v>
      </c>
      <c r="X40" s="3">
        <f>IF(ISBLANK('Paste Full'!AI40),"",'Paste Full'!AI40)</f>
        <v>11</v>
      </c>
      <c r="Y40" s="3">
        <f>IF(ISBLANK('Paste Full'!AK40),"",'Paste Full'!AK40)</f>
        <v>6</v>
      </c>
      <c r="Z40" s="3">
        <f>IF(ISBLANK('Paste Full'!AL40),"",'Paste Full'!AL40)</f>
        <v>6</v>
      </c>
      <c r="AA40" s="4">
        <f>IF(ISBLANK('Paste Full'!AM40),"",'Paste Full'!AM40)</f>
        <v>1</v>
      </c>
      <c r="AB40" s="4">
        <f>IF(ISBLANK('Paste Full'!AN40),"",'Paste Full'!AN40)</f>
        <v>3</v>
      </c>
      <c r="AC40" s="4">
        <f>IF(ISBLANK('Paste Full'!AO40),"",'Paste Full'!AO40)</f>
        <v>1</v>
      </c>
      <c r="AD40" s="4">
        <f>IF(ISBLANK('Paste Full'!AP40),"",'Paste Full'!AP40)</f>
        <v>1</v>
      </c>
      <c r="AE40" s="4">
        <f>IF(ISBLANK('Paste Full'!AQ40),"",'Paste Full'!AQ40)</f>
        <v>3</v>
      </c>
      <c r="AF40" s="4">
        <f>IF(ISBLANK('Paste Full'!AR40),"",'Paste Full'!AR40)</f>
        <v>1</v>
      </c>
      <c r="AG40" s="4">
        <f>IF(ISBLANK('Paste Full'!AS40),"",'Paste Full'!AS40)</f>
        <v>1</v>
      </c>
      <c r="AH40" s="4">
        <f>IF(ISBLANK('Paste Full'!AV40),"",'Paste Full'!AV40)</f>
        <v>1</v>
      </c>
      <c r="AI40" s="4">
        <f>IF(ISBLANK('Paste Full'!AT40),"",'Paste Full'!AT40)</f>
        <v>3</v>
      </c>
      <c r="AJ40" s="4">
        <f>IF(ISBLANK('Paste Full'!AU40),"",'Paste Full'!AU40)</f>
        <v>3</v>
      </c>
      <c r="AK40" s="4">
        <f>IF(ISBLANK('Paste Full'!AW40),"",'Paste Full'!AW40)</f>
        <v>3</v>
      </c>
      <c r="AL40" s="5">
        <f>IF(ISBLANK('Paste Full'!AX40),"",'Paste Full'!AX40)</f>
        <v>12</v>
      </c>
      <c r="AM40" s="5">
        <f>IF(ISBLANK('Paste Full'!AY40),"",'Paste Full'!AY40)</f>
        <v>6</v>
      </c>
      <c r="AN40" s="5">
        <f>IF(ISBLANK('Paste Full'!AZ40),"",'Paste Full'!AZ40)</f>
        <v>17</v>
      </c>
      <c r="AO40" s="5">
        <f>IF(ISBLANK('Paste Full'!BA40),"",'Paste Full'!BA40)</f>
        <v>6</v>
      </c>
      <c r="AP40" s="5">
        <f>IF(ISBLANK('Paste Full'!BB40),"",'Paste Full'!BB40)</f>
        <v>9</v>
      </c>
      <c r="AQ40" s="5">
        <f>IF(ISBLANK('Paste Full'!BC40),"",'Paste Full'!BC40)</f>
        <v>9</v>
      </c>
      <c r="AR40" s="5">
        <f>IF(ISBLANK('Paste Full'!BD40),"",'Paste Full'!BD40)</f>
        <v>14</v>
      </c>
      <c r="AS40" s="5">
        <f>IF(ISBLANK('Paste Full'!BE40),"",'Paste Full'!BE40)</f>
        <v>2</v>
      </c>
      <c r="AT40" s="5">
        <f>IF(ISBLANK('Paste Full'!BF40),"",'Paste Full'!BF40)</f>
        <v>12</v>
      </c>
      <c r="AU40" s="5">
        <f>IF(ISBLANK('Paste Full'!BG40),"",'Paste Full'!BG40)</f>
        <v>3</v>
      </c>
      <c r="AV40" s="5">
        <f>IF(ISBLANK('Paste Full'!BH40),"",'Paste Full'!BH40)</f>
        <v>12</v>
      </c>
      <c r="AW40" s="5">
        <f>IF(ISBLANK('Paste Full'!BI40),"",'Paste Full'!BI40)</f>
        <v>4</v>
      </c>
      <c r="AX40" s="5">
        <f>IF(ISBLANK('Paste Full'!BJ40),"",'Paste Full'!BJ40)</f>
        <v>4</v>
      </c>
      <c r="AY40" s="5">
        <f>IF(ISBLANK('Paste Full'!BK40),"",'Paste Full'!BK40)</f>
        <v>8</v>
      </c>
      <c r="AZ40" s="6">
        <f>IF(ISBLANK('Paste Full'!BM40),"",'Paste Full'!BM40)</f>
        <v>6</v>
      </c>
      <c r="BA40" s="6">
        <f>IF(ISBLANK('Paste Full'!BN40),"",'Paste Full'!BN40)</f>
        <v>4</v>
      </c>
      <c r="BB40" s="6">
        <f>IF(ISBLANK('Paste Full'!BO40),"",'Paste Full'!BO40)</f>
        <v>2</v>
      </c>
      <c r="BC40" s="6">
        <f>IF(ISBLANK('Paste Full'!BP40),"",'Paste Full'!BP40)</f>
        <v>7</v>
      </c>
      <c r="BD40" s="6">
        <f>IF(ISBLANK('Paste Full'!BR40),"",'Paste Full'!BR40)</f>
        <v>11</v>
      </c>
      <c r="BE40" s="6">
        <f>IF(ISBLANK('Paste Full'!BS40),"",'Paste Full'!BS40)</f>
        <v>4</v>
      </c>
      <c r="BF40" s="6">
        <f>IF(ISBLANK('Paste Full'!BU40),"",'Paste Full'!BU40)</f>
        <v>12</v>
      </c>
      <c r="BG40" s="6">
        <f>IF(ISBLANK('Paste Full'!BV40),"",'Paste Full'!BV40)</f>
        <v>5</v>
      </c>
      <c r="BH40" s="6">
        <f>IF(ISBLANK('Paste Full'!BX40),"",'Paste Full'!BX40)</f>
        <v>10</v>
      </c>
      <c r="BI40" s="6">
        <f>IF(ISBLANK('Paste Full'!BY40),"",'Paste Full'!BY40)</f>
        <v>7</v>
      </c>
      <c r="BJ40" s="13">
        <f>IF(ISBLANK('Paste Full'!BL40),"",'Paste Full'!BL40)</f>
        <v>2</v>
      </c>
      <c r="BK40" s="13">
        <f>IF(ISBLANK('Paste Full'!BQ40),"",'Paste Full'!BQ40)</f>
        <v>3</v>
      </c>
      <c r="BL40" s="13">
        <f>IF(ISBLANK('Paste Full'!BT40),"",'Paste Full'!BT40)</f>
        <v>4</v>
      </c>
      <c r="BM40" s="13">
        <f>IF(ISBLANK('Paste Full'!BW40),"",'Paste Full'!BW40)</f>
        <v>2</v>
      </c>
    </row>
    <row r="41" spans="1:65" x14ac:dyDescent="0.3">
      <c r="A41" t="str">
        <f>IF(ISBLANK('Paste Full'!C41),"",'Paste Full'!C41)</f>
        <v>Nnaemeka Anyanwu</v>
      </c>
      <c r="B41" t="str">
        <f t="shared" si="1"/>
        <v>AM(R)</v>
      </c>
      <c r="C41" s="2">
        <f>IF(ISBLANK('Paste Full'!H41),"",'Paste Full'!H41)</f>
        <v>20</v>
      </c>
      <c r="D41" s="2">
        <f>IF(ISBLANK('Paste Full'!F41),"",'Paste Full'!F41)</f>
        <v>46</v>
      </c>
      <c r="E41" s="2">
        <f>IF(ISBLANK('Paste Full'!G41),"",'Paste Full'!G41)</f>
        <v>71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0</v>
      </c>
      <c r="I41" s="22" t="str">
        <f>IF(ISBLANK('Paste Full'!D41),"",'Paste Full'!D41)</f>
        <v>M/AM/ST L</v>
      </c>
      <c r="J41" s="14">
        <f>AVERAGE(SUMPRODUCT($S41:$BM41,AttWeights!$C$10:$AW$10)/SUM(AttWeights!$C$10:$AW$10),SUMPRODUCT($S41:$BM41,AttWeights!$C$17:$AW$17)/SUM(AttWeights!$C$17:$AW$17))*10</f>
        <v>66.528577567683712</v>
      </c>
      <c r="K41" s="14">
        <f>AVERAGE(SUMPRODUCT($S41:$BM41,AttWeights!$C$7:$AW$7)/SUM(AttWeights!$C$7:$AW$7),SUMPRODUCT($S41:$BM41,AttWeights!$C$15:$AW$15)/SUM(AttWeights!$C$15:$AW$15))*10</f>
        <v>69.545387757500961</v>
      </c>
      <c r="L41" s="14">
        <f>AVERAGE(SUMPRODUCT($S41:$BM41,AttWeights!$C$8:$AW$8)/SUM(AttWeights!$C$8:$AW$8),SUMPRODUCT($S41:$BM41,AttWeights!$C$16:$AW$16)/SUM(AttWeights!$C$16:$AW$16))*10</f>
        <v>68.623769957178922</v>
      </c>
      <c r="M41" s="14">
        <f>AVERAGE(SUMPRODUCT($S41:$BM41,AttWeights!$C$9:$AW$9)/SUM(AttWeights!$C$9:$AW$9),SUMPRODUCT($S41:$BM41,AttWeights!$C$15:$AW$15)/SUM(AttWeights!$C$15:$AW$15))*10</f>
        <v>69.766243417013982</v>
      </c>
      <c r="N41" s="14">
        <f>AVERAGE(SUMPRODUCT($S41:$BM41,AttWeights!$C$6:$AW$6)/SUM(AttWeights!$C$6:$AW$6),SUMPRODUCT($S41:$BM41,AttWeights!$C$14:$AW$14)/SUM(AttWeights!$C$14:$AW$14))*10</f>
        <v>62.65348987505385</v>
      </c>
      <c r="O41" s="14">
        <f>AVERAGE(SUMPRODUCT($S41:$BM41,AttWeights!$C$5:$AW$5)/SUM(AttWeights!$C$5:$AW$5),SUMPRODUCT($S41:$BM41,AttWeights!$C$14:$AW$14)/SUM(AttWeights!$C$14:$AW$14))*10</f>
        <v>61.353522132317941</v>
      </c>
      <c r="P41" s="14">
        <f>AVERAGE(SUMPRODUCT($S41:$BM41,AttWeights!$C$4:$AW$4)/SUM(AttWeights!$C$4:$AW$4),SUMPRODUCT($S41:$BM41,AttWeights!$C$13:$AW$13)/SUM(AttWeights!$C$13:$AW$13))*10</f>
        <v>59.831730769230766</v>
      </c>
      <c r="Q41" s="14">
        <f>AVERAGE(SUMPRODUCT($S41:$BM41,AttWeights!$C$3:$AW$3)/SUM(AttWeights!$C$3:$AW$3),SUMPRODUCT($S41:$BM41,AttWeights!$C$12:$AW$12)/SUM(AttWeights!$C$12:$AW$12))*10</f>
        <v>61.922403003754695</v>
      </c>
      <c r="R41" s="14">
        <f>AVERAGE(SUMPRODUCT($S41:$BM41,AttWeights!$C$2:$AW$2)/SUM(AttWeights!$C$2:$AW$2),SUMPRODUCT($S41:$BM41,AttWeights!$C$11:$AW$11)/SUM(AttWeights!$C$11:$AW$11))*10</f>
        <v>47.365742365742364</v>
      </c>
      <c r="S41" s="3">
        <f>IF(ISBLANK('Paste Full'!AC41),"",'Paste Full'!AC41)</f>
        <v>13</v>
      </c>
      <c r="T41" s="3">
        <f>IF(ISBLANK('Paste Full'!AD41),"",'Paste Full'!AD41)</f>
        <v>10</v>
      </c>
      <c r="U41" s="3">
        <f>IF(ISBLANK('Paste Full'!AE41),"",'Paste Full'!AE41)</f>
        <v>6</v>
      </c>
      <c r="V41" s="3">
        <f>IF(ISBLANK('Paste Full'!AF41),"",'Paste Full'!AF41)</f>
        <v>5</v>
      </c>
      <c r="W41" s="3">
        <f>IF(ISBLANK('Paste Full'!AH41),"",'Paste Full'!AH41)</f>
        <v>15</v>
      </c>
      <c r="X41" s="3">
        <f>IF(ISBLANK('Paste Full'!AI41),"",'Paste Full'!AI41)</f>
        <v>12</v>
      </c>
      <c r="Y41" s="3">
        <f>IF(ISBLANK('Paste Full'!AK41),"",'Paste Full'!AK41)</f>
        <v>8</v>
      </c>
      <c r="Z41" s="3">
        <f>IF(ISBLANK('Paste Full'!AL41),"",'Paste Full'!AL41)</f>
        <v>3</v>
      </c>
      <c r="AA41" s="4">
        <f>IF(ISBLANK('Paste Full'!AM41),"",'Paste Full'!AM41)</f>
        <v>3</v>
      </c>
      <c r="AB41" s="4">
        <f>IF(ISBLANK('Paste Full'!AN41),"",'Paste Full'!AN41)</f>
        <v>1</v>
      </c>
      <c r="AC41" s="4">
        <f>IF(ISBLANK('Paste Full'!AO41),"",'Paste Full'!AO41)</f>
        <v>4</v>
      </c>
      <c r="AD41" s="4">
        <f>IF(ISBLANK('Paste Full'!AP41),"",'Paste Full'!AP41)</f>
        <v>2</v>
      </c>
      <c r="AE41" s="4">
        <f>IF(ISBLANK('Paste Full'!AQ41),"",'Paste Full'!AQ41)</f>
        <v>4</v>
      </c>
      <c r="AF41" s="4">
        <f>IF(ISBLANK('Paste Full'!AR41),"",'Paste Full'!AR41)</f>
        <v>1</v>
      </c>
      <c r="AG41" s="4">
        <f>IF(ISBLANK('Paste Full'!AS41),"",'Paste Full'!AS41)</f>
        <v>3</v>
      </c>
      <c r="AH41" s="4">
        <f>IF(ISBLANK('Paste Full'!AV41),"",'Paste Full'!AV41)</f>
        <v>1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3</v>
      </c>
      <c r="AL41" s="5">
        <f>IF(ISBLANK('Paste Full'!AX41),"",'Paste Full'!AX41)</f>
        <v>12</v>
      </c>
      <c r="AM41" s="5">
        <f>IF(ISBLANK('Paste Full'!AY41),"",'Paste Full'!AY41)</f>
        <v>6</v>
      </c>
      <c r="AN41" s="5">
        <f>IF(ISBLANK('Paste Full'!AZ41),"",'Paste Full'!AZ41)</f>
        <v>5</v>
      </c>
      <c r="AO41" s="5">
        <f>IF(ISBLANK('Paste Full'!BA41),"",'Paste Full'!BA41)</f>
        <v>6</v>
      </c>
      <c r="AP41" s="5">
        <f>IF(ISBLANK('Paste Full'!BB41),"",'Paste Full'!BB41)</f>
        <v>5</v>
      </c>
      <c r="AQ41" s="5">
        <f>IF(ISBLANK('Paste Full'!BC41),"",'Paste Full'!BC41)</f>
        <v>9</v>
      </c>
      <c r="AR41" s="5">
        <f>IF(ISBLANK('Paste Full'!BD41),"",'Paste Full'!BD41)</f>
        <v>4</v>
      </c>
      <c r="AS41" s="5">
        <f>IF(ISBLANK('Paste Full'!BE41),"",'Paste Full'!BE41)</f>
        <v>8</v>
      </c>
      <c r="AT41" s="5">
        <f>IF(ISBLANK('Paste Full'!BF41),"",'Paste Full'!BF41)</f>
        <v>10</v>
      </c>
      <c r="AU41" s="5">
        <f>IF(ISBLANK('Paste Full'!BG41),"",'Paste Full'!BG41)</f>
        <v>9</v>
      </c>
      <c r="AV41" s="5">
        <f>IF(ISBLANK('Paste Full'!BH41),"",'Paste Full'!BH41)</f>
        <v>4</v>
      </c>
      <c r="AW41" s="5">
        <f>IF(ISBLANK('Paste Full'!BI41),"",'Paste Full'!BI41)</f>
        <v>4</v>
      </c>
      <c r="AX41" s="5">
        <f>IF(ISBLANK('Paste Full'!BJ41),"",'Paste Full'!BJ41)</f>
        <v>5</v>
      </c>
      <c r="AY41" s="5">
        <f>IF(ISBLANK('Paste Full'!BK41),"",'Paste Full'!BK41)</f>
        <v>6</v>
      </c>
      <c r="AZ41" s="6">
        <f>IF(ISBLANK('Paste Full'!BM41),"",'Paste Full'!BM41)</f>
        <v>6</v>
      </c>
      <c r="BA41" s="6">
        <f>IF(ISBLANK('Paste Full'!BN41),"",'Paste Full'!BN41)</f>
        <v>10</v>
      </c>
      <c r="BB41" s="6">
        <f>IF(ISBLANK('Paste Full'!BO41),"",'Paste Full'!BO41)</f>
        <v>9</v>
      </c>
      <c r="BC41" s="6">
        <f>IF(ISBLANK('Paste Full'!BP41),"",'Paste Full'!BP41)</f>
        <v>4</v>
      </c>
      <c r="BD41" s="6">
        <f>IF(ISBLANK('Paste Full'!BR41),"",'Paste Full'!BR41)</f>
        <v>6</v>
      </c>
      <c r="BE41" s="6">
        <f>IF(ISBLANK('Paste Full'!BS41),"",'Paste Full'!BS41)</f>
        <v>6</v>
      </c>
      <c r="BF41" s="6">
        <f>IF(ISBLANK('Paste Full'!BU41),"",'Paste Full'!BU41)</f>
        <v>2</v>
      </c>
      <c r="BG41" s="6">
        <f>IF(ISBLANK('Paste Full'!BV41),"",'Paste Full'!BV41)</f>
        <v>7</v>
      </c>
      <c r="BH41" s="6">
        <f>IF(ISBLANK('Paste Full'!BX41),"",'Paste Full'!BX41)</f>
        <v>1</v>
      </c>
      <c r="BI41" s="6">
        <f>IF(ISBLANK('Paste Full'!BY41),"",'Paste Full'!BY41)</f>
        <v>9</v>
      </c>
      <c r="BJ41" s="13">
        <f>IF(ISBLANK('Paste Full'!BL41),"",'Paste Full'!BL41)</f>
        <v>3</v>
      </c>
      <c r="BK41" s="13">
        <f>IF(ISBLANK('Paste Full'!BQ41),"",'Paste Full'!BQ41)</f>
        <v>3</v>
      </c>
      <c r="BL41" s="13">
        <f>IF(ISBLANK('Paste Full'!BT41),"",'Paste Full'!BT41)</f>
        <v>3</v>
      </c>
      <c r="BM41" s="13">
        <f>IF(ISBLANK('Paste Full'!BW41),"",'Paste Full'!BW41)</f>
        <v>4</v>
      </c>
    </row>
    <row r="42" spans="1:65" x14ac:dyDescent="0.3">
      <c r="A42" t="str">
        <f>IF(ISBLANK('Paste Full'!C42),"",'Paste Full'!C42)</f>
        <v>Sam Joce</v>
      </c>
      <c r="B42" t="str">
        <f t="shared" si="1"/>
        <v>D(C)</v>
      </c>
      <c r="C42" s="2">
        <f>IF(ISBLANK('Paste Full'!H42),"",'Paste Full'!H42)</f>
        <v>20</v>
      </c>
      <c r="D42" s="2">
        <f>IF(ISBLANK('Paste Full'!F42),"",'Paste Full'!F42)</f>
        <v>40</v>
      </c>
      <c r="E42" s="2">
        <f>IF(ISBLANK('Paste Full'!G42),"",'Paste Full'!G42)</f>
        <v>58</v>
      </c>
      <c r="F42" s="22" t="str">
        <f>IF(ISBLANK('Paste Full'!E42),"",'Paste Full'!E42)</f>
        <v>England</v>
      </c>
      <c r="G42" t="str">
        <f>IF(ISBLANK('Paste Full'!CI42),"",'Paste Full'!CI42)</f>
        <v>Brixham</v>
      </c>
      <c r="H42" s="22">
        <f>IF(ISBLANK('Paste Full'!J42),"",'Paste Full'!J42)</f>
        <v>3423</v>
      </c>
      <c r="I42" s="22" t="str">
        <f>IF(ISBLANK('Paste Full'!D42),"",'Paste Full'!D42)</f>
        <v>D C</v>
      </c>
      <c r="J42" s="14">
        <f>AVERAGE(SUMPRODUCT($S42:$BM42,AttWeights!$C$10:$AW$10)/SUM(AttWeights!$C$10:$AW$10),SUMPRODUCT($S42:$BM42,AttWeights!$C$17:$AW$17)/SUM(AttWeights!$C$17:$AW$17))*10</f>
        <v>56.842859189227902</v>
      </c>
      <c r="K42" s="14">
        <f>AVERAGE(SUMPRODUCT($S42:$BM42,AttWeights!$C$7:$AW$7)/SUM(AttWeights!$C$7:$AW$7),SUMPRODUCT($S42:$BM42,AttWeights!$C$15:$AW$15)/SUM(AttWeights!$C$15:$AW$15))*10</f>
        <v>53.284257545035118</v>
      </c>
      <c r="L42" s="14">
        <f>AVERAGE(SUMPRODUCT($S42:$BM42,AttWeights!$C$8:$AW$8)/SUM(AttWeights!$C$8:$AW$8),SUMPRODUCT($S42:$BM42,AttWeights!$C$16:$AW$16)/SUM(AttWeights!$C$16:$AW$16))*10</f>
        <v>53.155290247568274</v>
      </c>
      <c r="M42" s="14">
        <f>AVERAGE(SUMPRODUCT($S42:$BM42,AttWeights!$C$9:$AW$9)/SUM(AttWeights!$C$9:$AW$9),SUMPRODUCT($S42:$BM42,AttWeights!$C$15:$AW$15)/SUM(AttWeights!$C$15:$AW$15))*10</f>
        <v>54.099382895544572</v>
      </c>
      <c r="N42" s="14">
        <f>AVERAGE(SUMPRODUCT($S42:$BM42,AttWeights!$C$6:$AW$6)/SUM(AttWeights!$C$6:$AW$6),SUMPRODUCT($S42:$BM42,AttWeights!$C$14:$AW$14)/SUM(AttWeights!$C$14:$AW$14))*10</f>
        <v>56.937338431710472</v>
      </c>
      <c r="O42" s="14">
        <f>AVERAGE(SUMPRODUCT($S42:$BM42,AttWeights!$C$5:$AW$5)/SUM(AttWeights!$C$5:$AW$5),SUMPRODUCT($S42:$BM42,AttWeights!$C$14:$AW$14)/SUM(AttWeights!$C$14:$AW$14))*10</f>
        <v>60.898530461684913</v>
      </c>
      <c r="P42" s="14">
        <f>AVERAGE(SUMPRODUCT($S42:$BM42,AttWeights!$C$4:$AW$4)/SUM(AttWeights!$C$4:$AW$4),SUMPRODUCT($S42:$BM42,AttWeights!$C$13:$AW$13)/SUM(AttWeights!$C$13:$AW$13))*10</f>
        <v>72.791895604395606</v>
      </c>
      <c r="Q42" s="14">
        <f>AVERAGE(SUMPRODUCT($S42:$BM42,AttWeights!$C$3:$AW$3)/SUM(AttWeights!$C$3:$AW$3),SUMPRODUCT($S42:$BM42,AttWeights!$C$12:$AW$12)/SUM(AttWeights!$C$12:$AW$12))*10</f>
        <v>62.760951188986233</v>
      </c>
      <c r="R42" s="14">
        <f>AVERAGE(SUMPRODUCT($S42:$BM42,AttWeights!$C$2:$AW$2)/SUM(AttWeights!$C$2:$AW$2),SUMPRODUCT($S42:$BM42,AttWeights!$C$11:$AW$11)/SUM(AttWeights!$C$11:$AW$11))*10</f>
        <v>47.295542295542305</v>
      </c>
      <c r="S42" s="3">
        <f>IF(ISBLANK('Paste Full'!AC42),"",'Paste Full'!AC42)</f>
        <v>7</v>
      </c>
      <c r="T42" s="3">
        <f>IF(ISBLANK('Paste Full'!AD42),"",'Paste Full'!AD42)</f>
        <v>6</v>
      </c>
      <c r="U42" s="3">
        <f>IF(ISBLANK('Paste Full'!AE42),"",'Paste Full'!AE42)</f>
        <v>6</v>
      </c>
      <c r="V42" s="3">
        <f>IF(ISBLANK('Paste Full'!AF42),"",'Paste Full'!AF42)</f>
        <v>16</v>
      </c>
      <c r="W42" s="3">
        <f>IF(ISBLANK('Paste Full'!AH42),"",'Paste Full'!AH42)</f>
        <v>11</v>
      </c>
      <c r="X42" s="3">
        <f>IF(ISBLANK('Paste Full'!AI42),"",'Paste Full'!AI42)</f>
        <v>8</v>
      </c>
      <c r="Y42" s="3">
        <f>IF(ISBLANK('Paste Full'!AK42),"",'Paste Full'!AK42)</f>
        <v>6</v>
      </c>
      <c r="Z42" s="3">
        <f>IF(ISBLANK('Paste Full'!AL42),"",'Paste Full'!AL42)</f>
        <v>8</v>
      </c>
      <c r="AA42" s="4">
        <f>IF(ISBLANK('Paste Full'!AM42),"",'Paste Full'!AM42)</f>
        <v>2</v>
      </c>
      <c r="AB42" s="4">
        <f>IF(ISBLANK('Paste Full'!AN42),"",'Paste Full'!AN42)</f>
        <v>3</v>
      </c>
      <c r="AC42" s="4">
        <f>IF(ISBLANK('Paste Full'!AO42),"",'Paste Full'!AO42)</f>
        <v>2</v>
      </c>
      <c r="AD42" s="4">
        <f>IF(ISBLANK('Paste Full'!AP42),"",'Paste Full'!AP42)</f>
        <v>2</v>
      </c>
      <c r="AE42" s="4">
        <f>IF(ISBLANK('Paste Full'!AQ42),"",'Paste Full'!AQ42)</f>
        <v>1</v>
      </c>
      <c r="AF42" s="4">
        <f>IF(ISBLANK('Paste Full'!AR42),"",'Paste Full'!AR42)</f>
        <v>2</v>
      </c>
      <c r="AG42" s="4">
        <f>IF(ISBLANK('Paste Full'!AS42),"",'Paste Full'!AS42)</f>
        <v>3</v>
      </c>
      <c r="AH42" s="4">
        <f>IF(ISBLANK('Paste Full'!AV42),"",'Paste Full'!AV42)</f>
        <v>2</v>
      </c>
      <c r="AI42" s="4">
        <f>IF(ISBLANK('Paste Full'!AT42),"",'Paste Full'!AT42)</f>
        <v>3</v>
      </c>
      <c r="AJ42" s="4">
        <f>IF(ISBLANK('Paste Full'!AU42),"",'Paste Full'!AU42)</f>
        <v>1</v>
      </c>
      <c r="AK42" s="4">
        <f>IF(ISBLANK('Paste Full'!AW42),"",'Paste Full'!AW42)</f>
        <v>1</v>
      </c>
      <c r="AL42" s="5">
        <f>IF(ISBLANK('Paste Full'!AX42),"",'Paste Full'!AX42)</f>
        <v>15</v>
      </c>
      <c r="AM42" s="5">
        <f>IF(ISBLANK('Paste Full'!AY42),"",'Paste Full'!AY42)</f>
        <v>7</v>
      </c>
      <c r="AN42" s="5">
        <f>IF(ISBLANK('Paste Full'!AZ42),"",'Paste Full'!AZ42)</f>
        <v>15</v>
      </c>
      <c r="AO42" s="5">
        <f>IF(ISBLANK('Paste Full'!BA42),"",'Paste Full'!BA42)</f>
        <v>6</v>
      </c>
      <c r="AP42" s="5">
        <f>IF(ISBLANK('Paste Full'!BB42),"",'Paste Full'!BB42)</f>
        <v>4</v>
      </c>
      <c r="AQ42" s="5">
        <f>IF(ISBLANK('Paste Full'!BC42),"",'Paste Full'!BC42)</f>
        <v>7</v>
      </c>
      <c r="AR42" s="5">
        <f>IF(ISBLANK('Paste Full'!BD42),"",'Paste Full'!BD42)</f>
        <v>10</v>
      </c>
      <c r="AS42" s="5">
        <f>IF(ISBLANK('Paste Full'!BE42),"",'Paste Full'!BE42)</f>
        <v>5</v>
      </c>
      <c r="AT42" s="5">
        <f>IF(ISBLANK('Paste Full'!BF42),"",'Paste Full'!BF42)</f>
        <v>5</v>
      </c>
      <c r="AU42" s="5">
        <f>IF(ISBLANK('Paste Full'!BG42),"",'Paste Full'!BG42)</f>
        <v>4</v>
      </c>
      <c r="AV42" s="5">
        <f>IF(ISBLANK('Paste Full'!BH42),"",'Paste Full'!BH42)</f>
        <v>13</v>
      </c>
      <c r="AW42" s="5">
        <f>IF(ISBLANK('Paste Full'!BI42),"",'Paste Full'!BI42)</f>
        <v>4</v>
      </c>
      <c r="AX42" s="5">
        <f>IF(ISBLANK('Paste Full'!BJ42),"",'Paste Full'!BJ42)</f>
        <v>1</v>
      </c>
      <c r="AY42" s="5">
        <f>IF(ISBLANK('Paste Full'!BK42),"",'Paste Full'!BK42)</f>
        <v>5</v>
      </c>
      <c r="AZ42" s="6">
        <f>IF(ISBLANK('Paste Full'!BM42),"",'Paste Full'!BM42)</f>
        <v>1</v>
      </c>
      <c r="BA42" s="6">
        <f>IF(ISBLANK('Paste Full'!BN42),"",'Paste Full'!BN42)</f>
        <v>1</v>
      </c>
      <c r="BB42" s="6">
        <f>IF(ISBLANK('Paste Full'!BO42),"",'Paste Full'!BO42)</f>
        <v>1</v>
      </c>
      <c r="BC42" s="6">
        <f>IF(ISBLANK('Paste Full'!BP42),"",'Paste Full'!BP42)</f>
        <v>1</v>
      </c>
      <c r="BD42" s="6">
        <f>IF(ISBLANK('Paste Full'!BR42),"",'Paste Full'!BR42)</f>
        <v>12</v>
      </c>
      <c r="BE42" s="6">
        <f>IF(ISBLANK('Paste Full'!BS42),"",'Paste Full'!BS42)</f>
        <v>3</v>
      </c>
      <c r="BF42" s="6">
        <f>IF(ISBLANK('Paste Full'!BU42),"",'Paste Full'!BU42)</f>
        <v>11</v>
      </c>
      <c r="BG42" s="6">
        <f>IF(ISBLANK('Paste Full'!BV42),"",'Paste Full'!BV42)</f>
        <v>1</v>
      </c>
      <c r="BH42" s="6">
        <f>IF(ISBLANK('Paste Full'!BX42),"",'Paste Full'!BX42)</f>
        <v>5</v>
      </c>
      <c r="BI42" s="6">
        <f>IF(ISBLANK('Paste Full'!BY42),"",'Paste Full'!BY42)</f>
        <v>1</v>
      </c>
      <c r="BJ42" s="13">
        <f>IF(ISBLANK('Paste Full'!BL42),"",'Paste Full'!BL42)</f>
        <v>1</v>
      </c>
      <c r="BK42" s="13">
        <f>IF(ISBLANK('Paste Full'!BQ42),"",'Paste Full'!BQ42)</f>
        <v>1</v>
      </c>
      <c r="BL42" s="13">
        <f>IF(ISBLANK('Paste Full'!BT42),"",'Paste Full'!BT42)</f>
        <v>1</v>
      </c>
      <c r="BM42" s="13">
        <f>IF(ISBLANK('Paste Full'!BW42),"",'Paste Full'!BW42)</f>
        <v>3</v>
      </c>
    </row>
    <row r="43" spans="1:65" x14ac:dyDescent="0.3">
      <c r="A43" t="str">
        <f>IF(ISBLANK('Paste Full'!C43),"",'Paste Full'!C43)</f>
        <v>Sonny Parkes</v>
      </c>
      <c r="B43" t="str">
        <f t="shared" si="1"/>
        <v>AM(R)</v>
      </c>
      <c r="C43" s="2">
        <f>IF(ISBLANK('Paste Full'!H43),"",'Paste Full'!H43)</f>
        <v>19</v>
      </c>
      <c r="D43" s="2">
        <f>IF(ISBLANK('Paste Full'!F43),"",'Paste Full'!F43)</f>
        <v>49</v>
      </c>
      <c r="E43" s="2">
        <f>IF(ISBLANK('Paste Full'!G43),"",'Paste Full'!G43)</f>
        <v>71</v>
      </c>
      <c r="F43" s="22" t="str">
        <f>IF(ISBLANK('Paste Full'!E43),"",'Paste Full'!E43)</f>
        <v>England</v>
      </c>
      <c r="G43" t="str">
        <f>IF(ISBLANK('Paste Full'!CI43),"",'Paste Full'!CI43)</f>
        <v>Brixham</v>
      </c>
      <c r="H43" s="22">
        <f>IF(ISBLANK('Paste Full'!J43),"",'Paste Full'!J43)</f>
        <v>3322</v>
      </c>
      <c r="I43" s="22" t="str">
        <f>IF(ISBLANK('Paste Full'!D43),"",'Paste Full'!D43)</f>
        <v>D L</v>
      </c>
      <c r="J43" s="14">
        <f>AVERAGE(SUMPRODUCT($S43:$BM43,AttWeights!$C$10:$AW$10)/SUM(AttWeights!$C$10:$AW$10),SUMPRODUCT($S43:$BM43,AttWeights!$C$17:$AW$17)/SUM(AttWeights!$C$17:$AW$17))*10</f>
        <v>73.540610227761064</v>
      </c>
      <c r="K43" s="14">
        <f>AVERAGE(SUMPRODUCT($S43:$BM43,AttWeights!$C$7:$AW$7)/SUM(AttWeights!$C$7:$AW$7),SUMPRODUCT($S43:$BM43,AttWeights!$C$15:$AW$15)/SUM(AttWeights!$C$15:$AW$15))*10</f>
        <v>78.849804578447788</v>
      </c>
      <c r="L43" s="14">
        <f>AVERAGE(SUMPRODUCT($S43:$BM43,AttWeights!$C$8:$AW$8)/SUM(AttWeights!$C$8:$AW$8),SUMPRODUCT($S43:$BM43,AttWeights!$C$16:$AW$16)/SUM(AttWeights!$C$16:$AW$16))*10</f>
        <v>79.210929302668518</v>
      </c>
      <c r="M43" s="14">
        <f>AVERAGE(SUMPRODUCT($S43:$BM43,AttWeights!$C$9:$AW$9)/SUM(AttWeights!$C$9:$AW$9),SUMPRODUCT($S43:$BM43,AttWeights!$C$15:$AW$15)/SUM(AttWeights!$C$15:$AW$15))*10</f>
        <v>83.956414978514431</v>
      </c>
      <c r="N43" s="14">
        <f>AVERAGE(SUMPRODUCT($S43:$BM43,AttWeights!$C$6:$AW$6)/SUM(AttWeights!$C$6:$AW$6),SUMPRODUCT($S43:$BM43,AttWeights!$C$14:$AW$14)/SUM(AttWeights!$C$14:$AW$14))*10</f>
        <v>77.366032959931061</v>
      </c>
      <c r="O43" s="14">
        <f>AVERAGE(SUMPRODUCT($S43:$BM43,AttWeights!$C$5:$AW$5)/SUM(AttWeights!$C$5:$AW$5),SUMPRODUCT($S43:$BM43,AttWeights!$C$14:$AW$14)/SUM(AttWeights!$C$14:$AW$14))*10</f>
        <v>77.107478581627788</v>
      </c>
      <c r="P43" s="14">
        <f>AVERAGE(SUMPRODUCT($S43:$BM43,AttWeights!$C$4:$AW$4)/SUM(AttWeights!$C$4:$AW$4),SUMPRODUCT($S43:$BM43,AttWeights!$C$13:$AW$13)/SUM(AttWeights!$C$13:$AW$13))*10</f>
        <v>71.260302197802204</v>
      </c>
      <c r="Q43" s="14">
        <f>AVERAGE(SUMPRODUCT($S43:$BM43,AttWeights!$C$3:$AW$3)/SUM(AttWeights!$C$3:$AW$3),SUMPRODUCT($S43:$BM43,AttWeights!$C$12:$AW$12)/SUM(AttWeights!$C$12:$AW$12))*10</f>
        <v>81.383291614518143</v>
      </c>
      <c r="R43" s="14">
        <f>AVERAGE(SUMPRODUCT($S43:$BM43,AttWeights!$C$2:$AW$2)/SUM(AttWeights!$C$2:$AW$2),SUMPRODUCT($S43:$BM43,AttWeights!$C$11:$AW$11)/SUM(AttWeights!$C$11:$AW$11))*10</f>
        <v>51.925236925236923</v>
      </c>
      <c r="S43" s="3">
        <f>IF(ISBLANK('Paste Full'!AC43),"",'Paste Full'!AC43)</f>
        <v>14</v>
      </c>
      <c r="T43" s="3">
        <f>IF(ISBLANK('Paste Full'!AD43),"",'Paste Full'!AD43)</f>
        <v>12</v>
      </c>
      <c r="U43" s="3">
        <f>IF(ISBLANK('Paste Full'!AE43),"",'Paste Full'!AE43)</f>
        <v>15</v>
      </c>
      <c r="V43" s="3">
        <f>IF(ISBLANK('Paste Full'!AF43),"",'Paste Full'!AF43)</f>
        <v>8</v>
      </c>
      <c r="W43" s="3">
        <f>IF(ISBLANK('Paste Full'!AH43),"",'Paste Full'!AH43)</f>
        <v>15</v>
      </c>
      <c r="X43" s="3">
        <f>IF(ISBLANK('Paste Full'!AI43),"",'Paste Full'!AI43)</f>
        <v>14</v>
      </c>
      <c r="Y43" s="3">
        <f>IF(ISBLANK('Paste Full'!AK43),"",'Paste Full'!AK43)</f>
        <v>9</v>
      </c>
      <c r="Z43" s="3">
        <f>IF(ISBLANK('Paste Full'!AL43),"",'Paste Full'!AL43)</f>
        <v>2</v>
      </c>
      <c r="AA43" s="4">
        <f>IF(ISBLANK('Paste Full'!AM43),"",'Paste Full'!AM43)</f>
        <v>3</v>
      </c>
      <c r="AB43" s="4">
        <f>IF(ISBLANK('Paste Full'!AN43),"",'Paste Full'!AN43)</f>
        <v>3</v>
      </c>
      <c r="AC43" s="4">
        <f>IF(ISBLANK('Paste Full'!AO43),"",'Paste Full'!AO43)</f>
        <v>3</v>
      </c>
      <c r="AD43" s="4">
        <f>IF(ISBLANK('Paste Full'!AP43),"",'Paste Full'!AP43)</f>
        <v>1</v>
      </c>
      <c r="AE43" s="4">
        <f>IF(ISBLANK('Paste Full'!AQ43),"",'Paste Full'!AQ43)</f>
        <v>2</v>
      </c>
      <c r="AF43" s="4">
        <f>IF(ISBLANK('Paste Full'!AR43),"",'Paste Full'!AR43)</f>
        <v>2</v>
      </c>
      <c r="AG43" s="4">
        <f>IF(ISBLANK('Paste Full'!AS43),"",'Paste Full'!AS43)</f>
        <v>1</v>
      </c>
      <c r="AH43" s="4">
        <f>IF(ISBLANK('Paste Full'!AV43),"",'Paste Full'!AV43)</f>
        <v>3</v>
      </c>
      <c r="AI43" s="4">
        <f>IF(ISBLANK('Paste Full'!AT43),"",'Paste Full'!AT43)</f>
        <v>3</v>
      </c>
      <c r="AJ43" s="4">
        <f>IF(ISBLANK('Paste Full'!AU43),"",'Paste Full'!AU43)</f>
        <v>1</v>
      </c>
      <c r="AK43" s="4">
        <f>IF(ISBLANK('Paste Full'!AW43),"",'Paste Full'!AW43)</f>
        <v>3</v>
      </c>
      <c r="AL43" s="5">
        <f>IF(ISBLANK('Paste Full'!AX43),"",'Paste Full'!AX43)</f>
        <v>8</v>
      </c>
      <c r="AM43" s="5">
        <f>IF(ISBLANK('Paste Full'!AY43),"",'Paste Full'!AY43)</f>
        <v>4</v>
      </c>
      <c r="AN43" s="5">
        <f>IF(ISBLANK('Paste Full'!AZ43),"",'Paste Full'!AZ43)</f>
        <v>5</v>
      </c>
      <c r="AO43" s="5">
        <f>IF(ISBLANK('Paste Full'!BA43),"",'Paste Full'!BA43)</f>
        <v>6</v>
      </c>
      <c r="AP43" s="5">
        <f>IF(ISBLANK('Paste Full'!BB43),"",'Paste Full'!BB43)</f>
        <v>7</v>
      </c>
      <c r="AQ43" s="5">
        <f>IF(ISBLANK('Paste Full'!BC43),"",'Paste Full'!BC43)</f>
        <v>9</v>
      </c>
      <c r="AR43" s="5">
        <f>IF(ISBLANK('Paste Full'!BD43),"",'Paste Full'!BD43)</f>
        <v>12</v>
      </c>
      <c r="AS43" s="5">
        <f>IF(ISBLANK('Paste Full'!BE43),"",'Paste Full'!BE43)</f>
        <v>6</v>
      </c>
      <c r="AT43" s="5">
        <f>IF(ISBLANK('Paste Full'!BF43),"",'Paste Full'!BF43)</f>
        <v>11</v>
      </c>
      <c r="AU43" s="5">
        <f>IF(ISBLANK('Paste Full'!BG43),"",'Paste Full'!BG43)</f>
        <v>5</v>
      </c>
      <c r="AV43" s="5">
        <f>IF(ISBLANK('Paste Full'!BH43),"",'Paste Full'!BH43)</f>
        <v>5</v>
      </c>
      <c r="AW43" s="5">
        <f>IF(ISBLANK('Paste Full'!BI43),"",'Paste Full'!BI43)</f>
        <v>13</v>
      </c>
      <c r="AX43" s="5">
        <f>IF(ISBLANK('Paste Full'!BJ43),"",'Paste Full'!BJ43)</f>
        <v>5</v>
      </c>
      <c r="AY43" s="5">
        <f>IF(ISBLANK('Paste Full'!BK43),"",'Paste Full'!BK43)</f>
        <v>14</v>
      </c>
      <c r="AZ43" s="6">
        <f>IF(ISBLANK('Paste Full'!BM43),"",'Paste Full'!BM43)</f>
        <v>11</v>
      </c>
      <c r="BA43" s="6">
        <f>IF(ISBLANK('Paste Full'!BN43),"",'Paste Full'!BN43)</f>
        <v>10</v>
      </c>
      <c r="BB43" s="6">
        <f>IF(ISBLANK('Paste Full'!BO43),"",'Paste Full'!BO43)</f>
        <v>1</v>
      </c>
      <c r="BC43" s="6">
        <f>IF(ISBLANK('Paste Full'!BP43),"",'Paste Full'!BP43)</f>
        <v>5</v>
      </c>
      <c r="BD43" s="6">
        <f>IF(ISBLANK('Paste Full'!BR43),"",'Paste Full'!BR43)</f>
        <v>6</v>
      </c>
      <c r="BE43" s="6">
        <f>IF(ISBLANK('Paste Full'!BS43),"",'Paste Full'!BS43)</f>
        <v>2</v>
      </c>
      <c r="BF43" s="6">
        <f>IF(ISBLANK('Paste Full'!BU43),"",'Paste Full'!BU43)</f>
        <v>7</v>
      </c>
      <c r="BG43" s="6">
        <f>IF(ISBLANK('Paste Full'!BV43),"",'Paste Full'!BV43)</f>
        <v>5</v>
      </c>
      <c r="BH43" s="6">
        <f>IF(ISBLANK('Paste Full'!BX43),"",'Paste Full'!BX43)</f>
        <v>6</v>
      </c>
      <c r="BI43" s="6">
        <f>IF(ISBLANK('Paste Full'!BY43),"",'Paste Full'!BY43)</f>
        <v>9</v>
      </c>
      <c r="BJ43" s="13">
        <f>IF(ISBLANK('Paste Full'!BL43),"",'Paste Full'!BL43)</f>
        <v>4</v>
      </c>
      <c r="BK43" s="13">
        <f>IF(ISBLANK('Paste Full'!BQ43),"",'Paste Full'!BQ43)</f>
        <v>1</v>
      </c>
      <c r="BL43" s="13">
        <f>IF(ISBLANK('Paste Full'!BT43),"",'Paste Full'!BT43)</f>
        <v>4</v>
      </c>
      <c r="BM43" s="13">
        <f>IF(ISBLANK('Paste Full'!BW43),"",'Paste Full'!BW43)</f>
        <v>1</v>
      </c>
    </row>
    <row r="44" spans="1:65" x14ac:dyDescent="0.3">
      <c r="A44" t="str">
        <f>IF(ISBLANK('Paste Full'!C44),"",'Paste Full'!C44)</f>
        <v>Tommy Taggert</v>
      </c>
      <c r="B44" t="str">
        <f t="shared" si="1"/>
        <v>D(C)</v>
      </c>
      <c r="C44" s="2">
        <f>IF(ISBLANK('Paste Full'!H44),"",'Paste Full'!H44)</f>
        <v>20</v>
      </c>
      <c r="D44" s="2">
        <f>IF(ISBLANK('Paste Full'!F44),"",'Paste Full'!F44)</f>
        <v>33</v>
      </c>
      <c r="E44" s="2">
        <f>IF(ISBLANK('Paste Full'!G44),"",'Paste Full'!G44)</f>
        <v>74</v>
      </c>
      <c r="F44" s="22" t="str">
        <f>IF(ISBLANK('Paste Full'!E44),"",'Paste Full'!E44)</f>
        <v>Northern Ireland</v>
      </c>
      <c r="G44" t="str">
        <f>IF(ISBLANK('Paste Full'!CI44),"",'Paste Full'!CI44)</f>
        <v>Brixham</v>
      </c>
      <c r="H44" s="22">
        <f>IF(ISBLANK('Paste Full'!J44),"",'Paste Full'!J44)</f>
        <v>0</v>
      </c>
      <c r="I44" s="22" t="str">
        <f>IF(ISBLANK('Paste Full'!D44),"",'Paste Full'!D44)</f>
        <v>D R</v>
      </c>
      <c r="J44" s="14">
        <f>AVERAGE(SUMPRODUCT($S44:$BM44,AttWeights!$C$10:$AW$10)/SUM(AttWeights!$C$10:$AW$10),SUMPRODUCT($S44:$BM44,AttWeights!$C$17:$AW$17)/SUM(AttWeights!$C$17:$AW$17))*10</f>
        <v>61.006016330038676</v>
      </c>
      <c r="K44" s="14">
        <f>AVERAGE(SUMPRODUCT($S44:$BM44,AttWeights!$C$7:$AW$7)/SUM(AttWeights!$C$7:$AW$7),SUMPRODUCT($S44:$BM44,AttWeights!$C$15:$AW$15)/SUM(AttWeights!$C$15:$AW$15))*10</f>
        <v>61.781862529019364</v>
      </c>
      <c r="L44" s="14">
        <f>AVERAGE(SUMPRODUCT($S44:$BM44,AttWeights!$C$8:$AW$8)/SUM(AttWeights!$C$8:$AW$8),SUMPRODUCT($S44:$BM44,AttWeights!$C$16:$AW$16)/SUM(AttWeights!$C$16:$AW$16))*10</f>
        <v>62.008620934123584</v>
      </c>
      <c r="M44" s="14">
        <f>AVERAGE(SUMPRODUCT($S44:$BM44,AttWeights!$C$9:$AW$9)/SUM(AttWeights!$C$9:$AW$9),SUMPRODUCT($S44:$BM44,AttWeights!$C$15:$AW$15)/SUM(AttWeights!$C$15:$AW$15))*10</f>
        <v>65.109689509224253</v>
      </c>
      <c r="N44" s="14">
        <f>AVERAGE(SUMPRODUCT($S44:$BM44,AttWeights!$C$6:$AW$6)/SUM(AttWeights!$C$6:$AW$6),SUMPRODUCT($S44:$BM44,AttWeights!$C$14:$AW$14)/SUM(AttWeights!$C$14:$AW$14))*10</f>
        <v>61.746957130547173</v>
      </c>
      <c r="O44" s="14">
        <f>AVERAGE(SUMPRODUCT($S44:$BM44,AttWeights!$C$5:$AW$5)/SUM(AttWeights!$C$5:$AW$5),SUMPRODUCT($S44:$BM44,AttWeights!$C$14:$AW$14)/SUM(AttWeights!$C$14:$AW$14))*10</f>
        <v>63.4000178486435</v>
      </c>
      <c r="P44" s="14">
        <f>AVERAGE(SUMPRODUCT($S44:$BM44,AttWeights!$C$4:$AW$4)/SUM(AttWeights!$C$4:$AW$4),SUMPRODUCT($S44:$BM44,AttWeights!$C$13:$AW$13)/SUM(AttWeights!$C$13:$AW$13))*10</f>
        <v>66.96085164835165</v>
      </c>
      <c r="Q44" s="14">
        <f>AVERAGE(SUMPRODUCT($S44:$BM44,AttWeights!$C$3:$AW$3)/SUM(AttWeights!$C$3:$AW$3),SUMPRODUCT($S44:$BM44,AttWeights!$C$12:$AW$12)/SUM(AttWeights!$C$12:$AW$12))*10</f>
        <v>65.546307884856077</v>
      </c>
      <c r="R44" s="14">
        <f>AVERAGE(SUMPRODUCT($S44:$BM44,AttWeights!$C$2:$AW$2)/SUM(AttWeights!$C$2:$AW$2),SUMPRODUCT($S44:$BM44,AttWeights!$C$11:$AW$11)/SUM(AttWeights!$C$11:$AW$11))*10</f>
        <v>45.569059319059321</v>
      </c>
      <c r="S44" s="3">
        <f>IF(ISBLANK('Paste Full'!AC44),"",'Paste Full'!AC44)</f>
        <v>13</v>
      </c>
      <c r="T44" s="3">
        <f>IF(ISBLANK('Paste Full'!AD44),"",'Paste Full'!AD44)</f>
        <v>13</v>
      </c>
      <c r="U44" s="3">
        <f>IF(ISBLANK('Paste Full'!AE44),"",'Paste Full'!AE44)</f>
        <v>6</v>
      </c>
      <c r="V44" s="3">
        <f>IF(ISBLANK('Paste Full'!AF44),"",'Paste Full'!AF44)</f>
        <v>13</v>
      </c>
      <c r="W44" s="3">
        <f>IF(ISBLANK('Paste Full'!AH44),"",'Paste Full'!AH44)</f>
        <v>11</v>
      </c>
      <c r="X44" s="3">
        <f>IF(ISBLANK('Paste Full'!AI44),"",'Paste Full'!AI44)</f>
        <v>13</v>
      </c>
      <c r="Y44" s="3">
        <f>IF(ISBLANK('Paste Full'!AK44),"",'Paste Full'!AK44)</f>
        <v>5</v>
      </c>
      <c r="Z44" s="3">
        <f>IF(ISBLANK('Paste Full'!AL44),"",'Paste Full'!AL44)</f>
        <v>5</v>
      </c>
      <c r="AA44" s="4">
        <f>IF(ISBLANK('Paste Full'!AM44),"",'Paste Full'!AM44)</f>
        <v>2</v>
      </c>
      <c r="AB44" s="4">
        <f>IF(ISBLANK('Paste Full'!AN44),"",'Paste Full'!AN44)</f>
        <v>1</v>
      </c>
      <c r="AC44" s="4">
        <f>IF(ISBLANK('Paste Full'!AO44),"",'Paste Full'!AO44)</f>
        <v>2</v>
      </c>
      <c r="AD44" s="4">
        <f>IF(ISBLANK('Paste Full'!AP44),"",'Paste Full'!AP44)</f>
        <v>1</v>
      </c>
      <c r="AE44" s="4">
        <f>IF(ISBLANK('Paste Full'!AQ44),"",'Paste Full'!AQ44)</f>
        <v>2</v>
      </c>
      <c r="AF44" s="4">
        <f>IF(ISBLANK('Paste Full'!AR44),"",'Paste Full'!AR44)</f>
        <v>2</v>
      </c>
      <c r="AG44" s="4">
        <f>IF(ISBLANK('Paste Full'!AS44),"",'Paste Full'!AS44)</f>
        <v>2</v>
      </c>
      <c r="AH44" s="4">
        <f>IF(ISBLANK('Paste Full'!AV44),"",'Paste Full'!AV44)</f>
        <v>2</v>
      </c>
      <c r="AI44" s="4">
        <f>IF(ISBLANK('Paste Full'!AT44),"",'Paste Full'!AT44)</f>
        <v>2</v>
      </c>
      <c r="AJ44" s="4">
        <f>IF(ISBLANK('Paste Full'!AU44),"",'Paste Full'!AU44)</f>
        <v>2</v>
      </c>
      <c r="AK44" s="4">
        <f>IF(ISBLANK('Paste Full'!AW44),"",'Paste Full'!AW44)</f>
        <v>3</v>
      </c>
      <c r="AL44" s="5">
        <f>IF(ISBLANK('Paste Full'!AX44),"",'Paste Full'!AX44)</f>
        <v>10</v>
      </c>
      <c r="AM44" s="5">
        <f>IF(ISBLANK('Paste Full'!AY44),"",'Paste Full'!AY44)</f>
        <v>8</v>
      </c>
      <c r="AN44" s="5">
        <f>IF(ISBLANK('Paste Full'!AZ44),"",'Paste Full'!AZ44)</f>
        <v>5</v>
      </c>
      <c r="AO44" s="5">
        <f>IF(ISBLANK('Paste Full'!BA44),"",'Paste Full'!BA44)</f>
        <v>3</v>
      </c>
      <c r="AP44" s="5">
        <f>IF(ISBLANK('Paste Full'!BB44),"",'Paste Full'!BB44)</f>
        <v>4</v>
      </c>
      <c r="AQ44" s="5">
        <f>IF(ISBLANK('Paste Full'!BC44),"",'Paste Full'!BC44)</f>
        <v>8</v>
      </c>
      <c r="AR44" s="5">
        <f>IF(ISBLANK('Paste Full'!BD44),"",'Paste Full'!BD44)</f>
        <v>13</v>
      </c>
      <c r="AS44" s="5">
        <f>IF(ISBLANK('Paste Full'!BE44),"",'Paste Full'!BE44)</f>
        <v>7</v>
      </c>
      <c r="AT44" s="5">
        <f>IF(ISBLANK('Paste Full'!BF44),"",'Paste Full'!BF44)</f>
        <v>7</v>
      </c>
      <c r="AU44" s="5">
        <f>IF(ISBLANK('Paste Full'!BG44),"",'Paste Full'!BG44)</f>
        <v>2</v>
      </c>
      <c r="AV44" s="5">
        <f>IF(ISBLANK('Paste Full'!BH44),"",'Paste Full'!BH44)</f>
        <v>4</v>
      </c>
      <c r="AW44" s="5">
        <f>IF(ISBLANK('Paste Full'!BI44),"",'Paste Full'!BI44)</f>
        <v>5</v>
      </c>
      <c r="AX44" s="5">
        <f>IF(ISBLANK('Paste Full'!BJ44),"",'Paste Full'!BJ44)</f>
        <v>1</v>
      </c>
      <c r="AY44" s="5">
        <f>IF(ISBLANK('Paste Full'!BK44),"",'Paste Full'!BK44)</f>
        <v>5</v>
      </c>
      <c r="AZ44" s="6">
        <f>IF(ISBLANK('Paste Full'!BM44),"",'Paste Full'!BM44)</f>
        <v>10</v>
      </c>
      <c r="BA44" s="6">
        <f>IF(ISBLANK('Paste Full'!BN44),"",'Paste Full'!BN44)</f>
        <v>2</v>
      </c>
      <c r="BB44" s="6">
        <f>IF(ISBLANK('Paste Full'!BO44),"",'Paste Full'!BO44)</f>
        <v>1</v>
      </c>
      <c r="BC44" s="6">
        <f>IF(ISBLANK('Paste Full'!BP44),"",'Paste Full'!BP44)</f>
        <v>5</v>
      </c>
      <c r="BD44" s="6">
        <f>IF(ISBLANK('Paste Full'!BR44),"",'Paste Full'!BR44)</f>
        <v>6</v>
      </c>
      <c r="BE44" s="6">
        <f>IF(ISBLANK('Paste Full'!BS44),"",'Paste Full'!BS44)</f>
        <v>3</v>
      </c>
      <c r="BF44" s="6">
        <f>IF(ISBLANK('Paste Full'!BU44),"",'Paste Full'!BU44)</f>
        <v>5</v>
      </c>
      <c r="BG44" s="6">
        <f>IF(ISBLANK('Paste Full'!BV44),"",'Paste Full'!BV44)</f>
        <v>6</v>
      </c>
      <c r="BH44" s="6">
        <f>IF(ISBLANK('Paste Full'!BX44),"",'Paste Full'!BX44)</f>
        <v>8</v>
      </c>
      <c r="BI44" s="6">
        <f>IF(ISBLANK('Paste Full'!BY44),"",'Paste Full'!BY44)</f>
        <v>7</v>
      </c>
      <c r="BJ44" s="13">
        <f>IF(ISBLANK('Paste Full'!BL44),"",'Paste Full'!BL44)</f>
        <v>4</v>
      </c>
      <c r="BK44" s="13">
        <f>IF(ISBLANK('Paste Full'!BQ44),"",'Paste Full'!BQ44)</f>
        <v>1</v>
      </c>
      <c r="BL44" s="13">
        <f>IF(ISBLANK('Paste Full'!BT44),"",'Paste Full'!BT44)</f>
        <v>4</v>
      </c>
      <c r="BM44" s="13">
        <f>IF(ISBLANK('Paste Full'!BW44),"",'Paste Full'!BW44)</f>
        <v>1</v>
      </c>
    </row>
    <row r="45" spans="1:65" x14ac:dyDescent="0.3">
      <c r="A45" t="str">
        <f>IF(ISBLANK('Paste Full'!C45),"",'Paste Full'!C45)</f>
        <v>Allan Hall</v>
      </c>
      <c r="B45" t="str">
        <f t="shared" si="1"/>
        <v>AM(R)</v>
      </c>
      <c r="C45" s="2">
        <f>IF(ISBLANK('Paste Full'!H45),"",'Paste Full'!H45)</f>
        <v>16</v>
      </c>
      <c r="D45" s="2">
        <f>IF(ISBLANK('Paste Full'!F45),"",'Paste Full'!F45)</f>
        <v>71</v>
      </c>
      <c r="E45" s="2">
        <f>IF(ISBLANK('Paste Full'!G45),"",'Paste Full'!G45)</f>
        <v>146</v>
      </c>
      <c r="F45" s="22" t="str">
        <f>IF(ISBLANK('Paste Full'!E45),"",'Paste Full'!E45)</f>
        <v>England,Australia</v>
      </c>
      <c r="G45" t="str">
        <f>IF(ISBLANK('Paste Full'!CI45),"",'Paste Full'!CI45)</f>
        <v>Brixham</v>
      </c>
      <c r="H45" s="22">
        <f>IF(ISBLANK('Paste Full'!J45),"",'Paste Full'!J45)</f>
        <v>3196</v>
      </c>
      <c r="I45" s="22" t="str">
        <f>IF(ISBLANK('Paste Full'!D45),"",'Paste Full'!D45)</f>
        <v>DM/M/AM C</v>
      </c>
      <c r="J45" s="14">
        <f>AVERAGE(SUMPRODUCT($S45:$BM45,AttWeights!$C$10:$AW$10)/SUM(AttWeights!$C$10:$AW$10),SUMPRODUCT($S45:$BM45,AttWeights!$C$17:$AW$17)/SUM(AttWeights!$C$17:$AW$17))*10</f>
        <v>74.567970204841714</v>
      </c>
      <c r="K45" s="14">
        <f>AVERAGE(SUMPRODUCT($S45:$BM45,AttWeights!$C$7:$AW$7)/SUM(AttWeights!$C$7:$AW$7),SUMPRODUCT($S45:$BM45,AttWeights!$C$15:$AW$15)/SUM(AttWeights!$C$15:$AW$15))*10</f>
        <v>80.862499632666257</v>
      </c>
      <c r="L45" s="14">
        <f>AVERAGE(SUMPRODUCT($S45:$BM45,AttWeights!$C$8:$AW$8)/SUM(AttWeights!$C$8:$AW$8),SUMPRODUCT($S45:$BM45,AttWeights!$C$16:$AW$16)/SUM(AttWeights!$C$16:$AW$16))*10</f>
        <v>81.289453534866567</v>
      </c>
      <c r="M45" s="14">
        <f>AVERAGE(SUMPRODUCT($S45:$BM45,AttWeights!$C$9:$AW$9)/SUM(AttWeights!$C$9:$AW$9),SUMPRODUCT($S45:$BM45,AttWeights!$C$15:$AW$15)/SUM(AttWeights!$C$15:$AW$15))*10</f>
        <v>82.13030273658363</v>
      </c>
      <c r="N45" s="14">
        <f>AVERAGE(SUMPRODUCT($S45:$BM45,AttWeights!$C$6:$AW$6)/SUM(AttWeights!$C$6:$AW$6),SUMPRODUCT($S45:$BM45,AttWeights!$C$14:$AW$14)/SUM(AttWeights!$C$14:$AW$14))*10</f>
        <v>75.174224472210255</v>
      </c>
      <c r="O45" s="14">
        <f>AVERAGE(SUMPRODUCT($S45:$BM45,AttWeights!$C$5:$AW$5)/SUM(AttWeights!$C$5:$AW$5),SUMPRODUCT($S45:$BM45,AttWeights!$C$14:$AW$14)/SUM(AttWeights!$C$14:$AW$14))*10</f>
        <v>72.947108519752504</v>
      </c>
      <c r="P45" s="14">
        <f>AVERAGE(SUMPRODUCT($S45:$BM45,AttWeights!$C$4:$AW$4)/SUM(AttWeights!$C$4:$AW$4),SUMPRODUCT($S45:$BM45,AttWeights!$C$13:$AW$13)/SUM(AttWeights!$C$13:$AW$13))*10</f>
        <v>67.256181318681314</v>
      </c>
      <c r="Q45" s="14">
        <f>AVERAGE(SUMPRODUCT($S45:$BM45,AttWeights!$C$3:$AW$3)/SUM(AttWeights!$C$3:$AW$3),SUMPRODUCT($S45:$BM45,AttWeights!$C$12:$AW$12)/SUM(AttWeights!$C$12:$AW$12))*10</f>
        <v>73.464017521902377</v>
      </c>
      <c r="R45" s="14">
        <f>AVERAGE(SUMPRODUCT($S45:$BM45,AttWeights!$C$2:$AW$2)/SUM(AttWeights!$C$2:$AW$2),SUMPRODUCT($S45:$BM45,AttWeights!$C$11:$AW$11)/SUM(AttWeights!$C$11:$AW$11))*10</f>
        <v>50.545805545805543</v>
      </c>
      <c r="S45" s="3">
        <f>IF(ISBLANK('Paste Full'!AC45),"",'Paste Full'!AC45)</f>
        <v>13</v>
      </c>
      <c r="T45" s="3">
        <f>IF(ISBLANK('Paste Full'!AD45),"",'Paste Full'!AD45)</f>
        <v>15</v>
      </c>
      <c r="U45" s="3">
        <f>IF(ISBLANK('Paste Full'!AE45),"",'Paste Full'!AE45)</f>
        <v>10</v>
      </c>
      <c r="V45" s="3">
        <f>IF(ISBLANK('Paste Full'!AF45),"",'Paste Full'!AF45)</f>
        <v>4</v>
      </c>
      <c r="W45" s="3">
        <f>IF(ISBLANK('Paste Full'!AH45),"",'Paste Full'!AH45)</f>
        <v>13</v>
      </c>
      <c r="X45" s="3">
        <f>IF(ISBLANK('Paste Full'!AI45),"",'Paste Full'!AI45)</f>
        <v>12</v>
      </c>
      <c r="Y45" s="3">
        <f>IF(ISBLANK('Paste Full'!AK45),"",'Paste Full'!AK45)</f>
        <v>13</v>
      </c>
      <c r="Z45" s="3">
        <f>IF(ISBLANK('Paste Full'!AL45),"",'Paste Full'!AL45)</f>
        <v>4</v>
      </c>
      <c r="AA45" s="4">
        <f>IF(ISBLANK('Paste Full'!AM45),"",'Paste Full'!AM45)</f>
        <v>3</v>
      </c>
      <c r="AB45" s="4">
        <f>IF(ISBLANK('Paste Full'!AN45),"",'Paste Full'!AN45)</f>
        <v>1</v>
      </c>
      <c r="AC45" s="4">
        <f>IF(ISBLANK('Paste Full'!AO45),"",'Paste Full'!AO45)</f>
        <v>2</v>
      </c>
      <c r="AD45" s="4">
        <f>IF(ISBLANK('Paste Full'!AP45),"",'Paste Full'!AP45)</f>
        <v>2</v>
      </c>
      <c r="AE45" s="4">
        <f>IF(ISBLANK('Paste Full'!AQ45),"",'Paste Full'!AQ45)</f>
        <v>2</v>
      </c>
      <c r="AF45" s="4">
        <f>IF(ISBLANK('Paste Full'!AR45),"",'Paste Full'!AR45)</f>
        <v>2</v>
      </c>
      <c r="AG45" s="4">
        <f>IF(ISBLANK('Paste Full'!AS45),"",'Paste Full'!AS45)</f>
        <v>1</v>
      </c>
      <c r="AH45" s="4">
        <f>IF(ISBLANK('Paste Full'!AV45),"",'Paste Full'!AV45)</f>
        <v>4</v>
      </c>
      <c r="AI45" s="4">
        <f>IF(ISBLANK('Paste Full'!AT45),"",'Paste Full'!AT45)</f>
        <v>3</v>
      </c>
      <c r="AJ45" s="4">
        <f>IF(ISBLANK('Paste Full'!AU45),"",'Paste Full'!AU45)</f>
        <v>3</v>
      </c>
      <c r="AK45" s="4">
        <f>IF(ISBLANK('Paste Full'!AW45),"",'Paste Full'!AW45)</f>
        <v>2</v>
      </c>
      <c r="AL45" s="5">
        <f>IF(ISBLANK('Paste Full'!AX45),"",'Paste Full'!AX45)</f>
        <v>10</v>
      </c>
      <c r="AM45" s="5">
        <f>IF(ISBLANK('Paste Full'!AY45),"",'Paste Full'!AY45)</f>
        <v>7</v>
      </c>
      <c r="AN45" s="5">
        <f>IF(ISBLANK('Paste Full'!AZ45),"",'Paste Full'!AZ45)</f>
        <v>13</v>
      </c>
      <c r="AO45" s="5">
        <f>IF(ISBLANK('Paste Full'!BA45),"",'Paste Full'!BA45)</f>
        <v>5</v>
      </c>
      <c r="AP45" s="5">
        <f>IF(ISBLANK('Paste Full'!BB45),"",'Paste Full'!BB45)</f>
        <v>4</v>
      </c>
      <c r="AQ45" s="5">
        <f>IF(ISBLANK('Paste Full'!BC45),"",'Paste Full'!BC45)</f>
        <v>9</v>
      </c>
      <c r="AR45" s="5">
        <f>IF(ISBLANK('Paste Full'!BD45),"",'Paste Full'!BD45)</f>
        <v>14</v>
      </c>
      <c r="AS45" s="5">
        <f>IF(ISBLANK('Paste Full'!BE45),"",'Paste Full'!BE45)</f>
        <v>10</v>
      </c>
      <c r="AT45" s="5">
        <f>IF(ISBLANK('Paste Full'!BF45),"",'Paste Full'!BF45)</f>
        <v>1</v>
      </c>
      <c r="AU45" s="5">
        <f>IF(ISBLANK('Paste Full'!BG45),"",'Paste Full'!BG45)</f>
        <v>5</v>
      </c>
      <c r="AV45" s="5">
        <f>IF(ISBLANK('Paste Full'!BH45),"",'Paste Full'!BH45)</f>
        <v>2</v>
      </c>
      <c r="AW45" s="5">
        <f>IF(ISBLANK('Paste Full'!BI45),"",'Paste Full'!BI45)</f>
        <v>7</v>
      </c>
      <c r="AX45" s="5">
        <f>IF(ISBLANK('Paste Full'!BJ45),"",'Paste Full'!BJ45)</f>
        <v>11</v>
      </c>
      <c r="AY45" s="5">
        <f>IF(ISBLANK('Paste Full'!BK45),"",'Paste Full'!BK45)</f>
        <v>12</v>
      </c>
      <c r="AZ45" s="6">
        <f>IF(ISBLANK('Paste Full'!BM45),"",'Paste Full'!BM45)</f>
        <v>9</v>
      </c>
      <c r="BA45" s="6">
        <f>IF(ISBLANK('Paste Full'!BN45),"",'Paste Full'!BN45)</f>
        <v>6</v>
      </c>
      <c r="BB45" s="6">
        <f>IF(ISBLANK('Paste Full'!BO45),"",'Paste Full'!BO45)</f>
        <v>8</v>
      </c>
      <c r="BC45" s="6">
        <f>IF(ISBLANK('Paste Full'!BP45),"",'Paste Full'!BP45)</f>
        <v>8</v>
      </c>
      <c r="BD45" s="6">
        <f>IF(ISBLANK('Paste Full'!BR45),"",'Paste Full'!BR45)</f>
        <v>3</v>
      </c>
      <c r="BE45" s="6">
        <f>IF(ISBLANK('Paste Full'!BS45),"",'Paste Full'!BS45)</f>
        <v>5</v>
      </c>
      <c r="BF45" s="6">
        <f>IF(ISBLANK('Paste Full'!BU45),"",'Paste Full'!BU45)</f>
        <v>3</v>
      </c>
      <c r="BG45" s="6">
        <f>IF(ISBLANK('Paste Full'!BV45),"",'Paste Full'!BV45)</f>
        <v>10</v>
      </c>
      <c r="BH45" s="6">
        <f>IF(ISBLANK('Paste Full'!BX45),"",'Paste Full'!BX45)</f>
        <v>3</v>
      </c>
      <c r="BI45" s="6">
        <f>IF(ISBLANK('Paste Full'!BY45),"",'Paste Full'!BY45)</f>
        <v>9</v>
      </c>
      <c r="BJ45" s="13">
        <f>IF(ISBLANK('Paste Full'!BL45),"",'Paste Full'!BL45)</f>
        <v>4</v>
      </c>
      <c r="BK45" s="13">
        <f>IF(ISBLANK('Paste Full'!BQ45),"",'Paste Full'!BQ45)</f>
        <v>3</v>
      </c>
      <c r="BL45" s="13">
        <f>IF(ISBLANK('Paste Full'!BT45),"",'Paste Full'!BT45)</f>
        <v>3</v>
      </c>
      <c r="BM45" s="13">
        <f>IF(ISBLANK('Paste Full'!BW45),"",'Paste Full'!BW45)</f>
        <v>5</v>
      </c>
    </row>
    <row r="46" spans="1:65" x14ac:dyDescent="0.3">
      <c r="A46" t="str">
        <f>IF(ISBLANK('Paste Full'!C46),"",'Paste Full'!C46)</f>
        <v>Ashley Nicholls</v>
      </c>
      <c r="B46" t="str">
        <f t="shared" si="1"/>
        <v>Striker</v>
      </c>
      <c r="C46" s="2">
        <f>IF(ISBLANK('Paste Full'!H46),"",'Paste Full'!H46)</f>
        <v>16</v>
      </c>
      <c r="D46" s="2">
        <f>IF(ISBLANK('Paste Full'!F46),"",'Paste Full'!F46)</f>
        <v>15</v>
      </c>
      <c r="E46" s="2">
        <f>IF(ISBLANK('Paste Full'!G46),"",'Paste Full'!G46)</f>
        <v>61</v>
      </c>
      <c r="F46" s="22" t="str">
        <f>IF(ISBLANK('Paste Full'!E46),"",'Paste Full'!E46)</f>
        <v>England</v>
      </c>
      <c r="G46" t="str">
        <f>IF(ISBLANK('Paste Full'!CI46),"",'Paste Full'!CI46)</f>
        <v>Brixham</v>
      </c>
      <c r="H46" s="22">
        <f>IF(ISBLANK('Paste Full'!J46),"",'Paste Full'!J46)</f>
        <v>1687</v>
      </c>
      <c r="I46" s="22" t="str">
        <f>IF(ISBLANK('Paste Full'!D46),"",'Paste Full'!D46)</f>
        <v xml:space="preserve">ST </v>
      </c>
      <c r="J46" s="14">
        <f>AVERAGE(SUMPRODUCT($S46:$BM46,AttWeights!$C$10:$AW$10)/SUM(AttWeights!$C$10:$AW$10),SUMPRODUCT($S46:$BM46,AttWeights!$C$17:$AW$17)/SUM(AttWeights!$C$17:$AW$17))*10</f>
        <v>56.977223893425013</v>
      </c>
      <c r="K46" s="14">
        <f>AVERAGE(SUMPRODUCT($S46:$BM46,AttWeights!$C$7:$AW$7)/SUM(AttWeights!$C$7:$AW$7),SUMPRODUCT($S46:$BM46,AttWeights!$C$15:$AW$15)/SUM(AttWeights!$C$15:$AW$15))*10</f>
        <v>55.805048634987806</v>
      </c>
      <c r="L46" s="14">
        <f>AVERAGE(SUMPRODUCT($S46:$BM46,AttWeights!$C$8:$AW$8)/SUM(AttWeights!$C$8:$AW$8),SUMPRODUCT($S46:$BM46,AttWeights!$C$16:$AW$16)/SUM(AttWeights!$C$16:$AW$16))*10</f>
        <v>53.566627910274221</v>
      </c>
      <c r="M46" s="14">
        <f>AVERAGE(SUMPRODUCT($S46:$BM46,AttWeights!$C$9:$AW$9)/SUM(AttWeights!$C$9:$AW$9),SUMPRODUCT($S46:$BM46,AttWeights!$C$15:$AW$15)/SUM(AttWeights!$C$15:$AW$15))*10</f>
        <v>55.483829278537044</v>
      </c>
      <c r="N46" s="14">
        <f>AVERAGE(SUMPRODUCT($S46:$BM46,AttWeights!$C$6:$AW$6)/SUM(AttWeights!$C$6:$AW$6),SUMPRODUCT($S46:$BM46,AttWeights!$C$14:$AW$14)/SUM(AttWeights!$C$14:$AW$14))*10</f>
        <v>48.537133778543726</v>
      </c>
      <c r="O46" s="14">
        <f>AVERAGE(SUMPRODUCT($S46:$BM46,AttWeights!$C$5:$AW$5)/SUM(AttWeights!$C$5:$AW$5),SUMPRODUCT($S46:$BM46,AttWeights!$C$14:$AW$14)/SUM(AttWeights!$C$14:$AW$14))*10</f>
        <v>47.067319133745833</v>
      </c>
      <c r="P46" s="14">
        <f>AVERAGE(SUMPRODUCT($S46:$BM46,AttWeights!$C$4:$AW$4)/SUM(AttWeights!$C$4:$AW$4),SUMPRODUCT($S46:$BM46,AttWeights!$C$13:$AW$13)/SUM(AttWeights!$C$13:$AW$13))*10</f>
        <v>48.997252747252745</v>
      </c>
      <c r="Q46" s="14">
        <f>AVERAGE(SUMPRODUCT($S46:$BM46,AttWeights!$C$3:$AW$3)/SUM(AttWeights!$C$3:$AW$3),SUMPRODUCT($S46:$BM46,AttWeights!$C$12:$AW$12)/SUM(AttWeights!$C$12:$AW$12))*10</f>
        <v>47.758448060075089</v>
      </c>
      <c r="R46" s="14">
        <f>AVERAGE(SUMPRODUCT($S46:$BM46,AttWeights!$C$2:$AW$2)/SUM(AttWeights!$C$2:$AW$2),SUMPRODUCT($S46:$BM46,AttWeights!$C$11:$AW$11)/SUM(AttWeights!$C$11:$AW$11))*10</f>
        <v>39.018076518076519</v>
      </c>
      <c r="S46" s="3">
        <f>IF(ISBLANK('Paste Full'!AC46),"",'Paste Full'!AC46)</f>
        <v>10</v>
      </c>
      <c r="T46" s="3">
        <f>IF(ISBLANK('Paste Full'!AD46),"",'Paste Full'!AD46)</f>
        <v>10</v>
      </c>
      <c r="U46" s="3">
        <f>IF(ISBLANK('Paste Full'!AE46),"",'Paste Full'!AE46)</f>
        <v>2</v>
      </c>
      <c r="V46" s="3">
        <f>IF(ISBLANK('Paste Full'!AF46),"",'Paste Full'!AF46)</f>
        <v>9</v>
      </c>
      <c r="W46" s="3">
        <f>IF(ISBLANK('Paste Full'!AH46),"",'Paste Full'!AH46)</f>
        <v>12</v>
      </c>
      <c r="X46" s="3">
        <f>IF(ISBLANK('Paste Full'!AI46),"",'Paste Full'!AI46)</f>
        <v>11</v>
      </c>
      <c r="Y46" s="3">
        <f>IF(ISBLANK('Paste Full'!AK46),"",'Paste Full'!AK46)</f>
        <v>5</v>
      </c>
      <c r="Z46" s="3">
        <f>IF(ISBLANK('Paste Full'!AL46),"",'Paste Full'!AL46)</f>
        <v>1</v>
      </c>
      <c r="AA46" s="4">
        <f>IF(ISBLANK('Paste Full'!AM46),"",'Paste Full'!AM46)</f>
        <v>1</v>
      </c>
      <c r="AB46" s="4">
        <f>IF(ISBLANK('Paste Full'!AN46),"",'Paste Full'!AN46)</f>
        <v>3</v>
      </c>
      <c r="AC46" s="4">
        <f>IF(ISBLANK('Paste Full'!AO46),"",'Paste Full'!AO46)</f>
        <v>3</v>
      </c>
      <c r="AD46" s="4">
        <f>IF(ISBLANK('Paste Full'!AP46),"",'Paste Full'!AP46)</f>
        <v>1</v>
      </c>
      <c r="AE46" s="4">
        <f>IF(ISBLANK('Paste Full'!AQ46),"",'Paste Full'!AQ46)</f>
        <v>4</v>
      </c>
      <c r="AF46" s="4">
        <f>IF(ISBLANK('Paste Full'!AR46),"",'Paste Full'!AR46)</f>
        <v>1</v>
      </c>
      <c r="AG46" s="4">
        <f>IF(ISBLANK('Paste Full'!AS46),"",'Paste Full'!AS46)</f>
        <v>1</v>
      </c>
      <c r="AH46" s="4">
        <f>IF(ISBLANK('Paste Full'!AV46),"",'Paste Full'!AV46)</f>
        <v>4</v>
      </c>
      <c r="AI46" s="4">
        <f>IF(ISBLANK('Paste Full'!AT46),"",'Paste Full'!AT46)</f>
        <v>1</v>
      </c>
      <c r="AJ46" s="4">
        <f>IF(ISBLANK('Paste Full'!AU46),"",'Paste Full'!AU46)</f>
        <v>1</v>
      </c>
      <c r="AK46" s="4">
        <f>IF(ISBLANK('Paste Full'!AW46),"",'Paste Full'!AW46)</f>
        <v>1</v>
      </c>
      <c r="AL46" s="5">
        <f>IF(ISBLANK('Paste Full'!AX46),"",'Paste Full'!AX46)</f>
        <v>8</v>
      </c>
      <c r="AM46" s="5">
        <f>IF(ISBLANK('Paste Full'!AY46),"",'Paste Full'!AY46)</f>
        <v>5</v>
      </c>
      <c r="AN46" s="5">
        <f>IF(ISBLANK('Paste Full'!AZ46),"",'Paste Full'!AZ46)</f>
        <v>7</v>
      </c>
      <c r="AO46" s="5">
        <f>IF(ISBLANK('Paste Full'!BA46),"",'Paste Full'!BA46)</f>
        <v>7</v>
      </c>
      <c r="AP46" s="5">
        <f>IF(ISBLANK('Paste Full'!BB46),"",'Paste Full'!BB46)</f>
        <v>2</v>
      </c>
      <c r="AQ46" s="5">
        <f>IF(ISBLANK('Paste Full'!BC46),"",'Paste Full'!BC46)</f>
        <v>4</v>
      </c>
      <c r="AR46" s="5">
        <f>IF(ISBLANK('Paste Full'!BD46),"",'Paste Full'!BD46)</f>
        <v>13</v>
      </c>
      <c r="AS46" s="5">
        <f>IF(ISBLANK('Paste Full'!BE46),"",'Paste Full'!BE46)</f>
        <v>11</v>
      </c>
      <c r="AT46" s="5">
        <f>IF(ISBLANK('Paste Full'!BF46),"",'Paste Full'!BF46)</f>
        <v>10</v>
      </c>
      <c r="AU46" s="5">
        <f>IF(ISBLANK('Paste Full'!BG46),"",'Paste Full'!BG46)</f>
        <v>6</v>
      </c>
      <c r="AV46" s="5">
        <f>IF(ISBLANK('Paste Full'!BH46),"",'Paste Full'!BH46)</f>
        <v>2</v>
      </c>
      <c r="AW46" s="5">
        <f>IF(ISBLANK('Paste Full'!BI46),"",'Paste Full'!BI46)</f>
        <v>4</v>
      </c>
      <c r="AX46" s="5">
        <f>IF(ISBLANK('Paste Full'!BJ46),"",'Paste Full'!BJ46)</f>
        <v>2</v>
      </c>
      <c r="AY46" s="5">
        <f>IF(ISBLANK('Paste Full'!BK46),"",'Paste Full'!BK46)</f>
        <v>3</v>
      </c>
      <c r="AZ46" s="6">
        <f>IF(ISBLANK('Paste Full'!BM46),"",'Paste Full'!BM46)</f>
        <v>2</v>
      </c>
      <c r="BA46" s="6">
        <f>IF(ISBLANK('Paste Full'!BN46),"",'Paste Full'!BN46)</f>
        <v>8</v>
      </c>
      <c r="BB46" s="6">
        <f>IF(ISBLANK('Paste Full'!BO46),"",'Paste Full'!BO46)</f>
        <v>13</v>
      </c>
      <c r="BC46" s="6">
        <f>IF(ISBLANK('Paste Full'!BP46),"",'Paste Full'!BP46)</f>
        <v>5</v>
      </c>
      <c r="BD46" s="6">
        <f>IF(ISBLANK('Paste Full'!BR46),"",'Paste Full'!BR46)</f>
        <v>4</v>
      </c>
      <c r="BE46" s="6">
        <f>IF(ISBLANK('Paste Full'!BS46),"",'Paste Full'!BS46)</f>
        <v>2</v>
      </c>
      <c r="BF46" s="6">
        <f>IF(ISBLANK('Paste Full'!BU46),"",'Paste Full'!BU46)</f>
        <v>1</v>
      </c>
      <c r="BG46" s="6">
        <f>IF(ISBLANK('Paste Full'!BV46),"",'Paste Full'!BV46)</f>
        <v>1</v>
      </c>
      <c r="BH46" s="6">
        <f>IF(ISBLANK('Paste Full'!BX46),"",'Paste Full'!BX46)</f>
        <v>1</v>
      </c>
      <c r="BI46" s="6">
        <f>IF(ISBLANK('Paste Full'!BY46),"",'Paste Full'!BY46)</f>
        <v>10</v>
      </c>
      <c r="BJ46" s="13">
        <f>IF(ISBLANK('Paste Full'!BL46),"",'Paste Full'!BL46)</f>
        <v>1</v>
      </c>
      <c r="BK46" s="13">
        <f>IF(ISBLANK('Paste Full'!BQ46),"",'Paste Full'!BQ46)</f>
        <v>3</v>
      </c>
      <c r="BL46" s="13">
        <f>IF(ISBLANK('Paste Full'!BT46),"",'Paste Full'!BT46)</f>
        <v>2</v>
      </c>
      <c r="BM46" s="13">
        <f>IF(ISBLANK('Paste Full'!BW46),"",'Paste Full'!BW46)</f>
        <v>5</v>
      </c>
    </row>
    <row r="47" spans="1:65" x14ac:dyDescent="0.3">
      <c r="A47" t="str">
        <f>IF(ISBLANK('Paste Full'!C47),"",'Paste Full'!C47)</f>
        <v>Erdal Peker</v>
      </c>
      <c r="B47" t="str">
        <f t="shared" si="1"/>
        <v>AM(R)</v>
      </c>
      <c r="C47" s="2">
        <f>IF(ISBLANK('Paste Full'!H47),"",'Paste Full'!H47)</f>
        <v>16</v>
      </c>
      <c r="D47" s="2">
        <f>IF(ISBLANK('Paste Full'!F47),"",'Paste Full'!F47)</f>
        <v>43</v>
      </c>
      <c r="E47" s="2">
        <f>IF(ISBLANK('Paste Full'!G47),"",'Paste Full'!G47)</f>
        <v>98</v>
      </c>
      <c r="F47" s="22" t="str">
        <f>IF(ISBLANK('Paste Full'!E47),"",'Paste Full'!E47)</f>
        <v>England,Turkey</v>
      </c>
      <c r="G47" t="str">
        <f>IF(ISBLANK('Paste Full'!CI47),"",'Paste Full'!CI47)</f>
        <v>Brixham</v>
      </c>
      <c r="H47" s="22">
        <f>IF(ISBLANK('Paste Full'!J47),"",'Paste Full'!J47)</f>
        <v>2760</v>
      </c>
      <c r="I47" s="22" t="str">
        <f>IF(ISBLANK('Paste Full'!D47),"",'Paste Full'!D47)</f>
        <v>AM R</v>
      </c>
      <c r="J47" s="14">
        <f>AVERAGE(SUMPRODUCT($S47:$BM47,AttWeights!$C$10:$AW$10)/SUM(AttWeights!$C$10:$AW$10),SUMPRODUCT($S47:$BM47,AttWeights!$C$17:$AW$17)/SUM(AttWeights!$C$17:$AW$17))*10</f>
        <v>62.18177911474001</v>
      </c>
      <c r="K47" s="14">
        <f>AVERAGE(SUMPRODUCT($S47:$BM47,AttWeights!$C$7:$AW$7)/SUM(AttWeights!$C$7:$AW$7),SUMPRODUCT($S47:$BM47,AttWeights!$C$15:$AW$15)/SUM(AttWeights!$C$15:$AW$15))*10</f>
        <v>64.456346057774255</v>
      </c>
      <c r="L47" s="14">
        <f>AVERAGE(SUMPRODUCT($S47:$BM47,AttWeights!$C$8:$AW$8)/SUM(AttWeights!$C$8:$AW$8),SUMPRODUCT($S47:$BM47,AttWeights!$C$16:$AW$16)/SUM(AttWeights!$C$16:$AW$16))*10</f>
        <v>63.611575872727784</v>
      </c>
      <c r="M47" s="14">
        <f>AVERAGE(SUMPRODUCT($S47:$BM47,AttWeights!$C$9:$AW$9)/SUM(AttWeights!$C$9:$AW$9),SUMPRODUCT($S47:$BM47,AttWeights!$C$15:$AW$15)/SUM(AttWeights!$C$15:$AW$15))*10</f>
        <v>65.149591289457533</v>
      </c>
      <c r="N47" s="14">
        <f>AVERAGE(SUMPRODUCT($S47:$BM47,AttWeights!$C$6:$AW$6)/SUM(AttWeights!$C$6:$AW$6),SUMPRODUCT($S47:$BM47,AttWeights!$C$14:$AW$14)/SUM(AttWeights!$C$14:$AW$14))*10</f>
        <v>57.505654890133556</v>
      </c>
      <c r="O47" s="14">
        <f>AVERAGE(SUMPRODUCT($S47:$BM47,AttWeights!$C$5:$AW$5)/SUM(AttWeights!$C$5:$AW$5),SUMPRODUCT($S47:$BM47,AttWeights!$C$14:$AW$14)/SUM(AttWeights!$C$14:$AW$14))*10</f>
        <v>54.67545216563542</v>
      </c>
      <c r="P47" s="14">
        <f>AVERAGE(SUMPRODUCT($S47:$BM47,AttWeights!$C$4:$AW$4)/SUM(AttWeights!$C$4:$AW$4),SUMPRODUCT($S47:$BM47,AttWeights!$C$13:$AW$13)/SUM(AttWeights!$C$13:$AW$13))*10</f>
        <v>52.201236263736263</v>
      </c>
      <c r="Q47" s="14">
        <f>AVERAGE(SUMPRODUCT($S47:$BM47,AttWeights!$C$3:$AW$3)/SUM(AttWeights!$C$3:$AW$3),SUMPRODUCT($S47:$BM47,AttWeights!$C$12:$AW$12)/SUM(AttWeights!$C$12:$AW$12))*10</f>
        <v>54.348873591989992</v>
      </c>
      <c r="R47" s="14">
        <f>AVERAGE(SUMPRODUCT($S47:$BM47,AttWeights!$C$2:$AW$2)/SUM(AttWeights!$C$2:$AW$2),SUMPRODUCT($S47:$BM47,AttWeights!$C$11:$AW$11)/SUM(AttWeights!$C$11:$AW$11))*10</f>
        <v>40.070200070200066</v>
      </c>
      <c r="S47" s="3">
        <f>IF(ISBLANK('Paste Full'!AC47),"",'Paste Full'!AC47)</f>
        <v>14</v>
      </c>
      <c r="T47" s="3">
        <f>IF(ISBLANK('Paste Full'!AD47),"",'Paste Full'!AD47)</f>
        <v>13</v>
      </c>
      <c r="U47" s="3">
        <f>IF(ISBLANK('Paste Full'!AE47),"",'Paste Full'!AE47)</f>
        <v>11</v>
      </c>
      <c r="V47" s="3">
        <f>IF(ISBLANK('Paste Full'!AF47),"",'Paste Full'!AF47)</f>
        <v>4</v>
      </c>
      <c r="W47" s="3">
        <f>IF(ISBLANK('Paste Full'!AH47),"",'Paste Full'!AH47)</f>
        <v>13</v>
      </c>
      <c r="X47" s="3">
        <f>IF(ISBLANK('Paste Full'!AI47),"",'Paste Full'!AI47)</f>
        <v>13</v>
      </c>
      <c r="Y47" s="3">
        <f>IF(ISBLANK('Paste Full'!AK47),"",'Paste Full'!AK47)</f>
        <v>6</v>
      </c>
      <c r="Z47" s="3">
        <f>IF(ISBLANK('Paste Full'!AL47),"",'Paste Full'!AL47)</f>
        <v>1</v>
      </c>
      <c r="AA47" s="4">
        <f>IF(ISBLANK('Paste Full'!AM47),"",'Paste Full'!AM47)</f>
        <v>3</v>
      </c>
      <c r="AB47" s="4">
        <f>IF(ISBLANK('Paste Full'!AN47),"",'Paste Full'!AN47)</f>
        <v>3</v>
      </c>
      <c r="AC47" s="4">
        <f>IF(ISBLANK('Paste Full'!AO47),"",'Paste Full'!AO47)</f>
        <v>2</v>
      </c>
      <c r="AD47" s="4">
        <f>IF(ISBLANK('Paste Full'!AP47),"",'Paste Full'!AP47)</f>
        <v>2</v>
      </c>
      <c r="AE47" s="4">
        <f>IF(ISBLANK('Paste Full'!AQ47),"",'Paste Full'!AQ47)</f>
        <v>3</v>
      </c>
      <c r="AF47" s="4">
        <f>IF(ISBLANK('Paste Full'!AR47),"",'Paste Full'!AR47)</f>
        <v>3</v>
      </c>
      <c r="AG47" s="4">
        <f>IF(ISBLANK('Paste Full'!AS47),"",'Paste Full'!AS47)</f>
        <v>1</v>
      </c>
      <c r="AH47" s="4">
        <f>IF(ISBLANK('Paste Full'!AV47),"",'Paste Full'!AV47)</f>
        <v>2</v>
      </c>
      <c r="AI47" s="4">
        <f>IF(ISBLANK('Paste Full'!AT47),"",'Paste Full'!AT47)</f>
        <v>1</v>
      </c>
      <c r="AJ47" s="4">
        <f>IF(ISBLANK('Paste Full'!AU47),"",'Paste Full'!AU47)</f>
        <v>1</v>
      </c>
      <c r="AK47" s="4">
        <f>IF(ISBLANK('Paste Full'!AW47),"",'Paste Full'!AW47)</f>
        <v>1</v>
      </c>
      <c r="AL47" s="5">
        <f>IF(ISBLANK('Paste Full'!AX47),"",'Paste Full'!AX47)</f>
        <v>9</v>
      </c>
      <c r="AM47" s="5">
        <f>IF(ISBLANK('Paste Full'!AY47),"",'Paste Full'!AY47)</f>
        <v>4</v>
      </c>
      <c r="AN47" s="5">
        <f>IF(ISBLANK('Paste Full'!AZ47),"",'Paste Full'!AZ47)</f>
        <v>8</v>
      </c>
      <c r="AO47" s="5">
        <f>IF(ISBLANK('Paste Full'!BA47),"",'Paste Full'!BA47)</f>
        <v>4</v>
      </c>
      <c r="AP47" s="5">
        <f>IF(ISBLANK('Paste Full'!BB47),"",'Paste Full'!BB47)</f>
        <v>3</v>
      </c>
      <c r="AQ47" s="5">
        <f>IF(ISBLANK('Paste Full'!BC47),"",'Paste Full'!BC47)</f>
        <v>3</v>
      </c>
      <c r="AR47" s="5">
        <f>IF(ISBLANK('Paste Full'!BD47),"",'Paste Full'!BD47)</f>
        <v>8</v>
      </c>
      <c r="AS47" s="5">
        <f>IF(ISBLANK('Paste Full'!BE47),"",'Paste Full'!BE47)</f>
        <v>11</v>
      </c>
      <c r="AT47" s="5">
        <f>IF(ISBLANK('Paste Full'!BF47),"",'Paste Full'!BF47)</f>
        <v>6</v>
      </c>
      <c r="AU47" s="5">
        <f>IF(ISBLANK('Paste Full'!BG47),"",'Paste Full'!BG47)</f>
        <v>5</v>
      </c>
      <c r="AV47" s="5">
        <f>IF(ISBLANK('Paste Full'!BH47),"",'Paste Full'!BH47)</f>
        <v>1</v>
      </c>
      <c r="AW47" s="5">
        <f>IF(ISBLANK('Paste Full'!BI47),"",'Paste Full'!BI47)</f>
        <v>2</v>
      </c>
      <c r="AX47" s="5">
        <f>IF(ISBLANK('Paste Full'!BJ47),"",'Paste Full'!BJ47)</f>
        <v>6</v>
      </c>
      <c r="AY47" s="5">
        <f>IF(ISBLANK('Paste Full'!BK47),"",'Paste Full'!BK47)</f>
        <v>6</v>
      </c>
      <c r="AZ47" s="6">
        <f>IF(ISBLANK('Paste Full'!BM47),"",'Paste Full'!BM47)</f>
        <v>6</v>
      </c>
      <c r="BA47" s="6">
        <f>IF(ISBLANK('Paste Full'!BN47),"",'Paste Full'!BN47)</f>
        <v>5</v>
      </c>
      <c r="BB47" s="6">
        <f>IF(ISBLANK('Paste Full'!BO47),"",'Paste Full'!BO47)</f>
        <v>7</v>
      </c>
      <c r="BC47" s="6">
        <f>IF(ISBLANK('Paste Full'!BP47),"",'Paste Full'!BP47)</f>
        <v>13</v>
      </c>
      <c r="BD47" s="6">
        <f>IF(ISBLANK('Paste Full'!BR47),"",'Paste Full'!BR47)</f>
        <v>1</v>
      </c>
      <c r="BE47" s="6">
        <f>IF(ISBLANK('Paste Full'!BS47),"",'Paste Full'!BS47)</f>
        <v>2</v>
      </c>
      <c r="BF47" s="6">
        <f>IF(ISBLANK('Paste Full'!BU47),"",'Paste Full'!BU47)</f>
        <v>1</v>
      </c>
      <c r="BG47" s="6">
        <f>IF(ISBLANK('Paste Full'!BV47),"",'Paste Full'!BV47)</f>
        <v>7</v>
      </c>
      <c r="BH47" s="6">
        <f>IF(ISBLANK('Paste Full'!BX47),"",'Paste Full'!BX47)</f>
        <v>1</v>
      </c>
      <c r="BI47" s="6">
        <f>IF(ISBLANK('Paste Full'!BY47),"",'Paste Full'!BY47)</f>
        <v>10</v>
      </c>
      <c r="BJ47" s="13">
        <f>IF(ISBLANK('Paste Full'!BL47),"",'Paste Full'!BL47)</f>
        <v>3</v>
      </c>
      <c r="BK47" s="13">
        <f>IF(ISBLANK('Paste Full'!BQ47),"",'Paste Full'!BQ47)</f>
        <v>1</v>
      </c>
      <c r="BL47" s="13">
        <f>IF(ISBLANK('Paste Full'!BT47),"",'Paste Full'!BT47)</f>
        <v>3</v>
      </c>
      <c r="BM47" s="13">
        <f>IF(ISBLANK('Paste Full'!BW47),"",'Paste Full'!BW47)</f>
        <v>2</v>
      </c>
    </row>
    <row r="48" spans="1:65" x14ac:dyDescent="0.3">
      <c r="A48" t="str">
        <f>IF(ISBLANK('Paste Full'!C48),"",'Paste Full'!C48)</f>
        <v>Jordan Tait</v>
      </c>
      <c r="B48" t="str">
        <f t="shared" si="1"/>
        <v>AM(R)</v>
      </c>
      <c r="C48" s="2">
        <f>IF(ISBLANK('Paste Full'!H48),"",'Paste Full'!H48)</f>
        <v>16</v>
      </c>
      <c r="D48" s="2">
        <f>IF(ISBLANK('Paste Full'!F48),"",'Paste Full'!F48)</f>
        <v>37</v>
      </c>
      <c r="E48" s="2">
        <f>IF(ISBLANK('Paste Full'!G48),"",'Paste Full'!G48)</f>
        <v>85</v>
      </c>
      <c r="F48" s="22" t="str">
        <f>IF(ISBLANK('Paste Full'!E48),"",'Paste Full'!E48)</f>
        <v>England</v>
      </c>
      <c r="G48" t="str">
        <f>IF(ISBLANK('Paste Full'!CI48),"",'Paste Full'!CI48)</f>
        <v>Brixham</v>
      </c>
      <c r="H48" s="22">
        <f>IF(ISBLANK('Paste Full'!J48),"",'Paste Full'!J48)</f>
        <v>1895</v>
      </c>
      <c r="I48" s="22" t="str">
        <f>IF(ISBLANK('Paste Full'!D48),"",'Paste Full'!D48)</f>
        <v>D L</v>
      </c>
      <c r="J48" s="14">
        <f>AVERAGE(SUMPRODUCT($S48:$BM48,AttWeights!$C$10:$AW$10)/SUM(AttWeights!$C$10:$AW$10),SUMPRODUCT($S48:$BM48,AttWeights!$C$17:$AW$17)/SUM(AttWeights!$C$17:$AW$17))*10</f>
        <v>63.017619252256125</v>
      </c>
      <c r="K48" s="14">
        <f>AVERAGE(SUMPRODUCT($S48:$BM48,AttWeights!$C$7:$AW$7)/SUM(AttWeights!$C$7:$AW$7),SUMPRODUCT($S48:$BM48,AttWeights!$C$15:$AW$15)/SUM(AttWeights!$C$15:$AW$15))*10</f>
        <v>68.267360192776749</v>
      </c>
      <c r="L48" s="14">
        <f>AVERAGE(SUMPRODUCT($S48:$BM48,AttWeights!$C$8:$AW$8)/SUM(AttWeights!$C$8:$AW$8),SUMPRODUCT($S48:$BM48,AttWeights!$C$16:$AW$16)/SUM(AttWeights!$C$16:$AW$16))*10</f>
        <v>69.33556418909339</v>
      </c>
      <c r="M48" s="14">
        <f>AVERAGE(SUMPRODUCT($S48:$BM48,AttWeights!$C$9:$AW$9)/SUM(AttWeights!$C$9:$AW$9),SUMPRODUCT($S48:$BM48,AttWeights!$C$15:$AW$15)/SUM(AttWeights!$C$15:$AW$15))*10</f>
        <v>72.086039223288424</v>
      </c>
      <c r="N48" s="14">
        <f>AVERAGE(SUMPRODUCT($S48:$BM48,AttWeights!$C$6:$AW$6)/SUM(AttWeights!$C$6:$AW$6),SUMPRODUCT($S48:$BM48,AttWeights!$C$14:$AW$14)/SUM(AttWeights!$C$14:$AW$14))*10</f>
        <v>67.820578414476515</v>
      </c>
      <c r="O48" s="14">
        <f>AVERAGE(SUMPRODUCT($S48:$BM48,AttWeights!$C$5:$AW$5)/SUM(AttWeights!$C$5:$AW$5),SUMPRODUCT($S48:$BM48,AttWeights!$C$14:$AW$14)/SUM(AttWeights!$C$14:$AW$14))*10</f>
        <v>67.719092099000477</v>
      </c>
      <c r="P48" s="14">
        <f>AVERAGE(SUMPRODUCT($S48:$BM48,AttWeights!$C$4:$AW$4)/SUM(AttWeights!$C$4:$AW$4),SUMPRODUCT($S48:$BM48,AttWeights!$C$13:$AW$13)/SUM(AttWeights!$C$13:$AW$13))*10</f>
        <v>63.839285714285708</v>
      </c>
      <c r="Q48" s="14">
        <f>AVERAGE(SUMPRODUCT($S48:$BM48,AttWeights!$C$3:$AW$3)/SUM(AttWeights!$C$3:$AW$3),SUMPRODUCT($S48:$BM48,AttWeights!$C$12:$AW$12)/SUM(AttWeights!$C$12:$AW$12))*10</f>
        <v>70.649874843554443</v>
      </c>
      <c r="R48" s="14">
        <f>AVERAGE(SUMPRODUCT($S48:$BM48,AttWeights!$C$2:$AW$2)/SUM(AttWeights!$C$2:$AW$2),SUMPRODUCT($S48:$BM48,AttWeights!$C$11:$AW$11)/SUM(AttWeights!$C$11:$AW$11))*10</f>
        <v>50.070200070200066</v>
      </c>
      <c r="S48" s="3">
        <f>IF(ISBLANK('Paste Full'!AC48),"",'Paste Full'!AC48)</f>
        <v>12</v>
      </c>
      <c r="T48" s="3">
        <f>IF(ISBLANK('Paste Full'!AD48),"",'Paste Full'!AD48)</f>
        <v>13</v>
      </c>
      <c r="U48" s="3">
        <f>IF(ISBLANK('Paste Full'!AE48),"",'Paste Full'!AE48)</f>
        <v>4</v>
      </c>
      <c r="V48" s="3">
        <f>IF(ISBLANK('Paste Full'!AF48),"",'Paste Full'!AF48)</f>
        <v>6</v>
      </c>
      <c r="W48" s="3">
        <f>IF(ISBLANK('Paste Full'!AH48),"",'Paste Full'!AH48)</f>
        <v>8</v>
      </c>
      <c r="X48" s="3">
        <f>IF(ISBLANK('Paste Full'!AI48),"",'Paste Full'!AI48)</f>
        <v>12</v>
      </c>
      <c r="Y48" s="3">
        <f>IF(ISBLANK('Paste Full'!AK48),"",'Paste Full'!AK48)</f>
        <v>9</v>
      </c>
      <c r="Z48" s="3">
        <f>IF(ISBLANK('Paste Full'!AL48),"",'Paste Full'!AL48)</f>
        <v>4</v>
      </c>
      <c r="AA48" s="4">
        <f>IF(ISBLANK('Paste Full'!AM48),"",'Paste Full'!AM48)</f>
        <v>3</v>
      </c>
      <c r="AB48" s="4">
        <f>IF(ISBLANK('Paste Full'!AN48),"",'Paste Full'!AN48)</f>
        <v>3</v>
      </c>
      <c r="AC48" s="4">
        <f>IF(ISBLANK('Paste Full'!AO48),"",'Paste Full'!AO48)</f>
        <v>3</v>
      </c>
      <c r="AD48" s="4">
        <f>IF(ISBLANK('Paste Full'!AP48),"",'Paste Full'!AP48)</f>
        <v>2</v>
      </c>
      <c r="AE48" s="4">
        <f>IF(ISBLANK('Paste Full'!AQ48),"",'Paste Full'!AQ48)</f>
        <v>2</v>
      </c>
      <c r="AF48" s="4">
        <f>IF(ISBLANK('Paste Full'!AR48),"",'Paste Full'!AR48)</f>
        <v>2</v>
      </c>
      <c r="AG48" s="4">
        <f>IF(ISBLANK('Paste Full'!AS48),"",'Paste Full'!AS48)</f>
        <v>3</v>
      </c>
      <c r="AH48" s="4">
        <f>IF(ISBLANK('Paste Full'!AV48),"",'Paste Full'!AV48)</f>
        <v>3</v>
      </c>
      <c r="AI48" s="4">
        <f>IF(ISBLANK('Paste Full'!AT48),"",'Paste Full'!AT48)</f>
        <v>1</v>
      </c>
      <c r="AJ48" s="4">
        <f>IF(ISBLANK('Paste Full'!AU48),"",'Paste Full'!AU48)</f>
        <v>1</v>
      </c>
      <c r="AK48" s="4">
        <f>IF(ISBLANK('Paste Full'!AW48),"",'Paste Full'!AW48)</f>
        <v>3</v>
      </c>
      <c r="AL48" s="5">
        <f>IF(ISBLANK('Paste Full'!AX48),"",'Paste Full'!AX48)</f>
        <v>7</v>
      </c>
      <c r="AM48" s="5">
        <f>IF(ISBLANK('Paste Full'!AY48),"",'Paste Full'!AY48)</f>
        <v>3</v>
      </c>
      <c r="AN48" s="5">
        <f>IF(ISBLANK('Paste Full'!AZ48),"",'Paste Full'!AZ48)</f>
        <v>15</v>
      </c>
      <c r="AO48" s="5">
        <f>IF(ISBLANK('Paste Full'!BA48),"",'Paste Full'!BA48)</f>
        <v>4</v>
      </c>
      <c r="AP48" s="5">
        <f>IF(ISBLANK('Paste Full'!BB48),"",'Paste Full'!BB48)</f>
        <v>4</v>
      </c>
      <c r="AQ48" s="5">
        <f>IF(ISBLANK('Paste Full'!BC48),"",'Paste Full'!BC48)</f>
        <v>9</v>
      </c>
      <c r="AR48" s="5">
        <f>IF(ISBLANK('Paste Full'!BD48),"",'Paste Full'!BD48)</f>
        <v>9</v>
      </c>
      <c r="AS48" s="5">
        <f>IF(ISBLANK('Paste Full'!BE48),"",'Paste Full'!BE48)</f>
        <v>9</v>
      </c>
      <c r="AT48" s="5">
        <f>IF(ISBLANK('Paste Full'!BF48),"",'Paste Full'!BF48)</f>
        <v>10</v>
      </c>
      <c r="AU48" s="5">
        <f>IF(ISBLANK('Paste Full'!BG48),"",'Paste Full'!BG48)</f>
        <v>5</v>
      </c>
      <c r="AV48" s="5">
        <f>IF(ISBLANK('Paste Full'!BH48),"",'Paste Full'!BH48)</f>
        <v>6</v>
      </c>
      <c r="AW48" s="5">
        <f>IF(ISBLANK('Paste Full'!BI48),"",'Paste Full'!BI48)</f>
        <v>9</v>
      </c>
      <c r="AX48" s="5">
        <f>IF(ISBLANK('Paste Full'!BJ48),"",'Paste Full'!BJ48)</f>
        <v>3</v>
      </c>
      <c r="AY48" s="5">
        <f>IF(ISBLANK('Paste Full'!BK48),"",'Paste Full'!BK48)</f>
        <v>13</v>
      </c>
      <c r="AZ48" s="6">
        <f>IF(ISBLANK('Paste Full'!BM48),"",'Paste Full'!BM48)</f>
        <v>6</v>
      </c>
      <c r="BA48" s="6">
        <f>IF(ISBLANK('Paste Full'!BN48),"",'Paste Full'!BN48)</f>
        <v>4</v>
      </c>
      <c r="BB48" s="6">
        <f>IF(ISBLANK('Paste Full'!BO48),"",'Paste Full'!BO48)</f>
        <v>3</v>
      </c>
      <c r="BC48" s="6">
        <f>IF(ISBLANK('Paste Full'!BP48),"",'Paste Full'!BP48)</f>
        <v>4</v>
      </c>
      <c r="BD48" s="6">
        <f>IF(ISBLANK('Paste Full'!BR48),"",'Paste Full'!BR48)</f>
        <v>3</v>
      </c>
      <c r="BE48" s="6">
        <f>IF(ISBLANK('Paste Full'!BS48),"",'Paste Full'!BS48)</f>
        <v>1</v>
      </c>
      <c r="BF48" s="6">
        <f>IF(ISBLANK('Paste Full'!BU48),"",'Paste Full'!BU48)</f>
        <v>7</v>
      </c>
      <c r="BG48" s="6">
        <f>IF(ISBLANK('Paste Full'!BV48),"",'Paste Full'!BV48)</f>
        <v>6</v>
      </c>
      <c r="BH48" s="6">
        <f>IF(ISBLANK('Paste Full'!BX48),"",'Paste Full'!BX48)</f>
        <v>5</v>
      </c>
      <c r="BI48" s="6">
        <f>IF(ISBLANK('Paste Full'!BY48),"",'Paste Full'!BY48)</f>
        <v>9</v>
      </c>
      <c r="BJ48" s="13">
        <f>IF(ISBLANK('Paste Full'!BL48),"",'Paste Full'!BL48)</f>
        <v>2</v>
      </c>
      <c r="BK48" s="13">
        <f>IF(ISBLANK('Paste Full'!BQ48),"",'Paste Full'!BQ48)</f>
        <v>2</v>
      </c>
      <c r="BL48" s="13">
        <f>IF(ISBLANK('Paste Full'!BT48),"",'Paste Full'!BT48)</f>
        <v>1</v>
      </c>
      <c r="BM48" s="13">
        <f>IF(ISBLANK('Paste Full'!BW48),"",'Paste Full'!BW48)</f>
        <v>2</v>
      </c>
    </row>
    <row r="49" spans="1:65" x14ac:dyDescent="0.3">
      <c r="A49" t="str">
        <f>IF(ISBLANK('Paste Full'!C49),"",'Paste Full'!C49)</f>
        <v>Paul Jarvis</v>
      </c>
      <c r="B49" t="str">
        <f t="shared" si="1"/>
        <v>AM(R)</v>
      </c>
      <c r="C49" s="2">
        <f>IF(ISBLANK('Paste Full'!H49),"",'Paste Full'!H49)</f>
        <v>16</v>
      </c>
      <c r="D49" s="2">
        <f>IF(ISBLANK('Paste Full'!F49),"",'Paste Full'!F49)</f>
        <v>59</v>
      </c>
      <c r="E49" s="2">
        <f>IF(ISBLANK('Paste Full'!G49),"",'Paste Full'!G49)</f>
        <v>86</v>
      </c>
      <c r="F49" s="22" t="str">
        <f>IF(ISBLANK('Paste Full'!E49),"",'Paste Full'!E49)</f>
        <v>Wales,England</v>
      </c>
      <c r="G49" t="str">
        <f>IF(ISBLANK('Paste Full'!CI49),"",'Paste Full'!CI49)</f>
        <v>Brixham</v>
      </c>
      <c r="H49" s="22">
        <f>IF(ISBLANK('Paste Full'!J49),"",'Paste Full'!J49)</f>
        <v>2837</v>
      </c>
      <c r="I49" s="22" t="str">
        <f>IF(ISBLANK('Paste Full'!D49),"",'Paste Full'!D49)</f>
        <v>M/AM RL</v>
      </c>
      <c r="J49" s="14">
        <f>AVERAGE(SUMPRODUCT($S49:$BM49,AttWeights!$C$10:$AW$10)/SUM(AttWeights!$C$10:$AW$10),SUMPRODUCT($S49:$BM49,AttWeights!$C$17:$AW$17)/SUM(AttWeights!$C$17:$AW$17))*10</f>
        <v>65.669245093826106</v>
      </c>
      <c r="K49" s="14">
        <f>AVERAGE(SUMPRODUCT($S49:$BM49,AttWeights!$C$7:$AW$7)/SUM(AttWeights!$C$7:$AW$7),SUMPRODUCT($S49:$BM49,AttWeights!$C$15:$AW$15)/SUM(AttWeights!$C$15:$AW$15))*10</f>
        <v>74.804725381292428</v>
      </c>
      <c r="L49" s="14">
        <f>AVERAGE(SUMPRODUCT($S49:$BM49,AttWeights!$C$8:$AW$8)/SUM(AttWeights!$C$8:$AW$8),SUMPRODUCT($S49:$BM49,AttWeights!$C$16:$AW$16)/SUM(AttWeights!$C$16:$AW$16))*10</f>
        <v>73.996114907977201</v>
      </c>
      <c r="M49" s="14">
        <f>AVERAGE(SUMPRODUCT($S49:$BM49,AttWeights!$C$9:$AW$9)/SUM(AttWeights!$C$9:$AW$9),SUMPRODUCT($S49:$BM49,AttWeights!$C$15:$AW$15)/SUM(AttWeights!$C$15:$AW$15))*10</f>
        <v>77.470679461083648</v>
      </c>
      <c r="N49" s="14">
        <f>AVERAGE(SUMPRODUCT($S49:$BM49,AttWeights!$C$6:$AW$6)/SUM(AttWeights!$C$6:$AW$6),SUMPRODUCT($S49:$BM49,AttWeights!$C$14:$AW$14)/SUM(AttWeights!$C$14:$AW$14))*10</f>
        <v>67.243644980611805</v>
      </c>
      <c r="O49" s="14">
        <f>AVERAGE(SUMPRODUCT($S49:$BM49,AttWeights!$C$5:$AW$5)/SUM(AttWeights!$C$5:$AW$5),SUMPRODUCT($S49:$BM49,AttWeights!$C$14:$AW$14)/SUM(AttWeights!$C$14:$AW$14))*10</f>
        <v>66.802712993812477</v>
      </c>
      <c r="P49" s="14">
        <f>AVERAGE(SUMPRODUCT($S49:$BM49,AttWeights!$C$4:$AW$4)/SUM(AttWeights!$C$4:$AW$4),SUMPRODUCT($S49:$BM49,AttWeights!$C$13:$AW$13)/SUM(AttWeights!$C$13:$AW$13))*10</f>
        <v>58.176510989010985</v>
      </c>
      <c r="Q49" s="14">
        <f>AVERAGE(SUMPRODUCT($S49:$BM49,AttWeights!$C$3:$AW$3)/SUM(AttWeights!$C$3:$AW$3),SUMPRODUCT($S49:$BM49,AttWeights!$C$12:$AW$12)/SUM(AttWeights!$C$12:$AW$12))*10</f>
        <v>67.534418022528158</v>
      </c>
      <c r="R49" s="14">
        <f>AVERAGE(SUMPRODUCT($S49:$BM49,AttWeights!$C$2:$AW$2)/SUM(AttWeights!$C$2:$AW$2),SUMPRODUCT($S49:$BM49,AttWeights!$C$11:$AW$11)/SUM(AttWeights!$C$11:$AW$11))*10</f>
        <v>44.244032994032992</v>
      </c>
      <c r="S49" s="3">
        <f>IF(ISBLANK('Paste Full'!AC49),"",'Paste Full'!AC49)</f>
        <v>12</v>
      </c>
      <c r="T49" s="3">
        <f>IF(ISBLANK('Paste Full'!AD49),"",'Paste Full'!AD49)</f>
        <v>14</v>
      </c>
      <c r="U49" s="3">
        <f>IF(ISBLANK('Paste Full'!AE49),"",'Paste Full'!AE49)</f>
        <v>9</v>
      </c>
      <c r="V49" s="3">
        <f>IF(ISBLANK('Paste Full'!AF49),"",'Paste Full'!AF49)</f>
        <v>4</v>
      </c>
      <c r="W49" s="3">
        <f>IF(ISBLANK('Paste Full'!AH49),"",'Paste Full'!AH49)</f>
        <v>7</v>
      </c>
      <c r="X49" s="3">
        <f>IF(ISBLANK('Paste Full'!AI49),"",'Paste Full'!AI49)</f>
        <v>13</v>
      </c>
      <c r="Y49" s="3">
        <f>IF(ISBLANK('Paste Full'!AK49),"",'Paste Full'!AK49)</f>
        <v>11</v>
      </c>
      <c r="Z49" s="3">
        <f>IF(ISBLANK('Paste Full'!AL49),"",'Paste Full'!AL49)</f>
        <v>4</v>
      </c>
      <c r="AA49" s="4">
        <f>IF(ISBLANK('Paste Full'!AM49),"",'Paste Full'!AM49)</f>
        <v>2</v>
      </c>
      <c r="AB49" s="4">
        <f>IF(ISBLANK('Paste Full'!AN49),"",'Paste Full'!AN49)</f>
        <v>3</v>
      </c>
      <c r="AC49" s="4">
        <f>IF(ISBLANK('Paste Full'!AO49),"",'Paste Full'!AO49)</f>
        <v>1</v>
      </c>
      <c r="AD49" s="4">
        <f>IF(ISBLANK('Paste Full'!AP49),"",'Paste Full'!AP49)</f>
        <v>2</v>
      </c>
      <c r="AE49" s="4">
        <f>IF(ISBLANK('Paste Full'!AQ49),"",'Paste Full'!AQ49)</f>
        <v>3</v>
      </c>
      <c r="AF49" s="4">
        <f>IF(ISBLANK('Paste Full'!AR49),"",'Paste Full'!AR49)</f>
        <v>3</v>
      </c>
      <c r="AG49" s="4">
        <f>IF(ISBLANK('Paste Full'!AS49),"",'Paste Full'!AS49)</f>
        <v>1</v>
      </c>
      <c r="AH49" s="4">
        <f>IF(ISBLANK('Paste Full'!AV49),"",'Paste Full'!AV49)</f>
        <v>1</v>
      </c>
      <c r="AI49" s="4">
        <f>IF(ISBLANK('Paste Full'!AT49),"",'Paste Full'!AT49)</f>
        <v>3</v>
      </c>
      <c r="AJ49" s="4">
        <f>IF(ISBLANK('Paste Full'!AU49),"",'Paste Full'!AU49)</f>
        <v>2</v>
      </c>
      <c r="AK49" s="4">
        <f>IF(ISBLANK('Paste Full'!AW49),"",'Paste Full'!AW49)</f>
        <v>2</v>
      </c>
      <c r="AL49" s="5">
        <f>IF(ISBLANK('Paste Full'!AX49),"",'Paste Full'!AX49)</f>
        <v>12</v>
      </c>
      <c r="AM49" s="5">
        <f>IF(ISBLANK('Paste Full'!AY49),"",'Paste Full'!AY49)</f>
        <v>6</v>
      </c>
      <c r="AN49" s="5">
        <f>IF(ISBLANK('Paste Full'!AZ49),"",'Paste Full'!AZ49)</f>
        <v>8</v>
      </c>
      <c r="AO49" s="5">
        <f>IF(ISBLANK('Paste Full'!BA49),"",'Paste Full'!BA49)</f>
        <v>6</v>
      </c>
      <c r="AP49" s="5">
        <f>IF(ISBLANK('Paste Full'!BB49),"",'Paste Full'!BB49)</f>
        <v>4</v>
      </c>
      <c r="AQ49" s="5">
        <f>IF(ISBLANK('Paste Full'!BC49),"",'Paste Full'!BC49)</f>
        <v>5</v>
      </c>
      <c r="AR49" s="5">
        <f>IF(ISBLANK('Paste Full'!BD49),"",'Paste Full'!BD49)</f>
        <v>4</v>
      </c>
      <c r="AS49" s="5">
        <f>IF(ISBLANK('Paste Full'!BE49),"",'Paste Full'!BE49)</f>
        <v>9</v>
      </c>
      <c r="AT49" s="5">
        <f>IF(ISBLANK('Paste Full'!BF49),"",'Paste Full'!BF49)</f>
        <v>6</v>
      </c>
      <c r="AU49" s="5">
        <f>IF(ISBLANK('Paste Full'!BG49),"",'Paste Full'!BG49)</f>
        <v>7</v>
      </c>
      <c r="AV49" s="5">
        <f>IF(ISBLANK('Paste Full'!BH49),"",'Paste Full'!BH49)</f>
        <v>2</v>
      </c>
      <c r="AW49" s="5">
        <f>IF(ISBLANK('Paste Full'!BI49),"",'Paste Full'!BI49)</f>
        <v>10</v>
      </c>
      <c r="AX49" s="5">
        <f>IF(ISBLANK('Paste Full'!BJ49),"",'Paste Full'!BJ49)</f>
        <v>5</v>
      </c>
      <c r="AY49" s="5">
        <f>IF(ISBLANK('Paste Full'!BK49),"",'Paste Full'!BK49)</f>
        <v>14</v>
      </c>
      <c r="AZ49" s="6">
        <f>IF(ISBLANK('Paste Full'!BM49),"",'Paste Full'!BM49)</f>
        <v>8</v>
      </c>
      <c r="BA49" s="6">
        <f>IF(ISBLANK('Paste Full'!BN49),"",'Paste Full'!BN49)</f>
        <v>10</v>
      </c>
      <c r="BB49" s="6">
        <f>IF(ISBLANK('Paste Full'!BO49),"",'Paste Full'!BO49)</f>
        <v>6</v>
      </c>
      <c r="BC49" s="6">
        <f>IF(ISBLANK('Paste Full'!BP49),"",'Paste Full'!BP49)</f>
        <v>6</v>
      </c>
      <c r="BD49" s="6">
        <f>IF(ISBLANK('Paste Full'!BR49),"",'Paste Full'!BR49)</f>
        <v>1</v>
      </c>
      <c r="BE49" s="6">
        <f>IF(ISBLANK('Paste Full'!BS49),"",'Paste Full'!BS49)</f>
        <v>4</v>
      </c>
      <c r="BF49" s="6">
        <f>IF(ISBLANK('Paste Full'!BU49),"",'Paste Full'!BU49)</f>
        <v>1</v>
      </c>
      <c r="BG49" s="6">
        <f>IF(ISBLANK('Paste Full'!BV49),"",'Paste Full'!BV49)</f>
        <v>5</v>
      </c>
      <c r="BH49" s="6">
        <f>IF(ISBLANK('Paste Full'!BX49),"",'Paste Full'!BX49)</f>
        <v>4</v>
      </c>
      <c r="BI49" s="6">
        <f>IF(ISBLANK('Paste Full'!BY49),"",'Paste Full'!BY49)</f>
        <v>8</v>
      </c>
      <c r="BJ49" s="13">
        <f>IF(ISBLANK('Paste Full'!BL49),"",'Paste Full'!BL49)</f>
        <v>5</v>
      </c>
      <c r="BK49" s="13">
        <f>IF(ISBLANK('Paste Full'!BQ49),"",'Paste Full'!BQ49)</f>
        <v>10</v>
      </c>
      <c r="BL49" s="13">
        <f>IF(ISBLANK('Paste Full'!BT49),"",'Paste Full'!BT49)</f>
        <v>4</v>
      </c>
      <c r="BM49" s="13">
        <f>IF(ISBLANK('Paste Full'!BW49),"",'Paste Full'!BW49)</f>
        <v>1</v>
      </c>
    </row>
    <row r="50" spans="1:65" x14ac:dyDescent="0.3">
      <c r="A50" t="str">
        <f>IF(ISBLANK('Paste Full'!C50),"",'Paste Full'!C50)</f>
        <v>Scott Aldridge</v>
      </c>
      <c r="B50" t="str">
        <f t="shared" si="1"/>
        <v>AM(R)</v>
      </c>
      <c r="C50" s="2">
        <f>IF(ISBLANK('Paste Full'!H50),"",'Paste Full'!H50)</f>
        <v>16</v>
      </c>
      <c r="D50" s="2">
        <f>IF(ISBLANK('Paste Full'!F50),"",'Paste Full'!F50)</f>
        <v>54</v>
      </c>
      <c r="E50" s="2">
        <f>IF(ISBLANK('Paste Full'!G50),"",'Paste Full'!G50)</f>
        <v>59</v>
      </c>
      <c r="F50" s="22" t="str">
        <f>IF(ISBLANK('Paste Full'!E50),"",'Paste Full'!E50)</f>
        <v>England</v>
      </c>
      <c r="G50" t="str">
        <f>IF(ISBLANK('Paste Full'!CI50),"",'Paste Full'!CI50)</f>
        <v>Brixham</v>
      </c>
      <c r="H50" s="22">
        <f>IF(ISBLANK('Paste Full'!J50),"",'Paste Full'!J50)</f>
        <v>2585</v>
      </c>
      <c r="I50" s="22" t="str">
        <f>IF(ISBLANK('Paste Full'!D50),"",'Paste Full'!D50)</f>
        <v>M/AM RL</v>
      </c>
      <c r="J50" s="14">
        <f>AVERAGE(SUMPRODUCT($S50:$BM50,AttWeights!$C$10:$AW$10)/SUM(AttWeights!$C$10:$AW$10),SUMPRODUCT($S50:$BM50,AttWeights!$C$17:$AW$17)/SUM(AttWeights!$C$17:$AW$17))*10</f>
        <v>61.692307692307686</v>
      </c>
      <c r="K50" s="14">
        <f>AVERAGE(SUMPRODUCT($S50:$BM50,AttWeights!$C$7:$AW$7)/SUM(AttWeights!$C$7:$AW$7),SUMPRODUCT($S50:$BM50,AttWeights!$C$15:$AW$15)/SUM(AttWeights!$C$15:$AW$15))*10</f>
        <v>66.213523759146611</v>
      </c>
      <c r="L50" s="14">
        <f>AVERAGE(SUMPRODUCT($S50:$BM50,AttWeights!$C$8:$AW$8)/SUM(AttWeights!$C$8:$AW$8),SUMPRODUCT($S50:$BM50,AttWeights!$C$16:$AW$16)/SUM(AttWeights!$C$16:$AW$16))*10</f>
        <v>65.351076198848659</v>
      </c>
      <c r="M50" s="14">
        <f>AVERAGE(SUMPRODUCT($S50:$BM50,AttWeights!$C$9:$AW$9)/SUM(AttWeights!$C$9:$AW$9),SUMPRODUCT($S50:$BM50,AttWeights!$C$15:$AW$15)/SUM(AttWeights!$C$15:$AW$15))*10</f>
        <v>67.81864883202482</v>
      </c>
      <c r="N50" s="14">
        <f>AVERAGE(SUMPRODUCT($S50:$BM50,AttWeights!$C$6:$AW$6)/SUM(AttWeights!$C$6:$AW$6),SUMPRODUCT($S50:$BM50,AttWeights!$C$14:$AW$14)/SUM(AttWeights!$C$14:$AW$14))*10</f>
        <v>60.990952175786298</v>
      </c>
      <c r="O50" s="14">
        <f>AVERAGE(SUMPRODUCT($S50:$BM50,AttWeights!$C$5:$AW$5)/SUM(AttWeights!$C$5:$AW$5),SUMPRODUCT($S50:$BM50,AttWeights!$C$14:$AW$14)/SUM(AttWeights!$C$14:$AW$14))*10</f>
        <v>59.676344597810562</v>
      </c>
      <c r="P50" s="14">
        <f>AVERAGE(SUMPRODUCT($S50:$BM50,AttWeights!$C$4:$AW$4)/SUM(AttWeights!$C$4:$AW$4),SUMPRODUCT($S50:$BM50,AttWeights!$C$13:$AW$13)/SUM(AttWeights!$C$13:$AW$13))*10</f>
        <v>57.695741758241759</v>
      </c>
      <c r="Q50" s="14">
        <f>AVERAGE(SUMPRODUCT($S50:$BM50,AttWeights!$C$3:$AW$3)/SUM(AttWeights!$C$3:$AW$3),SUMPRODUCT($S50:$BM50,AttWeights!$C$12:$AW$12)/SUM(AttWeights!$C$12:$AW$12))*10</f>
        <v>61.534418022528158</v>
      </c>
      <c r="R50" s="14">
        <f>AVERAGE(SUMPRODUCT($S50:$BM50,AttWeights!$C$2:$AW$2)/SUM(AttWeights!$C$2:$AW$2),SUMPRODUCT($S50:$BM50,AttWeights!$C$11:$AW$11)/SUM(AttWeights!$C$11:$AW$11))*10</f>
        <v>40.865215865215859</v>
      </c>
      <c r="S50" s="3">
        <f>IF(ISBLANK('Paste Full'!AC50),"",'Paste Full'!AC50)</f>
        <v>15</v>
      </c>
      <c r="T50" s="3">
        <f>IF(ISBLANK('Paste Full'!AD50),"",'Paste Full'!AD50)</f>
        <v>12</v>
      </c>
      <c r="U50" s="3">
        <f>IF(ISBLANK('Paste Full'!AE50),"",'Paste Full'!AE50)</f>
        <v>6</v>
      </c>
      <c r="V50" s="3">
        <f>IF(ISBLANK('Paste Full'!AF50),"",'Paste Full'!AF50)</f>
        <v>5</v>
      </c>
      <c r="W50" s="3">
        <f>IF(ISBLANK('Paste Full'!AH50),"",'Paste Full'!AH50)</f>
        <v>16</v>
      </c>
      <c r="X50" s="3">
        <f>IF(ISBLANK('Paste Full'!AI50),"",'Paste Full'!AI50)</f>
        <v>13</v>
      </c>
      <c r="Y50" s="3">
        <f>IF(ISBLANK('Paste Full'!AK50),"",'Paste Full'!AK50)</f>
        <v>9</v>
      </c>
      <c r="Z50" s="3">
        <f>IF(ISBLANK('Paste Full'!AL50),"",'Paste Full'!AL50)</f>
        <v>3</v>
      </c>
      <c r="AA50" s="4">
        <f>IF(ISBLANK('Paste Full'!AM50),"",'Paste Full'!AM50)</f>
        <v>3</v>
      </c>
      <c r="AB50" s="4">
        <f>IF(ISBLANK('Paste Full'!AN50),"",'Paste Full'!AN50)</f>
        <v>3</v>
      </c>
      <c r="AC50" s="4">
        <f>IF(ISBLANK('Paste Full'!AO50),"",'Paste Full'!AO50)</f>
        <v>1</v>
      </c>
      <c r="AD50" s="4">
        <f>IF(ISBLANK('Paste Full'!AP50),"",'Paste Full'!AP50)</f>
        <v>3</v>
      </c>
      <c r="AE50" s="4">
        <f>IF(ISBLANK('Paste Full'!AQ50),"",'Paste Full'!AQ50)</f>
        <v>2</v>
      </c>
      <c r="AF50" s="4">
        <f>IF(ISBLANK('Paste Full'!AR50),"",'Paste Full'!AR50)</f>
        <v>3</v>
      </c>
      <c r="AG50" s="4">
        <f>IF(ISBLANK('Paste Full'!AS50),"",'Paste Full'!AS50)</f>
        <v>1</v>
      </c>
      <c r="AH50" s="4">
        <f>IF(ISBLANK('Paste Full'!AV50),"",'Paste Full'!AV50)</f>
        <v>3</v>
      </c>
      <c r="AI50" s="4">
        <f>IF(ISBLANK('Paste Full'!AT50),"",'Paste Full'!AT50)</f>
        <v>3</v>
      </c>
      <c r="AJ50" s="4">
        <f>IF(ISBLANK('Paste Full'!AU50),"",'Paste Full'!AU50)</f>
        <v>1</v>
      </c>
      <c r="AK50" s="4">
        <f>IF(ISBLANK('Paste Full'!AW50),"",'Paste Full'!AW50)</f>
        <v>1</v>
      </c>
      <c r="AL50" s="5">
        <f>IF(ISBLANK('Paste Full'!AX50),"",'Paste Full'!AX50)</f>
        <v>8</v>
      </c>
      <c r="AM50" s="5">
        <f>IF(ISBLANK('Paste Full'!AY50),"",'Paste Full'!AY50)</f>
        <v>4</v>
      </c>
      <c r="AN50" s="5">
        <f>IF(ISBLANK('Paste Full'!AZ50),"",'Paste Full'!AZ50)</f>
        <v>4</v>
      </c>
      <c r="AO50" s="5">
        <f>IF(ISBLANK('Paste Full'!BA50),"",'Paste Full'!BA50)</f>
        <v>5</v>
      </c>
      <c r="AP50" s="5">
        <f>IF(ISBLANK('Paste Full'!BB50),"",'Paste Full'!BB50)</f>
        <v>4</v>
      </c>
      <c r="AQ50" s="5">
        <f>IF(ISBLANK('Paste Full'!BC50),"",'Paste Full'!BC50)</f>
        <v>4</v>
      </c>
      <c r="AR50" s="5">
        <f>IF(ISBLANK('Paste Full'!BD50),"",'Paste Full'!BD50)</f>
        <v>4</v>
      </c>
      <c r="AS50" s="5">
        <f>IF(ISBLANK('Paste Full'!BE50),"",'Paste Full'!BE50)</f>
        <v>6</v>
      </c>
      <c r="AT50" s="5">
        <f>IF(ISBLANK('Paste Full'!BF50),"",'Paste Full'!BF50)</f>
        <v>9</v>
      </c>
      <c r="AU50" s="5">
        <f>IF(ISBLANK('Paste Full'!BG50),"",'Paste Full'!BG50)</f>
        <v>6</v>
      </c>
      <c r="AV50" s="5">
        <f>IF(ISBLANK('Paste Full'!BH50),"",'Paste Full'!BH50)</f>
        <v>3</v>
      </c>
      <c r="AW50" s="5">
        <f>IF(ISBLANK('Paste Full'!BI50),"",'Paste Full'!BI50)</f>
        <v>6</v>
      </c>
      <c r="AX50" s="5">
        <f>IF(ISBLANK('Paste Full'!BJ50),"",'Paste Full'!BJ50)</f>
        <v>6</v>
      </c>
      <c r="AY50" s="5">
        <f>IF(ISBLANK('Paste Full'!BK50),"",'Paste Full'!BK50)</f>
        <v>5</v>
      </c>
      <c r="AZ50" s="6">
        <f>IF(ISBLANK('Paste Full'!BM50),"",'Paste Full'!BM50)</f>
        <v>8</v>
      </c>
      <c r="BA50" s="6">
        <f>IF(ISBLANK('Paste Full'!BN50),"",'Paste Full'!BN50)</f>
        <v>8</v>
      </c>
      <c r="BB50" s="6">
        <f>IF(ISBLANK('Paste Full'!BO50),"",'Paste Full'!BO50)</f>
        <v>5</v>
      </c>
      <c r="BC50" s="6">
        <f>IF(ISBLANK('Paste Full'!BP50),"",'Paste Full'!BP50)</f>
        <v>7</v>
      </c>
      <c r="BD50" s="6">
        <f>IF(ISBLANK('Paste Full'!BR50),"",'Paste Full'!BR50)</f>
        <v>5</v>
      </c>
      <c r="BE50" s="6">
        <f>IF(ISBLANK('Paste Full'!BS50),"",'Paste Full'!BS50)</f>
        <v>6</v>
      </c>
      <c r="BF50" s="6">
        <f>IF(ISBLANK('Paste Full'!BU50),"",'Paste Full'!BU50)</f>
        <v>3</v>
      </c>
      <c r="BG50" s="6">
        <f>IF(ISBLANK('Paste Full'!BV50),"",'Paste Full'!BV50)</f>
        <v>6</v>
      </c>
      <c r="BH50" s="6">
        <f>IF(ISBLANK('Paste Full'!BX50),"",'Paste Full'!BX50)</f>
        <v>4</v>
      </c>
      <c r="BI50" s="6">
        <f>IF(ISBLANK('Paste Full'!BY50),"",'Paste Full'!BY50)</f>
        <v>10</v>
      </c>
      <c r="BJ50" s="13">
        <f>IF(ISBLANK('Paste Full'!BL50),"",'Paste Full'!BL50)</f>
        <v>4</v>
      </c>
      <c r="BK50" s="13">
        <f>IF(ISBLANK('Paste Full'!BQ50),"",'Paste Full'!BQ50)</f>
        <v>4</v>
      </c>
      <c r="BL50" s="13">
        <f>IF(ISBLANK('Paste Full'!BT50),"",'Paste Full'!BT50)</f>
        <v>3</v>
      </c>
      <c r="BM50" s="13">
        <f>IF(ISBLANK('Paste Full'!BW50),"",'Paste Full'!BW50)</f>
        <v>1</v>
      </c>
    </row>
    <row r="51" spans="1:65" x14ac:dyDescent="0.3">
      <c r="A51" t="str">
        <f>IF(ISBLANK('Paste Full'!C51),"",'Paste Full'!C51)</f>
        <v/>
      </c>
      <c r="B51" t="str">
        <f t="shared" si="1"/>
        <v>Striker</v>
      </c>
      <c r="C51" s="2" t="str">
        <f>IF(ISBLANK('Paste Full'!H51),"",'Paste Full'!H51)</f>
        <v/>
      </c>
      <c r="D51" s="2" t="str">
        <f>IF(ISBLANK('Paste Full'!F51),"",'Paste Full'!F51)</f>
        <v/>
      </c>
      <c r="E51" s="2" t="str">
        <f>IF(ISBLANK('Paste Full'!G51),"",'Paste Full'!G51)</f>
        <v/>
      </c>
      <c r="F51" s="22" t="str">
        <f>IF(ISBLANK('Paste Full'!E51),"",'Paste Full'!E51)</f>
        <v/>
      </c>
      <c r="G51" t="str">
        <f>IF(ISBLANK('Paste Full'!CI51),"",'Paste Full'!CI51)</f>
        <v/>
      </c>
      <c r="H51" s="22" t="str">
        <f>IF(ISBLANK('Paste Full'!J51),"",'Paste Full'!J51)</f>
        <v/>
      </c>
      <c r="I51" s="22" t="str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>0</v>
      </c>
      <c r="K51" s="14">
        <f>AVERAGE(SUMPRODUCT($S51:$BM51,AttWeights!$C$7:$AW$7)/SUM(AttWeights!$C$7:$AW$7),SUMPRODUCT($S51:$BM51,AttWeights!$C$15:$AW$15)/SUM(AttWeights!$C$15:$AW$15))*10</f>
        <v>0</v>
      </c>
      <c r="L51" s="14">
        <f>AVERAGE(SUMPRODUCT($S51:$BM51,AttWeights!$C$8:$AW$8)/SUM(AttWeights!$C$8:$AW$8),SUMPRODUCT($S51:$BM51,AttWeights!$C$16:$AW$16)/SUM(AttWeights!$C$16:$AW$16))*10</f>
        <v>0</v>
      </c>
      <c r="M51" s="14">
        <f>AVERAGE(SUMPRODUCT($S51:$BM51,AttWeights!$C$9:$AW$9)/SUM(AttWeights!$C$9:$AW$9),SUMPRODUCT($S51:$BM51,AttWeights!$C$15:$AW$15)/SUM(AttWeights!$C$15:$AW$15))*10</f>
        <v>0</v>
      </c>
      <c r="N51" s="14">
        <f>AVERAGE(SUMPRODUCT($S51:$BM51,AttWeights!$C$6:$AW$6)/SUM(AttWeights!$C$6:$AW$6),SUMPRODUCT($S51:$BM51,AttWeights!$C$14:$AW$14)/SUM(AttWeights!$C$14:$AW$14))*10</f>
        <v>0</v>
      </c>
      <c r="O51" s="14">
        <f>AVERAGE(SUMPRODUCT($S51:$BM51,AttWeights!$C$5:$AW$5)/SUM(AttWeights!$C$5:$AW$5),SUMPRODUCT($S51:$BM51,AttWeights!$C$14:$AW$14)/SUM(AttWeights!$C$14:$AW$14))*10</f>
        <v>0</v>
      </c>
      <c r="P51" s="14">
        <f>AVERAGE(SUMPRODUCT($S51:$BM51,AttWeights!$C$4:$AW$4)/SUM(AttWeights!$C$4:$AW$4),SUMPRODUCT($S51:$BM51,AttWeights!$C$13:$AW$13)/SUM(AttWeights!$C$13:$AW$13))*10</f>
        <v>0</v>
      </c>
      <c r="Q51" s="14">
        <f>AVERAGE(SUMPRODUCT($S51:$BM51,AttWeights!$C$3:$AW$3)/SUM(AttWeights!$C$3:$AW$3),SUMPRODUCT($S51:$BM51,AttWeights!$C$12:$AW$12)/SUM(AttWeights!$C$12:$AW$12))*10</f>
        <v>0</v>
      </c>
      <c r="R51" s="14">
        <f>AVERAGE(SUMPRODUCT($S51:$BM51,AttWeights!$C$2:$AW$2)/SUM(AttWeights!$C$2:$AW$2),SUMPRODUCT($S51:$BM51,AttWeights!$C$11:$AW$11)/SUM(AttWeights!$C$11:$AW$11))*10</f>
        <v>0</v>
      </c>
      <c r="S51" s="3" t="str">
        <f>IF(ISBLANK('Paste Full'!AC51),"",'Paste Full'!AC51)</f>
        <v/>
      </c>
      <c r="T51" s="3" t="str">
        <f>IF(ISBLANK('Paste Full'!AD51),"",'Paste Full'!AD51)</f>
        <v/>
      </c>
      <c r="U51" s="3" t="str">
        <f>IF(ISBLANK('Paste Full'!AE51),"",'Paste Full'!AE51)</f>
        <v/>
      </c>
      <c r="V51" s="3" t="str">
        <f>IF(ISBLANK('Paste Full'!AF51),"",'Paste Full'!AF51)</f>
        <v/>
      </c>
      <c r="W51" s="3" t="str">
        <f>IF(ISBLANK('Paste Full'!AH51),"",'Paste Full'!AH51)</f>
        <v/>
      </c>
      <c r="X51" s="3" t="str">
        <f>IF(ISBLANK('Paste Full'!AI51),"",'Paste Full'!AI51)</f>
        <v/>
      </c>
      <c r="Y51" s="3" t="str">
        <f>IF(ISBLANK('Paste Full'!AK51),"",'Paste Full'!AK51)</f>
        <v/>
      </c>
      <c r="Z51" s="3" t="str">
        <f>IF(ISBLANK('Paste Full'!AL51),"",'Paste Full'!AL51)</f>
        <v/>
      </c>
      <c r="AA51" s="4" t="str">
        <f>IF(ISBLANK('Paste Full'!AM51),"",'Paste Full'!AM51)</f>
        <v/>
      </c>
      <c r="AB51" s="4" t="str">
        <f>IF(ISBLANK('Paste Full'!AN51),"",'Paste Full'!AN51)</f>
        <v/>
      </c>
      <c r="AC51" s="4" t="str">
        <f>IF(ISBLANK('Paste Full'!AO51),"",'Paste Full'!AO51)</f>
        <v/>
      </c>
      <c r="AD51" s="4" t="str">
        <f>IF(ISBLANK('Paste Full'!AP51),"",'Paste Full'!AP51)</f>
        <v/>
      </c>
      <c r="AE51" s="4" t="str">
        <f>IF(ISBLANK('Paste Full'!AQ51),"",'Paste Full'!AQ51)</f>
        <v/>
      </c>
      <c r="AF51" s="4" t="str">
        <f>IF(ISBLANK('Paste Full'!AR51),"",'Paste Full'!AR51)</f>
        <v/>
      </c>
      <c r="AG51" s="4" t="str">
        <f>IF(ISBLANK('Paste Full'!AS51),"",'Paste Full'!AS51)</f>
        <v/>
      </c>
      <c r="AH51" s="4" t="str">
        <f>IF(ISBLANK('Paste Full'!AV51),"",'Paste Full'!AV51)</f>
        <v/>
      </c>
      <c r="AI51" s="4" t="str">
        <f>IF(ISBLANK('Paste Full'!AT51),"",'Paste Full'!AT51)</f>
        <v/>
      </c>
      <c r="AJ51" s="4" t="str">
        <f>IF(ISBLANK('Paste Full'!AU51),"",'Paste Full'!AU51)</f>
        <v/>
      </c>
      <c r="AK51" s="4" t="str">
        <f>IF(ISBLANK('Paste Full'!AW51),"",'Paste Full'!AW51)</f>
        <v/>
      </c>
      <c r="AL51" s="5" t="str">
        <f>IF(ISBLANK('Paste Full'!AX51),"",'Paste Full'!AX51)</f>
        <v/>
      </c>
      <c r="AM51" s="5" t="str">
        <f>IF(ISBLANK('Paste Full'!AY51),"",'Paste Full'!AY51)</f>
        <v/>
      </c>
      <c r="AN51" s="5" t="str">
        <f>IF(ISBLANK('Paste Full'!AZ51),"",'Paste Full'!AZ51)</f>
        <v/>
      </c>
      <c r="AO51" s="5" t="str">
        <f>IF(ISBLANK('Paste Full'!BA51),"",'Paste Full'!BA51)</f>
        <v/>
      </c>
      <c r="AP51" s="5" t="str">
        <f>IF(ISBLANK('Paste Full'!BB51),"",'Paste Full'!BB51)</f>
        <v/>
      </c>
      <c r="AQ51" s="5" t="str">
        <f>IF(ISBLANK('Paste Full'!BC51),"",'Paste Full'!BC51)</f>
        <v/>
      </c>
      <c r="AR51" s="5" t="str">
        <f>IF(ISBLANK('Paste Full'!BD51),"",'Paste Full'!BD51)</f>
        <v/>
      </c>
      <c r="AS51" s="5" t="str">
        <f>IF(ISBLANK('Paste Full'!BE51),"",'Paste Full'!BE51)</f>
        <v/>
      </c>
      <c r="AT51" s="5" t="str">
        <f>IF(ISBLANK('Paste Full'!BF51),"",'Paste Full'!BF51)</f>
        <v/>
      </c>
      <c r="AU51" s="5" t="str">
        <f>IF(ISBLANK('Paste Full'!BG51),"",'Paste Full'!BG51)</f>
        <v/>
      </c>
      <c r="AV51" s="5" t="str">
        <f>IF(ISBLANK('Paste Full'!BH51),"",'Paste Full'!BH51)</f>
        <v/>
      </c>
      <c r="AW51" s="5" t="str">
        <f>IF(ISBLANK('Paste Full'!BI51),"",'Paste Full'!BI51)</f>
        <v/>
      </c>
      <c r="AX51" s="5" t="str">
        <f>IF(ISBLANK('Paste Full'!BJ51),"",'Paste Full'!BJ51)</f>
        <v/>
      </c>
      <c r="AY51" s="5" t="str">
        <f>IF(ISBLANK('Paste Full'!BK51),"",'Paste Full'!BK51)</f>
        <v/>
      </c>
      <c r="AZ51" s="6" t="str">
        <f>IF(ISBLANK('Paste Full'!BM51),"",'Paste Full'!BM51)</f>
        <v/>
      </c>
      <c r="BA51" s="6" t="str">
        <f>IF(ISBLANK('Paste Full'!BN51),"",'Paste Full'!BN51)</f>
        <v/>
      </c>
      <c r="BB51" s="6" t="str">
        <f>IF(ISBLANK('Paste Full'!BO51),"",'Paste Full'!BO51)</f>
        <v/>
      </c>
      <c r="BC51" s="6" t="str">
        <f>IF(ISBLANK('Paste Full'!BP51),"",'Paste Full'!BP51)</f>
        <v/>
      </c>
      <c r="BD51" s="6" t="str">
        <f>IF(ISBLANK('Paste Full'!BR51),"",'Paste Full'!BR51)</f>
        <v/>
      </c>
      <c r="BE51" s="6" t="str">
        <f>IF(ISBLANK('Paste Full'!BS51),"",'Paste Full'!BS51)</f>
        <v/>
      </c>
      <c r="BF51" s="6" t="str">
        <f>IF(ISBLANK('Paste Full'!BU51),"",'Paste Full'!BU51)</f>
        <v/>
      </c>
      <c r="BG51" s="6" t="str">
        <f>IF(ISBLANK('Paste Full'!BV51),"",'Paste Full'!BV51)</f>
        <v/>
      </c>
      <c r="BH51" s="6" t="str">
        <f>IF(ISBLANK('Paste Full'!BX51),"",'Paste Full'!BX51)</f>
        <v/>
      </c>
      <c r="BI51" s="6" t="str">
        <f>IF(ISBLANK('Paste Full'!BY51),"",'Paste Full'!BY51)</f>
        <v/>
      </c>
      <c r="BJ51" s="13" t="str">
        <f>IF(ISBLANK('Paste Full'!BL51),"",'Paste Full'!BL51)</f>
        <v/>
      </c>
      <c r="BK51" s="13" t="str">
        <f>IF(ISBLANK('Paste Full'!BQ51),"",'Paste Full'!BQ51)</f>
        <v/>
      </c>
      <c r="BL51" s="13" t="str">
        <f>IF(ISBLANK('Paste Full'!BT51),"",'Paste Full'!BT51)</f>
        <v/>
      </c>
      <c r="BM51" s="13" t="str">
        <f>IF(ISBLANK('Paste Full'!BW51),"",'Paste Full'!BW51)</f>
        <v/>
      </c>
    </row>
    <row r="52" spans="1:65" x14ac:dyDescent="0.3">
      <c r="A52" t="str">
        <f>IF(ISBLANK('Paste Full'!C52),"",'Paste Full'!C52)</f>
        <v/>
      </c>
      <c r="B52" t="str">
        <f t="shared" si="1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1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1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1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74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 customWidth="1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20" t="s">
        <v>240</v>
      </c>
      <c r="S1" s="21" t="s">
        <v>241</v>
      </c>
    </row>
    <row r="2" spans="1:31" x14ac:dyDescent="0.3">
      <c r="A2" t="str">
        <f>IF(ISBLANK(Display!A38),"",Display!A38)</f>
        <v>Kieran Edworthy</v>
      </c>
      <c r="B2" s="2" t="str">
        <f>IF(ISBLANK(Display!B38),"",Display!B38)</f>
        <v>Striker</v>
      </c>
      <c r="C2" s="2">
        <f>IF(ISBLANK(Display!C38),"",Display!C38)</f>
        <v>21</v>
      </c>
      <c r="D2" s="2">
        <f>IF(ISBLANK(Display!D38),"",Display!D38)</f>
        <v>45</v>
      </c>
      <c r="E2" s="2">
        <f>IF(ISBLANK(Display!E38),"",Display!E38)</f>
        <v>85</v>
      </c>
      <c r="F2" s="14">
        <f>IF(ISBLANK(Display!J38),"",Display!J38)</f>
        <v>74.063601203266018</v>
      </c>
      <c r="G2" s="14">
        <f>IF(ISBLANK(Display!K38),"",Display!K38)</f>
        <v>69.01437009609451</v>
      </c>
      <c r="H2" s="14">
        <f>IF(ISBLANK(Display!L38),"",Display!L38)</f>
        <v>68.018886651731265</v>
      </c>
      <c r="I2" s="14">
        <f>IF(ISBLANK(Display!M38),"",Display!M38)</f>
        <v>68.137055345546173</v>
      </c>
      <c r="J2" s="14">
        <f>IF(ISBLANK(Display!N38),"",Display!N38)</f>
        <v>62.602191943127963</v>
      </c>
      <c r="K2" s="14">
        <f>IF(ISBLANK(Display!O38),"",Display!O38)</f>
        <v>60.682264397905769</v>
      </c>
      <c r="L2" s="14">
        <f>IF(ISBLANK(Display!P38),"",Display!P38)</f>
        <v>65.460164835164832</v>
      </c>
      <c r="M2" s="14">
        <f>IF(ISBLANK(Display!Q38),"",Display!Q38)</f>
        <v>60.04599499374217</v>
      </c>
      <c r="N2" s="14">
        <f>IF(ISBLANK(Display!R38),"",Display!R38)</f>
        <v>44.64548964548964</v>
      </c>
      <c r="O2" s="2" t="s">
        <v>238</v>
      </c>
      <c r="R2" s="19" t="s">
        <v>19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Gabe Reivers</v>
      </c>
      <c r="B3" s="2" t="str">
        <f>IF(ISBLANK(Display!B31),"",Display!B31)</f>
        <v>AM(C)</v>
      </c>
      <c r="C3" s="2">
        <f>IF(ISBLANK(Display!C31),"",Display!C31)</f>
        <v>20</v>
      </c>
      <c r="D3" s="2">
        <f>IF(ISBLANK(Display!D31),"",Display!D31)</f>
        <v>52</v>
      </c>
      <c r="E3" s="2">
        <f>IF(ISBLANK(Display!E31),"",Display!E31)</f>
        <v>81</v>
      </c>
      <c r="F3" s="14">
        <f>IF(ISBLANK(Display!J31),"",Display!J31)</f>
        <v>69.41426729694885</v>
      </c>
      <c r="G3" s="14">
        <f>IF(ISBLANK(Display!K31),"",Display!K31)</f>
        <v>71.244820594199069</v>
      </c>
      <c r="H3" s="14">
        <f>IF(ISBLANK(Display!L31),"",Display!L31)</f>
        <v>72.439384056943538</v>
      </c>
      <c r="I3" s="14">
        <f>IF(ISBLANK(Display!M31),"",Display!M31)</f>
        <v>70.058641077832704</v>
      </c>
      <c r="J3" s="14">
        <f>IF(ISBLANK(Display!N31),"",Display!N31)</f>
        <v>69.002450452391201</v>
      </c>
      <c r="K3" s="14">
        <f>IF(ISBLANK(Display!O31),"",Display!O31)</f>
        <v>65.372887910518799</v>
      </c>
      <c r="L3" s="14">
        <f>IF(ISBLANK(Display!P31),"",Display!P31)</f>
        <v>65.944368131868146</v>
      </c>
      <c r="M3" s="14">
        <f>IF(ISBLANK(Display!Q31),"",Display!Q31)</f>
        <v>64.377033792240297</v>
      </c>
      <c r="N3" s="14">
        <f>IF(ISBLANK(Display!R31),"",Display!R31)</f>
        <v>42.194190944190943</v>
      </c>
      <c r="R3" s="18" t="s">
        <v>18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Maxwell Redman</v>
      </c>
      <c r="B4" s="2" t="str">
        <f>IF(ISBLANK(Display!B40),"",Display!B40)</f>
        <v>D(C)</v>
      </c>
      <c r="C4" s="2">
        <f>IF(ISBLANK(Display!C40),"",Display!C40)</f>
        <v>17</v>
      </c>
      <c r="D4" s="2">
        <f>IF(ISBLANK(Display!D40),"",Display!D40)</f>
        <v>61</v>
      </c>
      <c r="E4" s="2">
        <f>IF(ISBLANK(Display!E40),"",Display!E40)</f>
        <v>78</v>
      </c>
      <c r="F4" s="14">
        <f>IF(ISBLANK(Display!J40),"",Display!J40)</f>
        <v>70.790860908179354</v>
      </c>
      <c r="G4" s="14">
        <f>IF(ISBLANK(Display!K40),"",Display!K40)</f>
        <v>68.278380205119163</v>
      </c>
      <c r="H4" s="14">
        <f>IF(ISBLANK(Display!L40),"",Display!L40)</f>
        <v>68.559112951252018</v>
      </c>
      <c r="I4" s="14">
        <f>IF(ISBLANK(Display!M40),"",Display!M40)</f>
        <v>69.661400277858547</v>
      </c>
      <c r="J4" s="14">
        <f>IF(ISBLANK(Display!N40),"",Display!N40)</f>
        <v>74.058056872037923</v>
      </c>
      <c r="K4" s="14">
        <f>IF(ISBLANK(Display!O40),"",Display!O40)</f>
        <v>76.420157068062821</v>
      </c>
      <c r="L4" s="14">
        <f>IF(ISBLANK(Display!P40),"",Display!P40)</f>
        <v>84.532967032967036</v>
      </c>
      <c r="M4" s="14">
        <f>IF(ISBLANK(Display!Q40),"",Display!Q40)</f>
        <v>79.282227784730907</v>
      </c>
      <c r="N4" s="14">
        <f>IF(ISBLANK(Display!R40),"",Display!R40)</f>
        <v>55.845910845910836</v>
      </c>
      <c r="R4" s="18" t="s">
        <v>17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Scot Little</v>
      </c>
      <c r="B5" s="2" t="str">
        <f>IF(ISBLANK(Display!B23),"",Display!B23)</f>
        <v>AM(R)</v>
      </c>
      <c r="C5" s="2">
        <f>IF(ISBLANK(Display!C23),"",Display!C23)</f>
        <v>17</v>
      </c>
      <c r="D5" s="2">
        <f>IF(ISBLANK(Display!D23),"",Display!D23)</f>
        <v>81</v>
      </c>
      <c r="E5" s="2">
        <f>IF(ISBLANK(Display!E23),"",Display!E23)</f>
        <v>163</v>
      </c>
      <c r="F5" s="14">
        <f>IF(ISBLANK(Display!J23),"",Display!J23)</f>
        <v>90.326887265434749</v>
      </c>
      <c r="G5" s="14">
        <f>IF(ISBLANK(Display!K23),"",Display!K23)</f>
        <v>93.37138910928914</v>
      </c>
      <c r="H5" s="14">
        <f>IF(ISBLANK(Display!L23),"",Display!L23)</f>
        <v>92.911124975186468</v>
      </c>
      <c r="I5" s="14">
        <f>IF(ISBLANK(Display!M23),"",Display!M23)</f>
        <v>94.052696197214942</v>
      </c>
      <c r="J5" s="14">
        <f>IF(ISBLANK(Display!N23),"",Display!N23)</f>
        <v>85.152143472641086</v>
      </c>
      <c r="K5" s="14">
        <f>IF(ISBLANK(Display!O23),"",Display!O23)</f>
        <v>81.34727510709186</v>
      </c>
      <c r="L5" s="14">
        <f>IF(ISBLANK(Display!P23),"",Display!P23)</f>
        <v>72.733516483516482</v>
      </c>
      <c r="M5" s="14">
        <f>IF(ISBLANK(Display!Q23),"",Display!Q23)</f>
        <v>80.479974968710891</v>
      </c>
      <c r="N5" s="14">
        <f>IF(ISBLANK(Display!R23),"",Display!R23)</f>
        <v>51.134169884169879</v>
      </c>
      <c r="O5" s="2" t="s">
        <v>12</v>
      </c>
      <c r="R5" s="18" t="s">
        <v>17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Freddie Hammond</v>
      </c>
      <c r="B6" s="2" t="str">
        <f>IF(ISBLANK(Display!B30),"",Display!B30)</f>
        <v>D(R/L)</v>
      </c>
      <c r="C6" s="2">
        <f>IF(ISBLANK(Display!C30),"",Display!C30)</f>
        <v>19</v>
      </c>
      <c r="D6" s="2">
        <f>IF(ISBLANK(Display!D30),"",Display!D30)</f>
        <v>42</v>
      </c>
      <c r="E6" s="2">
        <f>IF(ISBLANK(Display!E30),"",Display!E30)</f>
        <v>75</v>
      </c>
      <c r="F6" s="14">
        <f>IF(ISBLANK(Display!J30),"",Display!J30)</f>
        <v>60.382896433175759</v>
      </c>
      <c r="G6" s="14">
        <f>IF(ISBLANK(Display!K30),"",Display!K30)</f>
        <v>62.007552381791996</v>
      </c>
      <c r="H6" s="14">
        <f>IF(ISBLANK(Display!L30),"",Display!L30)</f>
        <v>63.648583501120157</v>
      </c>
      <c r="I6" s="14">
        <f>IF(ISBLANK(Display!M30),"",Display!M30)</f>
        <v>64.677393299085651</v>
      </c>
      <c r="J6" s="14">
        <f>IF(ISBLANK(Display!N30),"",Display!N30)</f>
        <v>65.948809780267112</v>
      </c>
      <c r="K6" s="14">
        <f>IF(ISBLANK(Display!O30),"",Display!O30)</f>
        <v>66.806728938600656</v>
      </c>
      <c r="L6" s="14">
        <f>IF(ISBLANK(Display!P30),"",Display!P30)</f>
        <v>67.884615384615387</v>
      </c>
      <c r="M6" s="14">
        <f>IF(ISBLANK(Display!Q30),"",Display!Q30)</f>
        <v>68.984981226533165</v>
      </c>
      <c r="N6" s="14">
        <f>IF(ISBLANK(Display!R30),"",Display!R30)</f>
        <v>47.490347490347489</v>
      </c>
      <c r="O6" s="2" t="s">
        <v>19</v>
      </c>
      <c r="R6" s="18" t="s">
        <v>16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Joshua Adepoju</v>
      </c>
      <c r="B7" s="2" t="str">
        <f>IF(ISBLANK(Display!B35),"",Display!B35)</f>
        <v>AM(R)</v>
      </c>
      <c r="C7" s="2">
        <f>IF(ISBLANK(Display!C35),"",Display!C35)</f>
        <v>20</v>
      </c>
      <c r="D7" s="2">
        <f>IF(ISBLANK(Display!D35),"",Display!D35)</f>
        <v>53</v>
      </c>
      <c r="E7" s="2">
        <f>IF(ISBLANK(Display!E35),"",Display!E35)</f>
        <v>73</v>
      </c>
      <c r="F7" s="14">
        <f>IF(ISBLANK(Display!J35),"",Display!J35)</f>
        <v>74.60779257985962</v>
      </c>
      <c r="G7" s="14">
        <f>IF(ISBLANK(Display!K35),"",Display!K35)</f>
        <v>75.103881983014489</v>
      </c>
      <c r="H7" s="14">
        <f>IF(ISBLANK(Display!L35),"",Display!L35)</f>
        <v>74.143011088109347</v>
      </c>
      <c r="I7" s="14">
        <f>IF(ISBLANK(Display!M35),"",Display!M35)</f>
        <v>75.441342767600403</v>
      </c>
      <c r="J7" s="14">
        <f>IF(ISBLANK(Display!N35),"",Display!N35)</f>
        <v>72.217255493321844</v>
      </c>
      <c r="K7" s="14">
        <f>IF(ISBLANK(Display!O35),"",Display!O35)</f>
        <v>71.790218943360301</v>
      </c>
      <c r="L7" s="14">
        <f>IF(ISBLANK(Display!P35),"",Display!P35)</f>
        <v>69.42307692307692</v>
      </c>
      <c r="M7" s="14">
        <f>IF(ISBLANK(Display!Q35),"",Display!Q35)</f>
        <v>72.03003754693367</v>
      </c>
      <c r="N7" s="14">
        <f>IF(ISBLANK(Display!R35),"",Display!R35)</f>
        <v>48.546419796419798</v>
      </c>
      <c r="R7" s="18" t="s">
        <v>235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Donell Gordon</v>
      </c>
      <c r="B8" s="2" t="str">
        <f>IF(ISBLANK(Display!B8),"",Display!B8)</f>
        <v>AM(R)</v>
      </c>
      <c r="C8" s="2">
        <f>IF(ISBLANK(Display!C8),"",Display!C8)</f>
        <v>21</v>
      </c>
      <c r="D8" s="2">
        <f>IF(ISBLANK(Display!D8),"",Display!D8)</f>
        <v>44</v>
      </c>
      <c r="E8" s="2">
        <f>IF(ISBLANK(Display!E8),"",Display!E8)</f>
        <v>81</v>
      </c>
      <c r="F8" s="14">
        <f>IF(ISBLANK(Display!J8),"",Display!J8)</f>
        <v>55.752041254834552</v>
      </c>
      <c r="G8" s="14">
        <f>IF(ISBLANK(Display!K8),"",Display!K8)</f>
        <v>65.516912045608166</v>
      </c>
      <c r="H8" s="14">
        <f>IF(ISBLANK(Display!L8),"",Display!L8)</f>
        <v>65.300598360888188</v>
      </c>
      <c r="I8" s="14">
        <f>IF(ISBLANK(Display!M8),"",Display!M8)</f>
        <v>67.326096087363894</v>
      </c>
      <c r="J8" s="14">
        <f>IF(ISBLANK(Display!N8),"",Display!N8)</f>
        <v>57.859624084446359</v>
      </c>
      <c r="K8" s="14">
        <f>IF(ISBLANK(Display!O8),"",Display!O8)</f>
        <v>57.520674678724419</v>
      </c>
      <c r="L8" s="14">
        <f>IF(ISBLANK(Display!P8),"",Display!P8)</f>
        <v>50.570054945054949</v>
      </c>
      <c r="M8" s="14">
        <f>IF(ISBLANK(Display!Q8),"",Display!Q8)</f>
        <v>58.29036295369211</v>
      </c>
      <c r="N8" s="14">
        <f>IF(ISBLANK(Display!R8),"",Display!R8)</f>
        <v>39.746840996841001</v>
      </c>
      <c r="O8" s="2" t="s">
        <v>238</v>
      </c>
      <c r="R8" s="18" t="s">
        <v>236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Max Drayton</v>
      </c>
      <c r="B9" s="2" t="str">
        <f>IF(ISBLANK(Display!B39),"",Display!B39)</f>
        <v>AM(C)</v>
      </c>
      <c r="C9" s="2">
        <f>IF(ISBLANK(Display!C39),"",Display!C39)</f>
        <v>20</v>
      </c>
      <c r="D9" s="2">
        <f>IF(ISBLANK(Display!D39),"",Display!D39)</f>
        <v>30</v>
      </c>
      <c r="E9" s="2">
        <f>IF(ISBLANK(Display!E39),"",Display!E39)</f>
        <v>75</v>
      </c>
      <c r="F9" s="14">
        <f>IF(ISBLANK(Display!J39),"",Display!J39)</f>
        <v>61.871938117748172</v>
      </c>
      <c r="G9" s="14">
        <f>IF(ISBLANK(Display!K39),"",Display!K39)</f>
        <v>66.002233389168069</v>
      </c>
      <c r="H9" s="14">
        <f>IF(ISBLANK(Display!L39),"",Display!L39)</f>
        <v>67.223009953775914</v>
      </c>
      <c r="I9" s="14">
        <f>IF(ISBLANK(Display!M39),"",Display!M39)</f>
        <v>66.682013505217924</v>
      </c>
      <c r="J9" s="14">
        <f>IF(ISBLANK(Display!N39),"",Display!N39)</f>
        <v>65.889029513140883</v>
      </c>
      <c r="K9" s="14">
        <f>IF(ISBLANK(Display!O39),"",Display!O39)</f>
        <v>64.534596620656828</v>
      </c>
      <c r="L9" s="14">
        <f>IF(ISBLANK(Display!P39),"",Display!P39)</f>
        <v>60.88942307692308</v>
      </c>
      <c r="M9" s="14">
        <f>IF(ISBLANK(Display!Q39),"",Display!Q39)</f>
        <v>63.702440550688365</v>
      </c>
      <c r="N9" s="14">
        <f>IF(ISBLANK(Display!R39),"",Display!R39)</f>
        <v>43.531063531063538</v>
      </c>
      <c r="O9" s="2" t="s">
        <v>13</v>
      </c>
      <c r="R9" s="18" t="s">
        <v>14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91</v>
      </c>
      <c r="E10" s="2">
        <f>IF(ISBLANK(Display!E10),"",Display!E10)</f>
        <v>112</v>
      </c>
      <c r="F10" s="14">
        <f>IF(ISBLANK(Display!J10),"",Display!J10)</f>
        <v>91.174760063028231</v>
      </c>
      <c r="G10" s="14">
        <f>IF(ISBLANK(Display!K10),"",Display!K10)</f>
        <v>86.28831290957713</v>
      </c>
      <c r="H10" s="14">
        <f>IF(ISBLANK(Display!L10),"",Display!L10)</f>
        <v>84.287213226327879</v>
      </c>
      <c r="I10" s="14">
        <f>IF(ISBLANK(Display!M10),"",Display!M10)</f>
        <v>84.203579852024163</v>
      </c>
      <c r="J10" s="14">
        <f>IF(ISBLANK(Display!N10),"",Display!N10)</f>
        <v>79.678883024558388</v>
      </c>
      <c r="K10" s="14">
        <f>IF(ISBLANK(Display!O10),"",Display!O10)</f>
        <v>78.097780818657782</v>
      </c>
      <c r="L10" s="14">
        <f>IF(ISBLANK(Display!P10),"",Display!P10)</f>
        <v>82.46222527472527</v>
      </c>
      <c r="M10" s="14">
        <f>IF(ISBLANK(Display!Q10),"",Display!Q10)</f>
        <v>76.766896120150193</v>
      </c>
      <c r="N10" s="14">
        <f>IF(ISBLANK(Display!R10),"",Display!R10)</f>
        <v>53.121709371709365</v>
      </c>
      <c r="R10" s="18" t="s">
        <v>13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Barney Stone</v>
      </c>
      <c r="B11" s="2" t="str">
        <f>IF(ISBLANK(Display!B27),"",Display!B27)</f>
        <v>Striker</v>
      </c>
      <c r="C11" s="2">
        <f>IF(ISBLANK(Display!C27),"",Display!C27)</f>
        <v>19</v>
      </c>
      <c r="D11" s="2">
        <f>IF(ISBLANK(Display!D27),"",Display!D27)</f>
        <v>51</v>
      </c>
      <c r="E11" s="2">
        <f>IF(ISBLANK(Display!E27),"",Display!E27)</f>
        <v>89</v>
      </c>
      <c r="F11" s="14">
        <f>IF(ISBLANK(Display!J27),"",Display!J27)</f>
        <v>71.813493768801038</v>
      </c>
      <c r="G11" s="14">
        <f>IF(ISBLANK(Display!K27),"",Display!K27)</f>
        <v>68.74930206588499</v>
      </c>
      <c r="H11" s="14">
        <f>IF(ISBLANK(Display!L27),"",Display!L27)</f>
        <v>66.264498199245665</v>
      </c>
      <c r="I11" s="14">
        <f>IF(ISBLANK(Display!M27),"",Display!M27)</f>
        <v>67.298956414978505</v>
      </c>
      <c r="J11" s="14">
        <f>IF(ISBLANK(Display!N27),"",Display!N27)</f>
        <v>60.229696251615685</v>
      </c>
      <c r="K11" s="14">
        <f>IF(ISBLANK(Display!O27),"",Display!O27)</f>
        <v>57.748988576868157</v>
      </c>
      <c r="L11" s="14">
        <f>IF(ISBLANK(Display!P27),"",Display!P27)</f>
        <v>60.051510989010985</v>
      </c>
      <c r="M11" s="14">
        <f>IF(ISBLANK(Display!Q27),"",Display!Q27)</f>
        <v>55.772841051314145</v>
      </c>
      <c r="N11" s="14">
        <f>IF(ISBLANK(Display!R27),"",Display!R27)</f>
        <v>39.809143559143564</v>
      </c>
      <c r="O11" s="2" t="s">
        <v>17</v>
      </c>
      <c r="R11" s="18" t="s">
        <v>12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Joseph James</v>
      </c>
      <c r="B12" s="2" t="str">
        <f>IF(ISBLANK(Display!B34),"",Display!B34)</f>
        <v>D(C)</v>
      </c>
      <c r="C12" s="2">
        <f>IF(ISBLANK(Display!C34),"",Display!C34)</f>
        <v>20</v>
      </c>
      <c r="D12" s="2">
        <f>IF(ISBLANK(Display!D34),"",Display!D34)</f>
        <v>60</v>
      </c>
      <c r="E12" s="2">
        <f>IF(ISBLANK(Display!E34),"",Display!E34)</f>
        <v>80</v>
      </c>
      <c r="F12" s="14">
        <f>IF(ISBLANK(Display!J34),"",Display!J34)</f>
        <v>73.258415699756483</v>
      </c>
      <c r="G12" s="14">
        <f>IF(ISBLANK(Display!K34),"",Display!K34)</f>
        <v>72.415586705457116</v>
      </c>
      <c r="H12" s="14">
        <f>IF(ISBLANK(Display!L34),"",Display!L34)</f>
        <v>73.01434931798201</v>
      </c>
      <c r="I12" s="14">
        <f>IF(ISBLANK(Display!M34),"",Display!M34)</f>
        <v>73.126877968401672</v>
      </c>
      <c r="J12" s="14">
        <f>IF(ISBLANK(Display!N34),"",Display!N34)</f>
        <v>76.095971563981038</v>
      </c>
      <c r="K12" s="14">
        <f>IF(ISBLANK(Display!O34),"",Display!O34)</f>
        <v>77.938481675392666</v>
      </c>
      <c r="L12" s="14">
        <f>IF(ISBLANK(Display!P34),"",Display!P34)</f>
        <v>83.818681318681314</v>
      </c>
      <c r="M12" s="14">
        <f>IF(ISBLANK(Display!Q34),"",Display!Q34)</f>
        <v>78.338548185231531</v>
      </c>
      <c r="N12" s="14">
        <f>IF(ISBLANK(Display!R34),"",Display!R34)</f>
        <v>53.842576342576351</v>
      </c>
      <c r="O12" s="2" t="s">
        <v>236</v>
      </c>
      <c r="R12" s="18" t="s">
        <v>238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90</v>
      </c>
      <c r="E13" s="2">
        <f>IF(ISBLANK(Display!E16),"",Display!E16)</f>
        <v>158</v>
      </c>
      <c r="F13" s="14">
        <f>IF(ISBLANK(Display!J16),"",Display!J16)</f>
        <v>92.914482165878809</v>
      </c>
      <c r="G13" s="14">
        <f>IF(ISBLANK(Display!K16),"",Display!K16)</f>
        <v>95.053483793235188</v>
      </c>
      <c r="H13" s="14">
        <f>IF(ISBLANK(Display!L16),"",Display!L16)</f>
        <v>95.815160366389705</v>
      </c>
      <c r="I13" s="14">
        <f>IF(ISBLANK(Display!M16),"",Display!M16)</f>
        <v>94.744757843042237</v>
      </c>
      <c r="J13" s="14">
        <f>IF(ISBLANK(Display!N16),"",Display!N16)</f>
        <v>90.90707130547176</v>
      </c>
      <c r="K13" s="14">
        <f>IF(ISBLANK(Display!O16),"",Display!O16)</f>
        <v>87.961238695859123</v>
      </c>
      <c r="L13" s="14">
        <f>IF(ISBLANK(Display!P16),"",Display!P16)</f>
        <v>84.752747252747241</v>
      </c>
      <c r="M13" s="14">
        <f>IF(ISBLANK(Display!Q16),"",Display!Q16)</f>
        <v>87.126408010012511</v>
      </c>
      <c r="N13" s="14">
        <f>IF(ISBLANK(Display!R16),"",Display!R16)</f>
        <v>56.827834327834324</v>
      </c>
    </row>
    <row r="14" spans="1:31" ht="15" customHeight="1" thickBot="1" x14ac:dyDescent="0.35">
      <c r="A14" t="str">
        <f>IF(ISBLANK(Display!A25),"",Display!A25)</f>
        <v>Teddy Lawrence</v>
      </c>
      <c r="B14" s="2" t="str">
        <f>IF(ISBLANK(Display!B25),"",Display!B25)</f>
        <v>AM(L)</v>
      </c>
      <c r="C14" s="2">
        <f>IF(ISBLANK(Display!C25),"",Display!C25)</f>
        <v>20</v>
      </c>
      <c r="D14" s="2">
        <f>IF(ISBLANK(Display!D25),"",Display!D25)</f>
        <v>52</v>
      </c>
      <c r="E14" s="2">
        <f>IF(ISBLANK(Display!E25),"",Display!E25)</f>
        <v>73</v>
      </c>
      <c r="F14" s="14">
        <f>IF(ISBLANK(Display!J25),"",Display!J25)</f>
        <v>72.416702478154988</v>
      </c>
      <c r="G14" s="14">
        <f>IF(ISBLANK(Display!K25),"",Display!K25)</f>
        <v>76.606864733021837</v>
      </c>
      <c r="H14" s="14">
        <f>IF(ISBLANK(Display!L25),"",Display!L25)</f>
        <v>76.343617956498306</v>
      </c>
      <c r="I14" s="14">
        <f>IF(ISBLANK(Display!M25),"",Display!M25)</f>
        <v>76.443895189169979</v>
      </c>
      <c r="J14" s="14">
        <f>IF(ISBLANK(Display!N25),"",Display!N25)</f>
        <v>71.829895519172766</v>
      </c>
      <c r="K14" s="14">
        <f>IF(ISBLANK(Display!O25),"",Display!O25)</f>
        <v>69.56493931461209</v>
      </c>
      <c r="L14" s="14">
        <f>IF(ISBLANK(Display!P25),"",Display!P25)</f>
        <v>65.978708791208788</v>
      </c>
      <c r="M14" s="14">
        <f>IF(ISBLANK(Display!Q25),"",Display!Q25)</f>
        <v>70.673341677096374</v>
      </c>
      <c r="N14" s="14">
        <f>IF(ISBLANK(Display!R25),"",Display!R25)</f>
        <v>50.467707967707973</v>
      </c>
      <c r="O14" s="2" t="s">
        <v>235</v>
      </c>
    </row>
    <row r="15" spans="1:31" x14ac:dyDescent="0.3">
      <c r="A15" t="str">
        <f>IF(ISBLANK(Display!A37),"",Display!A37)</f>
        <v>Karnell Dunton</v>
      </c>
      <c r="B15" s="2" t="str">
        <f>IF(ISBLANK(Display!B37),"",Display!B37)</f>
        <v>Striker</v>
      </c>
      <c r="C15" s="2">
        <f>IF(ISBLANK(Display!C37),"",Display!C37)</f>
        <v>17</v>
      </c>
      <c r="D15" s="2">
        <f>IF(ISBLANK(Display!D37),"",Display!D37)</f>
        <v>40</v>
      </c>
      <c r="E15" s="2">
        <f>IF(ISBLANK(Display!E37),"",Display!E37)</f>
        <v>91</v>
      </c>
      <c r="F15" s="14">
        <f>IF(ISBLANK(Display!J37),"",Display!J37)</f>
        <v>74.339206417418708</v>
      </c>
      <c r="G15" s="14">
        <f>IF(ISBLANK(Display!K37),"",Display!K37)</f>
        <v>68.585030415234073</v>
      </c>
      <c r="H15" s="14">
        <f>IF(ISBLANK(Display!L37),"",Display!L37)</f>
        <v>68.156424581005581</v>
      </c>
      <c r="I15" s="14">
        <f>IF(ISBLANK(Display!M37),"",Display!M37)</f>
        <v>70.450712416400108</v>
      </c>
      <c r="J15" s="14">
        <f>IF(ISBLANK(Display!N37),"",Display!N37)</f>
        <v>64.587327660491169</v>
      </c>
      <c r="K15" s="14">
        <f>IF(ISBLANK(Display!O37),"",Display!O37)</f>
        <v>62.568271061399336</v>
      </c>
      <c r="L15" s="14">
        <f>IF(ISBLANK(Display!P37),"",Display!P37)</f>
        <v>70.690247252747255</v>
      </c>
      <c r="M15" s="14">
        <f>IF(ISBLANK(Display!Q37),"",Display!Q37)</f>
        <v>64.331977471839807</v>
      </c>
      <c r="N15" s="14">
        <f>IF(ISBLANK(Display!R37),"",Display!R37)</f>
        <v>47.829501579501574</v>
      </c>
      <c r="O15" s="2" t="s">
        <v>17</v>
      </c>
      <c r="R15" s="35"/>
      <c r="S15" s="43" t="s">
        <v>242</v>
      </c>
      <c r="T15" s="44"/>
      <c r="U15" s="44"/>
      <c r="V15" s="45"/>
      <c r="X15" s="35"/>
      <c r="Y15" s="43" t="s">
        <v>242</v>
      </c>
      <c r="Z15" s="44"/>
      <c r="AA15" s="44"/>
      <c r="AB15" s="45"/>
    </row>
    <row r="16" spans="1:31" x14ac:dyDescent="0.3">
      <c r="A16" t="str">
        <f>IF(ISBLANK(Display!A22),"",Display!A22)</f>
        <v>Ryan Penny</v>
      </c>
      <c r="B16" s="2" t="str">
        <f>IF(ISBLANK(Display!B22),"",Display!B22)</f>
        <v>DM(L)</v>
      </c>
      <c r="C16" s="2">
        <f>IF(ISBLANK(Display!C22),"",Display!C22)</f>
        <v>20</v>
      </c>
      <c r="D16" s="2">
        <f>IF(ISBLANK(Display!D22),"",Display!D22)</f>
        <v>62</v>
      </c>
      <c r="E16" s="2">
        <f>IF(ISBLANK(Display!E22),"",Display!E22)</f>
        <v>72</v>
      </c>
      <c r="F16" s="14">
        <f>IF(ISBLANK(Display!J22),"",Display!J22)</f>
        <v>78.080933963615536</v>
      </c>
      <c r="G16" s="14">
        <f>IF(ISBLANK(Display!K22),"",Display!K22)</f>
        <v>79.018190367039878</v>
      </c>
      <c r="H16" s="14">
        <f>IF(ISBLANK(Display!L22),"",Display!L22)</f>
        <v>79.834670901511501</v>
      </c>
      <c r="I16" s="14">
        <f>IF(ISBLANK(Display!M22),"",Display!M22)</f>
        <v>79.038318632677459</v>
      </c>
      <c r="J16" s="14">
        <f>IF(ISBLANK(Display!N22),"",Display!N22)</f>
        <v>82.208503877638961</v>
      </c>
      <c r="K16" s="14">
        <f>IF(ISBLANK(Display!O22),"",Display!O22)</f>
        <v>80.106943122322718</v>
      </c>
      <c r="L16" s="14">
        <f>IF(ISBLANK(Display!P22),"",Display!P22)</f>
        <v>81.432005494505489</v>
      </c>
      <c r="M16" s="14">
        <f>IF(ISBLANK(Display!Q22),"",Display!Q22)</f>
        <v>81.000938673341665</v>
      </c>
      <c r="N16" s="14">
        <f>IF(ISBLANK(Display!R22),"",Display!R22)</f>
        <v>56.968234468234471</v>
      </c>
      <c r="R16" s="36"/>
      <c r="S16" s="33" t="s">
        <v>1</v>
      </c>
      <c r="T16" s="33" t="s">
        <v>2</v>
      </c>
      <c r="U16" s="33" t="s">
        <v>243</v>
      </c>
      <c r="V16" s="34" t="s">
        <v>244</v>
      </c>
      <c r="X16" s="36"/>
      <c r="Y16" s="33" t="s">
        <v>1</v>
      </c>
      <c r="Z16" s="33" t="s">
        <v>2</v>
      </c>
      <c r="AA16" s="33" t="s">
        <v>243</v>
      </c>
      <c r="AB16" s="34" t="s">
        <v>244</v>
      </c>
    </row>
    <row r="17" spans="1:34" x14ac:dyDescent="0.3">
      <c r="A17" t="str">
        <f>IF(ISBLANK(Display!A29),"",Display!A29)</f>
        <v>Danny Jordan</v>
      </c>
      <c r="B17" s="2" t="str">
        <f>IF(ISBLANK(Display!B29),"",Display!B29)</f>
        <v>D(C)</v>
      </c>
      <c r="C17" s="2">
        <f>IF(ISBLANK(Display!C29),"",Display!C29)</f>
        <v>19</v>
      </c>
      <c r="D17" s="2">
        <f>IF(ISBLANK(Display!D29),"",Display!D29)</f>
        <v>56</v>
      </c>
      <c r="E17" s="2">
        <f>IF(ISBLANK(Display!E29),"",Display!E29)</f>
        <v>81</v>
      </c>
      <c r="F17" s="14">
        <f>IF(ISBLANK(Display!J29),"",Display!J29)</f>
        <v>59.282624265864484</v>
      </c>
      <c r="G17" s="14">
        <f>IF(ISBLANK(Display!K29),"",Display!K29)</f>
        <v>56.459343501131386</v>
      </c>
      <c r="H17" s="14">
        <f>IF(ISBLANK(Display!L29),"",Display!L29)</f>
        <v>57.105464651334259</v>
      </c>
      <c r="I17" s="14">
        <f>IF(ISBLANK(Display!M29),"",Display!M29)</f>
        <v>58.06710607088624</v>
      </c>
      <c r="J17" s="14">
        <f>IF(ISBLANK(Display!N29),"",Display!N29)</f>
        <v>64.180040930633339</v>
      </c>
      <c r="K17" s="14">
        <f>IF(ISBLANK(Display!O29),"",Display!O29)</f>
        <v>66.993990956687298</v>
      </c>
      <c r="L17" s="14">
        <f>IF(ISBLANK(Display!P29),"",Display!P29)</f>
        <v>74.6875</v>
      </c>
      <c r="M17" s="14">
        <f>IF(ISBLANK(Display!Q29),"",Display!Q29)</f>
        <v>68.498435544430535</v>
      </c>
      <c r="N17" s="14">
        <f>IF(ISBLANK(Display!R29),"",Display!R29)</f>
        <v>49.742892242892239</v>
      </c>
      <c r="O17" s="2" t="s">
        <v>19</v>
      </c>
      <c r="R17" s="30" t="s">
        <v>19</v>
      </c>
      <c r="S17" s="22" t="s">
        <v>91</v>
      </c>
      <c r="T17" s="2">
        <f t="shared" ref="T17:T27" si="1">IFERROR(VLOOKUP($S17,$A$2:$O$499,3,FALSE),"")</f>
        <v>16</v>
      </c>
      <c r="U17" s="2" t="str">
        <f t="shared" ref="U17:U27" si="2">IFERROR(VLOOKUP($S17,$A$2:$O$499,4,FALSE)&amp;" / "&amp;VLOOKUP($S17,$A$2:$O$499,5,FALSE),"")</f>
        <v>75 / 146</v>
      </c>
      <c r="V17" s="24">
        <f>IFERROR(VLOOKUP(S17,$A$2:$O$499,14,FALSE),"")</f>
        <v>93.695156195156187</v>
      </c>
      <c r="X17" s="30" t="s">
        <v>19</v>
      </c>
      <c r="Y17" s="22" t="s">
        <v>137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82.739996489996486</v>
      </c>
    </row>
    <row r="18" spans="1:34" x14ac:dyDescent="0.3">
      <c r="A18" t="str">
        <f>IF(ISBLANK(Display!A36),"",Display!A36)</f>
        <v>Junior McQuilken</v>
      </c>
      <c r="B18" s="2" t="str">
        <f>IF(ISBLANK(Display!B36),"",Display!B36)</f>
        <v>D(R/L)</v>
      </c>
      <c r="C18" s="2">
        <f>IF(ISBLANK(Display!C36),"",Display!C36)</f>
        <v>20</v>
      </c>
      <c r="D18" s="2">
        <f>IF(ISBLANK(Display!D36),"",Display!D36)</f>
        <v>40</v>
      </c>
      <c r="E18" s="2">
        <f>IF(ISBLANK(Display!E36),"",Display!E36)</f>
        <v>78</v>
      </c>
      <c r="F18" s="14">
        <f>IF(ISBLANK(Display!J36),"",Display!J36)</f>
        <v>61.354963472281909</v>
      </c>
      <c r="G18" s="14">
        <f>IF(ISBLANK(Display!K36),"",Display!K36)</f>
        <v>67.194157924123544</v>
      </c>
      <c r="H18" s="14">
        <f>IF(ISBLANK(Display!L36),"",Display!L36)</f>
        <v>67.573377194226239</v>
      </c>
      <c r="I18" s="14">
        <f>IF(ISBLANK(Display!M36),"",Display!M36)</f>
        <v>70.445219863655453</v>
      </c>
      <c r="J18" s="14">
        <f>IF(ISBLANK(Display!N36),"",Display!N36)</f>
        <v>67.53150581645842</v>
      </c>
      <c r="K18" s="14">
        <f>IF(ISBLANK(Display!O36),"",Display!O36)</f>
        <v>68.345133269871496</v>
      </c>
      <c r="L18" s="14">
        <f>IF(ISBLANK(Display!P36),"",Display!P36)</f>
        <v>65.08585164835165</v>
      </c>
      <c r="M18" s="14">
        <f>IF(ISBLANK(Display!Q36),"",Display!Q36)</f>
        <v>70.66927409261578</v>
      </c>
      <c r="N18" s="14">
        <f>IF(ISBLANK(Display!R36),"",Display!R36)</f>
        <v>48.016409266409269</v>
      </c>
      <c r="O18" s="2" t="s">
        <v>238</v>
      </c>
      <c r="R18" s="31" t="s">
        <v>18</v>
      </c>
      <c r="S18" s="22" t="s">
        <v>88</v>
      </c>
      <c r="T18" s="2">
        <f t="shared" si="1"/>
        <v>16</v>
      </c>
      <c r="U18" s="2" t="str">
        <f t="shared" si="2"/>
        <v>82 / 158</v>
      </c>
      <c r="V18" s="24">
        <f>IFERROR(VLOOKUP(S18,$A$2:$O$499,13,FALSE),"")</f>
        <v>93.360763454317905</v>
      </c>
      <c r="X18" s="31" t="s">
        <v>18</v>
      </c>
      <c r="Y18" s="22" t="s">
        <v>158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78.338548185231531</v>
      </c>
    </row>
    <row r="19" spans="1:34" x14ac:dyDescent="0.3">
      <c r="A19" t="str">
        <f>IF(ISBLANK(Display!A5),"",Display!A5)</f>
        <v>Ashley Sarahs</v>
      </c>
      <c r="B19" s="2" t="str">
        <f>IF(ISBLANK(Display!B5),"",Display!B5)</f>
        <v>GK</v>
      </c>
      <c r="C19" s="2">
        <f>IF(ISBLANK(Display!C5),"",Display!C5)</f>
        <v>16</v>
      </c>
      <c r="D19" s="2">
        <f>IF(ISBLANK(Display!D5),"",Display!D5)</f>
        <v>75</v>
      </c>
      <c r="E19" s="2">
        <f>IF(ISBLANK(Display!E5),"",Display!E5)</f>
        <v>146</v>
      </c>
      <c r="F19" s="14">
        <f>IF(ISBLANK(Display!J5),"",Display!J5)</f>
        <v>72.336341498352667</v>
      </c>
      <c r="G19" s="14">
        <f>IF(ISBLANK(Display!K5),"",Display!K5)</f>
        <v>69.834405947867992</v>
      </c>
      <c r="H19" s="14">
        <f>IF(ISBLANK(Display!L5),"",Display!L5)</f>
        <v>68.754501885829342</v>
      </c>
      <c r="I19" s="14">
        <f>IF(ISBLANK(Display!M5),"",Display!M5)</f>
        <v>72.545475105812415</v>
      </c>
      <c r="J19" s="14">
        <f>IF(ISBLANK(Display!N5),"",Display!N5)</f>
        <v>71.533956268849636</v>
      </c>
      <c r="K19" s="14">
        <f>IF(ISBLANK(Display!O5),"",Display!O5)</f>
        <v>73.063570918610182</v>
      </c>
      <c r="L19" s="14">
        <f>IF(ISBLANK(Display!P5),"",Display!P5)</f>
        <v>71.974587912087912</v>
      </c>
      <c r="M19" s="14">
        <f>IF(ISBLANK(Display!Q5),"",Display!Q5)</f>
        <v>73.204005006257816</v>
      </c>
      <c r="N19" s="14">
        <f>IF(ISBLANK(Display!R5),"",Display!R5)</f>
        <v>93.695156195156187</v>
      </c>
      <c r="R19" s="31" t="s">
        <v>17</v>
      </c>
      <c r="S19" s="22" t="s">
        <v>134</v>
      </c>
      <c r="T19" s="2">
        <f t="shared" si="1"/>
        <v>39</v>
      </c>
      <c r="U19" s="2" t="str">
        <f t="shared" si="2"/>
        <v>52 / 107</v>
      </c>
      <c r="V19" s="24">
        <f>IFERROR(VLOOKUP(S19,$A$2:$O$499,12,FALSE),"")</f>
        <v>81.826923076923066</v>
      </c>
      <c r="X19" s="31" t="s">
        <v>17</v>
      </c>
      <c r="Y19" s="22" t="s">
        <v>146</v>
      </c>
      <c r="Z19" s="2">
        <f t="shared" si="3"/>
        <v>16</v>
      </c>
      <c r="AA19" s="2" t="str">
        <f t="shared" si="4"/>
        <v>63 / 144</v>
      </c>
      <c r="AB19" s="24">
        <f>IFERROR(VLOOKUP(Y19,$A$2:$O$499,12,FALSE),"")</f>
        <v>86.370192307692292</v>
      </c>
    </row>
    <row r="20" spans="1:34" x14ac:dyDescent="0.3">
      <c r="A20" t="str">
        <f>IF(ISBLANK(Display!A24),"",Display!A24)</f>
        <v>Taye Weir</v>
      </c>
      <c r="B20" s="2" t="str">
        <f>IF(ISBLANK(Display!B24),"",Display!B24)</f>
        <v>D(R/L)</v>
      </c>
      <c r="C20" s="2">
        <f>IF(ISBLANK(Display!C24),"",Display!C24)</f>
        <v>21</v>
      </c>
      <c r="D20" s="2">
        <f>IF(ISBLANK(Display!D24),"",Display!D24)</f>
        <v>54</v>
      </c>
      <c r="E20" s="2">
        <f>IF(ISBLANK(Display!E24),"",Display!E24)</f>
        <v>90</v>
      </c>
      <c r="F20" s="14">
        <f>IF(ISBLANK(Display!J24),"",Display!J24)</f>
        <v>73.976937401518398</v>
      </c>
      <c r="G20" s="14">
        <f>IF(ISBLANK(Display!K24),"",Display!K24)</f>
        <v>76.284051838138055</v>
      </c>
      <c r="H20" s="14">
        <f>IF(ISBLANK(Display!L24),"",Display!L24)</f>
        <v>76.242945863936711</v>
      </c>
      <c r="I20" s="14">
        <f>IF(ISBLANK(Display!M24),"",Display!M24)</f>
        <v>77.400407095085782</v>
      </c>
      <c r="J20" s="14">
        <f>IF(ISBLANK(Display!N24),"",Display!N24)</f>
        <v>77.962623869021982</v>
      </c>
      <c r="K20" s="14">
        <f>IF(ISBLANK(Display!O24),"",Display!O24)</f>
        <v>78.908257972394097</v>
      </c>
      <c r="L20" s="14">
        <f>IF(ISBLANK(Display!P24),"",Display!P24)</f>
        <v>77.843406593406584</v>
      </c>
      <c r="M20" s="14">
        <f>IF(ISBLANK(Display!Q24),"",Display!Q24)</f>
        <v>79.756570713391739</v>
      </c>
      <c r="N20" s="14">
        <f>IF(ISBLANK(Display!R24),"",Display!R24)</f>
        <v>53.52316602316602</v>
      </c>
      <c r="O20" s="2" t="s">
        <v>235</v>
      </c>
      <c r="R20" s="31" t="s">
        <v>17</v>
      </c>
      <c r="S20" s="22" t="s">
        <v>109</v>
      </c>
      <c r="T20" s="2">
        <f t="shared" si="1"/>
        <v>22</v>
      </c>
      <c r="U20" s="2" t="str">
        <f t="shared" si="2"/>
        <v>75 / 97</v>
      </c>
      <c r="V20" s="24">
        <f>IFERROR(VLOOKUP(S20,$A$2:$O$499,12,FALSE),"")</f>
        <v>85.848214285714292</v>
      </c>
      <c r="X20" s="31" t="s">
        <v>17</v>
      </c>
      <c r="Y20" s="22" t="s">
        <v>153</v>
      </c>
      <c r="Z20" s="2">
        <f t="shared" si="3"/>
        <v>17</v>
      </c>
      <c r="AA20" s="2" t="str">
        <f t="shared" si="4"/>
        <v>61 / 78</v>
      </c>
      <c r="AB20" s="24">
        <f>IFERROR(VLOOKUP(Y20,$A$2:$O$499,12,FALSE),"")</f>
        <v>84.532967032967036</v>
      </c>
    </row>
    <row r="21" spans="1:34" x14ac:dyDescent="0.3">
      <c r="A21" t="str">
        <f>IF(ISBLANK(Display!A33),"",Display!A33)</f>
        <v>Jordan Wright</v>
      </c>
      <c r="B21" s="2" t="str">
        <f>IF(ISBLANK(Display!B33),"",Display!B33)</f>
        <v>Striker</v>
      </c>
      <c r="C21" s="2">
        <f>IF(ISBLANK(Display!C33),"",Display!C33)</f>
        <v>17</v>
      </c>
      <c r="D21" s="2">
        <f>IF(ISBLANK(Display!D33),"",Display!D33)</f>
        <v>45</v>
      </c>
      <c r="E21" s="2">
        <f>IF(ISBLANK(Display!E33),"",Display!E33)</f>
        <v>93</v>
      </c>
      <c r="F21" s="14">
        <f>IF(ISBLANK(Display!J33),"",Display!J33)</f>
        <v>72.452800458387046</v>
      </c>
      <c r="G21" s="14">
        <f>IF(ISBLANK(Display!K33),"",Display!K33)</f>
        <v>70.765523524053009</v>
      </c>
      <c r="H21" s="14">
        <f>IF(ISBLANK(Display!L33),"",Display!L33)</f>
        <v>69.610781839321675</v>
      </c>
      <c r="I21" s="14">
        <f>IF(ISBLANK(Display!M33),"",Display!M33)</f>
        <v>70.119059158023987</v>
      </c>
      <c r="J21" s="14">
        <f>IF(ISBLANK(Display!N33),"",Display!N33)</f>
        <v>64.122549547608799</v>
      </c>
      <c r="K21" s="14">
        <f>IF(ISBLANK(Display!O33),"",Display!O33)</f>
        <v>62.1500178486435</v>
      </c>
      <c r="L21" s="14">
        <f>IF(ISBLANK(Display!P33),"",Display!P33)</f>
        <v>64.333791208791212</v>
      </c>
      <c r="M21" s="14">
        <f>IF(ISBLANK(Display!Q33),"",Display!Q33)</f>
        <v>62.787546933667088</v>
      </c>
      <c r="N21" s="14">
        <f>IF(ISBLANK(Display!R33),"",Display!R33)</f>
        <v>43.519217269217272</v>
      </c>
      <c r="O21" s="2" t="s">
        <v>17</v>
      </c>
      <c r="R21" s="31" t="s">
        <v>16</v>
      </c>
      <c r="S21" s="22" t="s">
        <v>132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16</v>
      </c>
      <c r="Y21" s="22" t="s">
        <v>117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79.756570713391739</v>
      </c>
    </row>
    <row r="22" spans="1:34" x14ac:dyDescent="0.3">
      <c r="A22" t="str">
        <f>IF(ISBLANK(Display!A26),"",Display!A26)</f>
        <v>Will Hancox</v>
      </c>
      <c r="B22" s="2" t="str">
        <f>IF(ISBLANK(Display!B26),"",Display!B26)</f>
        <v>AM(R)</v>
      </c>
      <c r="C22" s="2">
        <f>IF(ISBLANK(Display!C26),"",Display!C26)</f>
        <v>28</v>
      </c>
      <c r="D22" s="2">
        <f>IF(ISBLANK(Display!D26),"",Display!D26)</f>
        <v>40</v>
      </c>
      <c r="E22" s="2">
        <f>IF(ISBLANK(Display!E26),"",Display!E26)</f>
        <v>50</v>
      </c>
      <c r="F22" s="14">
        <f>IF(ISBLANK(Display!J26),"",Display!J26)</f>
        <v>63.452513966480453</v>
      </c>
      <c r="G22" s="14">
        <f>IF(ISBLANK(Display!K26),"",Display!K26)</f>
        <v>70.281965382467902</v>
      </c>
      <c r="H22" s="14">
        <f>IF(ISBLANK(Display!L26),"",Display!L26)</f>
        <v>70.444375124067719</v>
      </c>
      <c r="I22" s="14">
        <f>IF(ISBLANK(Display!M26),"",Display!M26)</f>
        <v>72.050337630448126</v>
      </c>
      <c r="J22" s="14">
        <f>IF(ISBLANK(Display!N26),"",Display!N26)</f>
        <v>64.434376346402416</v>
      </c>
      <c r="K22" s="14">
        <f>IF(ISBLANK(Display!O26),"",Display!O26)</f>
        <v>64.612535697287001</v>
      </c>
      <c r="L22" s="14">
        <f>IF(ISBLANK(Display!P26),"",Display!P26)</f>
        <v>61.46291208791208</v>
      </c>
      <c r="M22" s="14">
        <f>IF(ISBLANK(Display!Q26),"",Display!Q26)</f>
        <v>65.543491864831054</v>
      </c>
      <c r="N22" s="14">
        <f>IF(ISBLANK(Display!R26),"",Display!R26)</f>
        <v>47.022639522639516</v>
      </c>
      <c r="R22" s="31" t="s">
        <v>235</v>
      </c>
      <c r="S22" s="22" t="s">
        <v>96</v>
      </c>
      <c r="T22" s="2">
        <f t="shared" si="1"/>
        <v>16</v>
      </c>
      <c r="U22" s="2" t="str">
        <f t="shared" si="2"/>
        <v>74 / 135</v>
      </c>
      <c r="V22" s="24">
        <f>IFERROR(VLOOKUP(S22,$A$2:$O$499,10,FALSE),"")</f>
        <v>88.296531667384741</v>
      </c>
      <c r="X22" s="31" t="s">
        <v>235</v>
      </c>
      <c r="Y22" s="22" t="s">
        <v>170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Nnaemeka Anyanwu</v>
      </c>
      <c r="B23" s="2" t="str">
        <f>IF(ISBLANK(Display!B41),"",Display!B41)</f>
        <v>AM(R)</v>
      </c>
      <c r="C23" s="2">
        <f>IF(ISBLANK(Display!C41),"",Display!C41)</f>
        <v>20</v>
      </c>
      <c r="D23" s="2">
        <f>IF(ISBLANK(Display!D41),"",Display!D41)</f>
        <v>46</v>
      </c>
      <c r="E23" s="2">
        <f>IF(ISBLANK(Display!E41),"",Display!E41)</f>
        <v>71</v>
      </c>
      <c r="F23" s="14">
        <f>IF(ISBLANK(Display!J41),"",Display!J41)</f>
        <v>66.528577567683712</v>
      </c>
      <c r="G23" s="14">
        <f>IF(ISBLANK(Display!K41),"",Display!K41)</f>
        <v>69.545387757500961</v>
      </c>
      <c r="H23" s="14">
        <f>IF(ISBLANK(Display!L41),"",Display!L41)</f>
        <v>68.623769957178922</v>
      </c>
      <c r="I23" s="14">
        <f>IF(ISBLANK(Display!M41),"",Display!M41)</f>
        <v>69.766243417013982</v>
      </c>
      <c r="J23" s="14">
        <f>IF(ISBLANK(Display!N41),"",Display!N41)</f>
        <v>62.65348987505385</v>
      </c>
      <c r="K23" s="14">
        <f>IF(ISBLANK(Display!O41),"",Display!O41)</f>
        <v>61.353522132317941</v>
      </c>
      <c r="L23" s="14">
        <f>IF(ISBLANK(Display!P41),"",Display!P41)</f>
        <v>59.831730769230766</v>
      </c>
      <c r="M23" s="14">
        <f>IF(ISBLANK(Display!Q41),"",Display!Q41)</f>
        <v>61.922403003754695</v>
      </c>
      <c r="N23" s="14">
        <f>IF(ISBLANK(Display!R41),"",Display!R41)</f>
        <v>47.365742365742364</v>
      </c>
      <c r="O23" s="2" t="s">
        <v>14</v>
      </c>
      <c r="R23" s="31" t="s">
        <v>236</v>
      </c>
      <c r="S23" s="22" t="s">
        <v>125</v>
      </c>
      <c r="T23" s="2">
        <f t="shared" si="1"/>
        <v>24</v>
      </c>
      <c r="U23" s="2" t="str">
        <f t="shared" si="2"/>
        <v>84 / 93</v>
      </c>
      <c r="V23" s="24">
        <f>IFERROR(VLOOKUP(S23,$A$2:$O$499,11,FALSE),"")</f>
        <v>89.320412898619708</v>
      </c>
      <c r="X23" s="31" t="s">
        <v>236</v>
      </c>
      <c r="Y23" s="22" t="s">
        <v>167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63</v>
      </c>
      <c r="E24" s="2">
        <f>IF(ISBLANK(Display!E14),"",Display!E14)</f>
        <v>144</v>
      </c>
      <c r="F24" s="14">
        <f>IF(ISBLANK(Display!J14),"",Display!J14)</f>
        <v>70.302678699326734</v>
      </c>
      <c r="G24" s="14">
        <f>IF(ISBLANK(Display!K14),"",Display!K14)</f>
        <v>66.863116753357431</v>
      </c>
      <c r="H24" s="14">
        <f>IF(ISBLANK(Display!L14),"",Display!L14)</f>
        <v>66.866262087740694</v>
      </c>
      <c r="I24" s="14">
        <f>IF(ISBLANK(Display!M14),"",Display!M14)</f>
        <v>68.80181577331912</v>
      </c>
      <c r="J24" s="14">
        <f>IF(ISBLANK(Display!N14),"",Display!N14)</f>
        <v>72.371687850064632</v>
      </c>
      <c r="K24" s="14">
        <f>IF(ISBLANK(Display!O14),"",Display!O14)</f>
        <v>74.780312946216085</v>
      </c>
      <c r="L24" s="14">
        <f>IF(ISBLANK(Display!P14),"",Display!P14)</f>
        <v>86.370192307692292</v>
      </c>
      <c r="M24" s="14">
        <f>IF(ISBLANK(Display!Q14),"",Display!Q14)</f>
        <v>77.385168961201501</v>
      </c>
      <c r="N24" s="14">
        <f>IF(ISBLANK(Display!R14),"",Display!R14)</f>
        <v>52.864601614601618</v>
      </c>
      <c r="O24" s="2" t="s">
        <v>18</v>
      </c>
      <c r="R24" s="31" t="s">
        <v>14</v>
      </c>
      <c r="S24" s="22" t="s">
        <v>85</v>
      </c>
      <c r="T24" s="2">
        <f t="shared" si="1"/>
        <v>17</v>
      </c>
      <c r="U24" s="2" t="str">
        <f t="shared" si="2"/>
        <v>81 / 156</v>
      </c>
      <c r="V24" s="24">
        <f>IFERROR(VLOOKUP(S24,$A$2:$O$499,9,FALSE),"")</f>
        <v>91.196730315660233</v>
      </c>
      <c r="X24" s="31" t="s">
        <v>14</v>
      </c>
      <c r="Y24" s="22" t="s">
        <v>142</v>
      </c>
      <c r="Z24" s="2">
        <f t="shared" si="3"/>
        <v>16</v>
      </c>
      <c r="AA24" s="2" t="str">
        <f t="shared" si="4"/>
        <v>71 / 139</v>
      </c>
      <c r="AB24" s="24">
        <f>IFERROR(VLOOKUP(Y24,$A$2:$O$499,9,FALSE),"")</f>
        <v>90.653775322283607</v>
      </c>
    </row>
    <row r="25" spans="1:34" x14ac:dyDescent="0.3">
      <c r="A25" t="str">
        <f>IF(ISBLANK(Display!A28),"",Display!A28)</f>
        <v>Connor Underhill</v>
      </c>
      <c r="B25" s="2" t="str">
        <f>IF(ISBLANK(Display!B28),"",Display!B28)</f>
        <v>AM(C)</v>
      </c>
      <c r="C25" s="2">
        <f>IF(ISBLANK(Display!C28),"",Display!C28)</f>
        <v>20</v>
      </c>
      <c r="D25" s="2">
        <f>IF(ISBLANK(Display!D28),"",Display!D28)</f>
        <v>55</v>
      </c>
      <c r="E25" s="2">
        <f>IF(ISBLANK(Display!E28),"",Display!E28)</f>
        <v>63</v>
      </c>
      <c r="F25" s="14">
        <f>IF(ISBLANK(Display!J28),"",Display!J28)</f>
        <v>77.88081936685289</v>
      </c>
      <c r="G25" s="14">
        <f>IF(ISBLANK(Display!K28),"",Display!K28)</f>
        <v>78.801610391136961</v>
      </c>
      <c r="H25" s="14">
        <f>IF(ISBLANK(Display!L28),"",Display!L28)</f>
        <v>80.15171709724072</v>
      </c>
      <c r="I25" s="14">
        <f>IF(ISBLANK(Display!M28),"",Display!M28)</f>
        <v>80.062195082549849</v>
      </c>
      <c r="J25" s="14">
        <f>IF(ISBLANK(Display!N28),"",Display!N28)</f>
        <v>75.867083153813013</v>
      </c>
      <c r="K25" s="14">
        <f>IF(ISBLANK(Display!O28),"",Display!O28)</f>
        <v>71.876487386958587</v>
      </c>
      <c r="L25" s="14">
        <f>IF(ISBLANK(Display!P28),"",Display!P28)</f>
        <v>67.043269230769226</v>
      </c>
      <c r="M25" s="14">
        <f>IF(ISBLANK(Display!Q28),"",Display!Q28)</f>
        <v>71.266896120150193</v>
      </c>
      <c r="N25" s="14">
        <f>IF(ISBLANK(Display!R28),"",Display!R28)</f>
        <v>47.23718848718849</v>
      </c>
      <c r="O25" s="2" t="s">
        <v>18</v>
      </c>
      <c r="R25" s="31" t="s">
        <v>13</v>
      </c>
      <c r="S25" s="22" t="s">
        <v>80</v>
      </c>
      <c r="T25" s="2">
        <f t="shared" si="1"/>
        <v>16</v>
      </c>
      <c r="U25" s="2" t="str">
        <f t="shared" si="2"/>
        <v>90 / 158</v>
      </c>
      <c r="V25" s="24">
        <f>IFERROR(VLOOKUP(S25,$A$2:$O$499,8,FALSE),"")</f>
        <v>95.815160366389705</v>
      </c>
      <c r="X25" s="31" t="s">
        <v>13</v>
      </c>
      <c r="Y25" s="22" t="s">
        <v>104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81.289453534866567</v>
      </c>
    </row>
    <row r="26" spans="1:34" x14ac:dyDescent="0.3">
      <c r="A26" t="str">
        <f>IF(ISBLANK(Display!A20),"",Display!A20)</f>
        <v>Peter Purcell</v>
      </c>
      <c r="B26" s="2" t="str">
        <f>IF(ISBLANK(Display!B20),"",Display!B20)</f>
        <v>AM(R)</v>
      </c>
      <c r="C26" s="2">
        <f>IF(ISBLANK(Display!C20),"",Display!C20)</f>
        <v>17</v>
      </c>
      <c r="D26" s="2">
        <f>IF(ISBLANK(Display!D20),"",Display!D20)</f>
        <v>72</v>
      </c>
      <c r="E26" s="2">
        <f>IF(ISBLANK(Display!E20),"",Display!E20)</f>
        <v>87</v>
      </c>
      <c r="F26" s="14">
        <f>IF(ISBLANK(Display!J20),"",Display!J20)</f>
        <v>78.727975934679847</v>
      </c>
      <c r="G26" s="14">
        <f>IF(ISBLANK(Display!K20),"",Display!K20)</f>
        <v>80.896735137676671</v>
      </c>
      <c r="H26" s="14">
        <f>IF(ISBLANK(Display!L20),"",Display!L20)</f>
        <v>79.801775231829396</v>
      </c>
      <c r="I26" s="14">
        <f>IF(ISBLANK(Display!M20),"",Display!M20)</f>
        <v>82.252269716648897</v>
      </c>
      <c r="J26" s="14">
        <f>IF(ISBLANK(Display!N20),"",Display!N20)</f>
        <v>74.241032959931061</v>
      </c>
      <c r="K26" s="14">
        <f>IF(ISBLANK(Display!O20),"",Display!O20)</f>
        <v>71.914415754402668</v>
      </c>
      <c r="L26" s="14">
        <f>IF(ISBLANK(Display!P20),"",Display!P20)</f>
        <v>67.012362637362642</v>
      </c>
      <c r="M26" s="14">
        <f>IF(ISBLANK(Display!Q20),"",Display!Q20)</f>
        <v>72.367647058823522</v>
      </c>
      <c r="N26" s="14">
        <f>IF(ISBLANK(Display!R20),"",Display!R20)</f>
        <v>51.208318708318714</v>
      </c>
      <c r="R26" s="31" t="s">
        <v>12</v>
      </c>
      <c r="S26" s="22" t="s">
        <v>69</v>
      </c>
      <c r="T26" s="2">
        <f t="shared" si="1"/>
        <v>17</v>
      </c>
      <c r="U26" s="2" t="str">
        <f t="shared" si="2"/>
        <v>81 / 163</v>
      </c>
      <c r="V26" s="24">
        <f>IFERROR(VLOOKUP(S26,$A$2:$O$499,7,FALSE),"")</f>
        <v>93.37138910928914</v>
      </c>
      <c r="X26" s="31" t="s">
        <v>12</v>
      </c>
      <c r="Y26" s="22" t="s">
        <v>129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80.896735137676671</v>
      </c>
    </row>
    <row r="27" spans="1:34" ht="15" customHeight="1" thickBot="1" x14ac:dyDescent="0.35">
      <c r="A27" t="str">
        <f>IF(ISBLANK(Display!A32),"",Display!A32)</f>
        <v>Jake Hicks</v>
      </c>
      <c r="B27" s="2" t="str">
        <f>IF(ISBLANK(Display!B32),"",Display!B32)</f>
        <v>AM(L)</v>
      </c>
      <c r="C27" s="2">
        <f>IF(ISBLANK(Display!C32),"",Display!C32)</f>
        <v>19</v>
      </c>
      <c r="D27" s="2">
        <f>IF(ISBLANK(Display!D32),"",Display!D32)</f>
        <v>57</v>
      </c>
      <c r="E27" s="2">
        <f>IF(ISBLANK(Display!E32),"",Display!E32)</f>
        <v>70</v>
      </c>
      <c r="F27" s="14">
        <f>IF(ISBLANK(Display!J32),"",Display!J32)</f>
        <v>78.129064603924945</v>
      </c>
      <c r="G27" s="14">
        <f>IF(ISBLANK(Display!K32),"",Display!K32)</f>
        <v>85.162949249169827</v>
      </c>
      <c r="H27" s="14">
        <f>IF(ISBLANK(Display!L32),"",Display!L32)</f>
        <v>84.808723024132945</v>
      </c>
      <c r="I27" s="14">
        <f>IF(ISBLANK(Display!M32),"",Display!M32)</f>
        <v>85.081742108494069</v>
      </c>
      <c r="J27" s="14">
        <f>IF(ISBLANK(Display!N32),"",Display!N32)</f>
        <v>81.739686557518326</v>
      </c>
      <c r="K27" s="14">
        <f>IF(ISBLANK(Display!O32),"",Display!O32)</f>
        <v>80.730158257972391</v>
      </c>
      <c r="L27" s="14">
        <f>IF(ISBLANK(Display!P32),"",Display!P32)</f>
        <v>75.98557692307692</v>
      </c>
      <c r="M27" s="14">
        <f>IF(ISBLANK(Display!Q32),"",Display!Q32)</f>
        <v>79.763767209011263</v>
      </c>
      <c r="N27" s="14">
        <f>IF(ISBLANK(Display!R32),"",Display!R32)</f>
        <v>56.69138294138294</v>
      </c>
      <c r="O27" s="2" t="s">
        <v>13</v>
      </c>
      <c r="R27" s="32" t="s">
        <v>238</v>
      </c>
      <c r="S27" s="27" t="s">
        <v>75</v>
      </c>
      <c r="T27" s="28">
        <f t="shared" si="1"/>
        <v>17</v>
      </c>
      <c r="U27" s="28" t="str">
        <f t="shared" si="2"/>
        <v>93 / 177</v>
      </c>
      <c r="V27" s="29">
        <f>IFERROR(VLOOKUP(S27,$A$2:$O$499,6,FALSE),"")</f>
        <v>96.051998281048554</v>
      </c>
      <c r="X27" s="32" t="s">
        <v>238</v>
      </c>
      <c r="Y27" s="27" t="s">
        <v>100</v>
      </c>
      <c r="Z27" s="28">
        <f t="shared" si="3"/>
        <v>16</v>
      </c>
      <c r="AA27" s="28" t="str">
        <f t="shared" si="4"/>
        <v>76 / 149</v>
      </c>
      <c r="AB27" s="29">
        <f>IFERROR(VLOOKUP(Y27,$A$2:$O$499,6,FALSE),"")</f>
        <v>80.386334336055</v>
      </c>
    </row>
    <row r="28" spans="1:34" ht="15" customHeight="1" thickBot="1" x14ac:dyDescent="0.35">
      <c r="A28" t="str">
        <f>IF(ISBLANK(Display!A19),"",Display!A19)</f>
        <v>Paul Stroud</v>
      </c>
      <c r="B28" s="2" t="str">
        <f>IF(ISBLANK(Display!B19),"",Display!B19)</f>
        <v>AM(R)</v>
      </c>
      <c r="C28" s="2">
        <f>IF(ISBLANK(Display!C19),"",Display!C19)</f>
        <v>17</v>
      </c>
      <c r="D28" s="2">
        <f>IF(ISBLANK(Display!D19),"",Display!D19)</f>
        <v>81</v>
      </c>
      <c r="E28" s="2">
        <f>IF(ISBLANK(Display!E19),"",Display!E19)</f>
        <v>156</v>
      </c>
      <c r="F28" s="14">
        <f>IF(ISBLANK(Display!J19),"",Display!J19)</f>
        <v>86.405959031657346</v>
      </c>
      <c r="G28" s="14">
        <f>IF(ISBLANK(Display!K19),"",Display!K19)</f>
        <v>89.268858914455308</v>
      </c>
      <c r="H28" s="14">
        <f>IF(ISBLANK(Display!L19),"",Display!L19)</f>
        <v>88.851770978079003</v>
      </c>
      <c r="I28" s="14">
        <f>IF(ISBLANK(Display!M19),"",Display!M19)</f>
        <v>91.196730315660233</v>
      </c>
      <c r="J28" s="14">
        <f>IF(ISBLANK(Display!N19),"",Display!N19)</f>
        <v>84.156478888410163</v>
      </c>
      <c r="K28" s="14">
        <f>IF(ISBLANK(Display!O19),"",Display!O19)</f>
        <v>80.673935030937656</v>
      </c>
      <c r="L28" s="14">
        <f>IF(ISBLANK(Display!P19),"",Display!P19)</f>
        <v>76.394230769230774</v>
      </c>
      <c r="M28" s="14">
        <f>IF(ISBLANK(Display!Q19),"",Display!Q19)</f>
        <v>83.043491864831054</v>
      </c>
      <c r="N28" s="14">
        <f>IF(ISBLANK(Display!R19),"",Display!R19)</f>
        <v>53.655668655668656</v>
      </c>
    </row>
    <row r="29" spans="1:34" x14ac:dyDescent="0.3">
      <c r="A29" t="str">
        <f>IF(ISBLANK(Display!A7),"",Display!A7)</f>
        <v>Daniel Willard</v>
      </c>
      <c r="B29" s="2" t="str">
        <f>IF(ISBLANK(Display!B7),"",Display!B7)</f>
        <v>AM(L)</v>
      </c>
      <c r="C29" s="2">
        <f>IF(ISBLANK(Display!C7),"",Display!C7)</f>
        <v>16</v>
      </c>
      <c r="D29" s="2">
        <f>IF(ISBLANK(Display!D7),"",Display!D7)</f>
        <v>76</v>
      </c>
      <c r="E29" s="2">
        <f>IF(ISBLANK(Display!E7),"",Display!E7)</f>
        <v>149</v>
      </c>
      <c r="F29" s="14">
        <f>IF(ISBLANK(Display!J7),"",Display!J7)</f>
        <v>80.386334336055</v>
      </c>
      <c r="G29" s="14">
        <f>IF(ISBLANK(Display!K7),"",Display!K7)</f>
        <v>80.946839460460197</v>
      </c>
      <c r="H29" s="14">
        <f>IF(ISBLANK(Display!L7),"",Display!L7)</f>
        <v>80.019567251793674</v>
      </c>
      <c r="I29" s="14">
        <f>IF(ISBLANK(Display!M7),"",Display!M7)</f>
        <v>80.644082582145984</v>
      </c>
      <c r="J29" s="14">
        <f>IF(ISBLANK(Display!N7),"",Display!N7)</f>
        <v>75.700802455838001</v>
      </c>
      <c r="K29" s="14">
        <f>IF(ISBLANK(Display!O7),"",Display!O7)</f>
        <v>72.564403855307006</v>
      </c>
      <c r="L29" s="14">
        <f>IF(ISBLANK(Display!P7),"",Display!P7)</f>
        <v>71.607142857142861</v>
      </c>
      <c r="M29" s="14">
        <f>IF(ISBLANK(Display!Q7),"",Display!Q7)</f>
        <v>72.265331664580714</v>
      </c>
      <c r="N29" s="14">
        <f>IF(ISBLANK(Display!R7),"",Display!R7)</f>
        <v>50.089943839943842</v>
      </c>
      <c r="R29" s="35"/>
      <c r="S29" s="46" t="s">
        <v>245</v>
      </c>
      <c r="T29" s="44"/>
      <c r="U29" s="44"/>
      <c r="V29" s="45"/>
      <c r="X29" s="35"/>
      <c r="Y29" s="43" t="s">
        <v>246</v>
      </c>
      <c r="Z29" s="44"/>
      <c r="AA29" s="44"/>
      <c r="AB29" s="45"/>
      <c r="AD29" s="35"/>
      <c r="AE29" s="43" t="s">
        <v>247</v>
      </c>
      <c r="AF29" s="44"/>
      <c r="AG29" s="44"/>
      <c r="AH29" s="45"/>
    </row>
    <row r="30" spans="1:34" ht="15" customHeight="1" thickBot="1" x14ac:dyDescent="0.35">
      <c r="A30" t="str">
        <f>IF(ISBLANK(Display!A3),"",Display!A3)</f>
        <v>Andrey Quintino</v>
      </c>
      <c r="B30" s="2" t="str">
        <f>IF(ISBLANK(Display!B3),"",Display!B3)</f>
        <v>AM(R)</v>
      </c>
      <c r="C30" s="2">
        <f>IF(ISBLANK(Display!C3),"",Display!C3)</f>
        <v>24</v>
      </c>
      <c r="D30" s="2">
        <f>IF(ISBLANK(Display!D3),"",Display!D3)</f>
        <v>84</v>
      </c>
      <c r="E30" s="2">
        <f>IF(ISBLANK(Display!E3),"",Display!E3)</f>
        <v>93</v>
      </c>
      <c r="F30" s="14">
        <f>IF(ISBLANK(Display!J3),"",Display!J3)</f>
        <v>91.304540896719658</v>
      </c>
      <c r="G30" s="14">
        <f>IF(ISBLANK(Display!K3),"",Display!K3)</f>
        <v>92.163595756560568</v>
      </c>
      <c r="H30" s="14">
        <f>IF(ISBLANK(Display!L3),"",Display!L3)</f>
        <v>91.972322264129531</v>
      </c>
      <c r="I30" s="14">
        <f>IF(ISBLANK(Display!M3),"",Display!M3)</f>
        <v>92.793124616329038</v>
      </c>
      <c r="J30" s="14">
        <f>IF(ISBLANK(Display!N3),"",Display!N3)</f>
        <v>90.081188065489002</v>
      </c>
      <c r="K30" s="14">
        <f>IF(ISBLANK(Display!O3),"",Display!O3)</f>
        <v>89.320412898619708</v>
      </c>
      <c r="L30" s="14">
        <f>IF(ISBLANK(Display!P3),"",Display!P3)</f>
        <v>85.837912087912088</v>
      </c>
      <c r="M30" s="14">
        <f>IF(ISBLANK(Display!Q3),"",Display!Q3)</f>
        <v>89.253441802252809</v>
      </c>
      <c r="N30" s="14">
        <f>IF(ISBLANK(Display!R3),"",Display!R3)</f>
        <v>60.88101088101088</v>
      </c>
      <c r="R30" s="36"/>
      <c r="S30" s="33" t="s">
        <v>1</v>
      </c>
      <c r="T30" s="33" t="s">
        <v>2</v>
      </c>
      <c r="U30" s="33" t="s">
        <v>243</v>
      </c>
      <c r="V30" s="34" t="s">
        <v>244</v>
      </c>
      <c r="X30" s="36"/>
      <c r="Y30" s="21" t="s">
        <v>1</v>
      </c>
      <c r="Z30" s="33" t="s">
        <v>2</v>
      </c>
      <c r="AA30" s="33" t="s">
        <v>243</v>
      </c>
      <c r="AB30" s="34" t="s">
        <v>244</v>
      </c>
      <c r="AD30" s="36"/>
      <c r="AE30" s="33" t="s">
        <v>1</v>
      </c>
      <c r="AF30" s="33" t="s">
        <v>2</v>
      </c>
      <c r="AG30" s="33" t="s">
        <v>243</v>
      </c>
      <c r="AH30" s="34" t="s">
        <v>244</v>
      </c>
    </row>
    <row r="31" spans="1:34" ht="15" customHeight="1" thickBot="1" x14ac:dyDescent="0.35">
      <c r="A31" t="str">
        <f>IF(ISBLANK(Display!A6),"",Display!A6)</f>
        <v>Aydin Webb</v>
      </c>
      <c r="B31" s="2" t="str">
        <f>IF(ISBLANK(Display!B6),"",Display!B6)</f>
        <v>AM(C)</v>
      </c>
      <c r="C31" s="2">
        <f>IF(ISBLANK(Display!C6),"",Display!C6)</f>
        <v>16</v>
      </c>
      <c r="D31" s="2">
        <f>IF(ISBLANK(Display!D6),"",Display!D6)</f>
        <v>74</v>
      </c>
      <c r="E31" s="2">
        <f>IF(ISBLANK(Display!E6),"",Display!E6)</f>
        <v>135</v>
      </c>
      <c r="F31" s="14">
        <f>IF(ISBLANK(Display!J6),"",Display!J6)</f>
        <v>84.720956882968053</v>
      </c>
      <c r="G31" s="14">
        <f>IF(ISBLANK(Display!K6),"",Display!K6)</f>
        <v>87.941902494930815</v>
      </c>
      <c r="H31" s="14">
        <f>IF(ISBLANK(Display!L6),"",Display!L6)</f>
        <v>89.596177296316256</v>
      </c>
      <c r="I31" s="14">
        <f>IF(ISBLANK(Display!M6),"",Display!M6)</f>
        <v>88.100707570030039</v>
      </c>
      <c r="J31" s="14">
        <f>IF(ISBLANK(Display!N6),"",Display!N6)</f>
        <v>88.296531667384741</v>
      </c>
      <c r="K31" s="14">
        <f>IF(ISBLANK(Display!O6),"",Display!O6)</f>
        <v>85.92872441694432</v>
      </c>
      <c r="L31" s="14">
        <f>IF(ISBLANK(Display!P6),"",Display!P6)</f>
        <v>78.945741758241752</v>
      </c>
      <c r="M31" s="14">
        <f>IF(ISBLANK(Display!Q6),"",Display!Q6)</f>
        <v>84.124843554443061</v>
      </c>
      <c r="N31" s="14">
        <f>IF(ISBLANK(Display!R6),"",Display!R6)</f>
        <v>55.565110565110565</v>
      </c>
      <c r="R31" s="30" t="s">
        <v>19</v>
      </c>
      <c r="S31" s="22" t="str">
        <f>S17</f>
        <v>Ashley Sarahs</v>
      </c>
      <c r="T31" s="2">
        <f t="shared" ref="T31:T41" si="5">IFERROR(VLOOKUP($S31,$A$2:$O$499,3,FALSE),"")</f>
        <v>16</v>
      </c>
      <c r="U31" s="2" t="str">
        <f t="shared" ref="U31:U41" si="6">IFERROR(VLOOKUP($S31,$A$2:$O$499,4,FALSE)&amp;" / "&amp;VLOOKUP($S31,$A$2:$O$499,5,FALSE),"")</f>
        <v>75 / 146</v>
      </c>
      <c r="V31" s="24">
        <f>IFERROR(VLOOKUP(S31,$A$2:$O$499,14,FALSE),"")</f>
        <v>93.695156195156187</v>
      </c>
      <c r="X31" s="23" t="s">
        <v>19</v>
      </c>
      <c r="Y31" s="37" t="str">
        <f>$Y17</f>
        <v>Michael Shaw</v>
      </c>
      <c r="Z31" s="2">
        <f t="shared" ref="Z31:Z41" si="7">IFERROR(VLOOKUP($S31,$A$2:$O$499,3,FALSE),"")</f>
        <v>16</v>
      </c>
      <c r="AA31" s="2" t="str">
        <f t="shared" ref="AA31:AA41" si="8">IFERROR(VLOOKUP($S31,$A$2:$O$499,4,FALSE)&amp;" / "&amp;VLOOKUP($S31,$A$2:$O$499,5,FALSE),"")</f>
        <v>75 / 146</v>
      </c>
      <c r="AB31" s="24">
        <f>IFERROR(VLOOKUP(Y31,$A$2:$O$499,14,FALSE),"")</f>
        <v>82.739996489996486</v>
      </c>
      <c r="AD31" s="30" t="s">
        <v>19</v>
      </c>
      <c r="AE31" s="22" t="str">
        <f>$S17</f>
        <v>Ashley Sarahs</v>
      </c>
      <c r="AF31" s="2">
        <f t="shared" ref="AF31:AF41" si="9">IFERROR(VLOOKUP($S31,$A$2:$O$499,3,FALSE),"")</f>
        <v>16</v>
      </c>
      <c r="AG31" s="2" t="str">
        <f t="shared" ref="AG31:AG41" si="10">IFERROR(VLOOKUP($S31,$A$2:$O$499,4,FALSE)&amp;" / "&amp;VLOOKUP($S31,$A$2:$O$499,5,FALSE),"")</f>
        <v>75 / 146</v>
      </c>
      <c r="AH31" s="24">
        <f>IFERROR(VLOOKUP(AE31,$A$2:$O$499,14,FALSE),"")</f>
        <v>93.695156195156187</v>
      </c>
    </row>
    <row r="32" spans="1:34" ht="15" customHeight="1" thickBot="1" x14ac:dyDescent="0.35">
      <c r="A32" t="str">
        <f>IF(ISBLANK(Display!A18),"",Display!A18)</f>
        <v>Michael Shaw</v>
      </c>
      <c r="B32" s="2" t="str">
        <f>IF(ISBLANK(Display!B18),"",Display!B18)</f>
        <v>GK</v>
      </c>
      <c r="C32" s="2">
        <f>IF(ISBLANK(Display!C18),"",Display!C18)</f>
        <v>17</v>
      </c>
      <c r="D32" s="2">
        <f>IF(ISBLANK(Display!D18),"",Display!D18)</f>
        <v>48</v>
      </c>
      <c r="E32" s="2">
        <f>IF(ISBLANK(Display!E18),"",Display!E18)</f>
        <v>49</v>
      </c>
      <c r="F32" s="14">
        <f>IF(ISBLANK(Display!J18),"",Display!J18)</f>
        <v>64.2430883827532</v>
      </c>
      <c r="G32" s="14">
        <f>IF(ISBLANK(Display!K18),"",Display!K18)</f>
        <v>63.832907226189434</v>
      </c>
      <c r="H32" s="14">
        <f>IF(ISBLANK(Display!L18),"",Display!L18)</f>
        <v>63.845390352494114</v>
      </c>
      <c r="I32" s="14">
        <f>IF(ISBLANK(Display!M18),"",Display!M18)</f>
        <v>67.2469387095732</v>
      </c>
      <c r="J32" s="14">
        <f>IF(ISBLANK(Display!N18),"",Display!N18)</f>
        <v>67.530563334769496</v>
      </c>
      <c r="K32" s="14">
        <f>IF(ISBLANK(Display!O18),"",Display!O18)</f>
        <v>70.12479176582579</v>
      </c>
      <c r="L32" s="14">
        <f>IF(ISBLANK(Display!P18),"",Display!P18)</f>
        <v>67.094780219780219</v>
      </c>
      <c r="M32" s="14">
        <f>IF(ISBLANK(Display!Q18),"",Display!Q18)</f>
        <v>69.554130162703387</v>
      </c>
      <c r="N32" s="14">
        <f>IF(ISBLANK(Display!R18),"",Display!R18)</f>
        <v>82.739996489996486</v>
      </c>
      <c r="O32" s="2" t="s">
        <v>16</v>
      </c>
      <c r="R32" s="25" t="s">
        <v>18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78.338548185231531</v>
      </c>
      <c r="X32" s="31" t="s">
        <v>18</v>
      </c>
      <c r="Y32" s="22" t="str">
        <f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93.360763454317905</v>
      </c>
      <c r="AD32" s="31" t="s">
        <v>18</v>
      </c>
      <c r="AE32" s="22" t="str">
        <f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93.360763454317905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22</v>
      </c>
      <c r="D33" s="2">
        <f>IF(ISBLANK(Display!D13),"",Display!D13)</f>
        <v>75</v>
      </c>
      <c r="E33" s="2">
        <f>IF(ISBLANK(Display!E13),"",Display!E13)</f>
        <v>97</v>
      </c>
      <c r="F33" s="14">
        <f>IF(ISBLANK(Display!J13),"",Display!J13)</f>
        <v>67.739578856897282</v>
      </c>
      <c r="G33" s="14">
        <f>IF(ISBLANK(Display!K13),"",Display!K13)</f>
        <v>64.349231537805991</v>
      </c>
      <c r="H33" s="14">
        <f>IF(ISBLANK(Display!L13),"",Display!L13)</f>
        <v>65.795593114596031</v>
      </c>
      <c r="I33" s="14">
        <f>IF(ISBLANK(Display!M13),"",Display!M13)</f>
        <v>64.659623275499996</v>
      </c>
      <c r="J33" s="14">
        <f>IF(ISBLANK(Display!N13),"",Display!N13)</f>
        <v>75.136659844894439</v>
      </c>
      <c r="K33" s="14">
        <f>IF(ISBLANK(Display!O13),"",Display!O13)</f>
        <v>79.645853165159451</v>
      </c>
      <c r="L33" s="14">
        <f>IF(ISBLANK(Display!P13),"",Display!P13)</f>
        <v>85.848214285714292</v>
      </c>
      <c r="M33" s="14">
        <f>IF(ISBLANK(Display!Q13),"",Display!Q13)</f>
        <v>77.85607008760951</v>
      </c>
      <c r="N33" s="14">
        <f>IF(ISBLANK(Display!R13),"",Display!R13)</f>
        <v>55.510705510705513</v>
      </c>
      <c r="O33" s="2" t="s">
        <v>236</v>
      </c>
      <c r="R33" s="31" t="s">
        <v>17</v>
      </c>
      <c r="S33" s="22" t="str">
        <f>S19</f>
        <v>Asa Hall</v>
      </c>
      <c r="T33" s="2">
        <f t="shared" si="5"/>
        <v>39</v>
      </c>
      <c r="U33" s="2" t="str">
        <f t="shared" si="6"/>
        <v>52 / 107</v>
      </c>
      <c r="V33" s="24">
        <f>IFERROR(VLOOKUP(S33,$A$2:$O$499,12,FALSE),"")</f>
        <v>81.826923076923066</v>
      </c>
      <c r="X33" s="25" t="s">
        <v>17</v>
      </c>
      <c r="Y33" s="38" t="str">
        <f>$Y19</f>
        <v>Jayden Cumberbatch</v>
      </c>
      <c r="Z33" s="2">
        <f t="shared" si="7"/>
        <v>39</v>
      </c>
      <c r="AA33" s="2" t="str">
        <f t="shared" si="8"/>
        <v>52 / 107</v>
      </c>
      <c r="AB33" s="24">
        <f>IFERROR(VLOOKUP(Y33,$A$2:$O$499,12,FALSE),"")</f>
        <v>86.370192307692292</v>
      </c>
      <c r="AD33" s="31" t="s">
        <v>17</v>
      </c>
      <c r="AE33" s="22" t="str">
        <f>$S19</f>
        <v>Asa Hall</v>
      </c>
      <c r="AF33" s="2">
        <f t="shared" si="9"/>
        <v>39</v>
      </c>
      <c r="AG33" s="2" t="str">
        <f t="shared" si="10"/>
        <v>52 / 107</v>
      </c>
      <c r="AH33" s="24">
        <f>IFERROR(VLOOKUP(AE33,$A$2:$O$499,12,FALSE),"")</f>
        <v>81.826923076923066</v>
      </c>
    </row>
    <row r="34" spans="1:34" ht="15" customHeight="1" thickBot="1" x14ac:dyDescent="0.35">
      <c r="A34" t="str">
        <f>IF(ISBLANK(Display!A9),"",Display!A9)</f>
        <v>Ephraim Yeboah</v>
      </c>
      <c r="B34" s="2" t="str">
        <f>IF(ISBLANK(Display!B9),"",Display!B9)</f>
        <v>AM(R)</v>
      </c>
      <c r="C34" s="2">
        <f>IF(ISBLANK(Display!C9),"",Display!C9)</f>
        <v>20</v>
      </c>
      <c r="D34" s="2">
        <f>IF(ISBLANK(Display!D9),"",Display!D9)</f>
        <v>78</v>
      </c>
      <c r="E34" s="2">
        <f>IF(ISBLANK(Display!E9),"",Display!E9)</f>
        <v>89</v>
      </c>
      <c r="F34" s="14">
        <f>IF(ISBLANK(Display!J9),"",Display!J9)</f>
        <v>79.141956739722104</v>
      </c>
      <c r="G34" s="14">
        <f>IF(ISBLANK(Display!K9),"",Display!K9)</f>
        <v>80.267125099180106</v>
      </c>
      <c r="H34" s="14">
        <f>IF(ISBLANK(Display!L9),"",Display!L9)</f>
        <v>79.827014150809632</v>
      </c>
      <c r="I34" s="14">
        <f>IF(ISBLANK(Display!M9),"",Display!M9)</f>
        <v>80.977028205873793</v>
      </c>
      <c r="J34" s="14">
        <f>IF(ISBLANK(Display!N9),"",Display!N9)</f>
        <v>76.202068074105981</v>
      </c>
      <c r="K34" s="14">
        <f>IF(ISBLANK(Display!O9),"",Display!O9)</f>
        <v>73.938600666349359</v>
      </c>
      <c r="L34" s="14">
        <f>IF(ISBLANK(Display!P9),"",Display!P9)</f>
        <v>68.746565934065927</v>
      </c>
      <c r="M34" s="14">
        <f>IF(ISBLANK(Display!Q9),"",Display!Q9)</f>
        <v>73.559136420525647</v>
      </c>
      <c r="N34" s="14">
        <f>IF(ISBLANK(Display!R9),"",Display!R9)</f>
        <v>51.473323973323971</v>
      </c>
      <c r="O34" s="2" t="s">
        <v>16</v>
      </c>
      <c r="R34" s="31" t="s">
        <v>17</v>
      </c>
      <c r="S34" s="22" t="str">
        <f>S20</f>
        <v>Jada Mawongo</v>
      </c>
      <c r="T34" s="2">
        <f t="shared" si="5"/>
        <v>22</v>
      </c>
      <c r="U34" s="2" t="str">
        <f t="shared" si="6"/>
        <v>75 / 97</v>
      </c>
      <c r="V34" s="24">
        <f>IFERROR(VLOOKUP(S34,$A$2:$O$499,12,FALSE),"")</f>
        <v>85.848214285714292</v>
      </c>
      <c r="X34" s="25" t="s">
        <v>17</v>
      </c>
      <c r="Y34" s="39" t="str">
        <f>$Y20</f>
        <v>Maxwell Redman</v>
      </c>
      <c r="Z34" s="2">
        <f t="shared" si="7"/>
        <v>22</v>
      </c>
      <c r="AA34" s="2" t="str">
        <f t="shared" si="8"/>
        <v>75 / 97</v>
      </c>
      <c r="AB34" s="24">
        <f>IFERROR(VLOOKUP(Y34,$A$2:$O$499,12,FALSE),"")</f>
        <v>84.532967032967036</v>
      </c>
      <c r="AD34" s="31" t="s">
        <v>17</v>
      </c>
      <c r="AE34" s="22" t="str">
        <f>$S20</f>
        <v>Jada Mawongo</v>
      </c>
      <c r="AF34" s="2">
        <f t="shared" si="9"/>
        <v>22</v>
      </c>
      <c r="AG34" s="2" t="str">
        <f t="shared" si="10"/>
        <v>75 / 97</v>
      </c>
      <c r="AH34" s="24">
        <f>IFERROR(VLOOKUP(AE34,$A$2:$O$499,12,FALSE),"")</f>
        <v>85.848214285714292</v>
      </c>
    </row>
    <row r="35" spans="1:34" ht="15" customHeight="1" thickBot="1" x14ac:dyDescent="0.35">
      <c r="A35" t="str">
        <f>IF(ISBLANK(Display!A17),"",Display!A17)</f>
        <v>Mateusz Widz</v>
      </c>
      <c r="B35" s="2" t="str">
        <f>IF(ISBLANK(Display!B17),"",Display!B17)</f>
        <v>AM(R)</v>
      </c>
      <c r="C35" s="2">
        <f>IF(ISBLANK(Display!C17),"",Display!C17)</f>
        <v>16</v>
      </c>
      <c r="D35" s="2">
        <f>IF(ISBLANK(Display!D17),"",Display!D17)</f>
        <v>71</v>
      </c>
      <c r="E35" s="2">
        <f>IF(ISBLANK(Display!E17),"",Display!E17)</f>
        <v>139</v>
      </c>
      <c r="F35" s="14">
        <f>IF(ISBLANK(Display!J17),"",Display!J17)</f>
        <v>88.514969202120028</v>
      </c>
      <c r="G35" s="14">
        <f>IF(ISBLANK(Display!K17),"",Display!K17)</f>
        <v>88.710217755443892</v>
      </c>
      <c r="H35" s="14">
        <f>IF(ISBLANK(Display!L17),"",Display!L17)</f>
        <v>87.818960383404701</v>
      </c>
      <c r="I35" s="14">
        <f>IF(ISBLANK(Display!M17),"",Display!M17)</f>
        <v>90.653775322283607</v>
      </c>
      <c r="J35" s="14">
        <f>IF(ISBLANK(Display!N17),"",Display!N17)</f>
        <v>83.04273481258079</v>
      </c>
      <c r="K35" s="14">
        <f>IF(ISBLANK(Display!O17),"",Display!O17)</f>
        <v>81.171317229890519</v>
      </c>
      <c r="L35" s="14">
        <f>IF(ISBLANK(Display!P17),"",Display!P17)</f>
        <v>78.853021978021971</v>
      </c>
      <c r="M35" s="14">
        <f>IF(ISBLANK(Display!Q17),"",Display!Q17)</f>
        <v>82.091677096370461</v>
      </c>
      <c r="N35" s="14">
        <f>IF(ISBLANK(Display!R17),"",Display!R17)</f>
        <v>53.729817479817477</v>
      </c>
      <c r="O35" s="2" t="s">
        <v>14</v>
      </c>
      <c r="R35" s="25" t="s">
        <v>16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79.756570713391739</v>
      </c>
      <c r="X35" s="31" t="s">
        <v>16</v>
      </c>
      <c r="Y35" s="22" t="str">
        <f t="shared" ref="Y35:Y40" si="11">$S21</f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16</v>
      </c>
      <c r="AE35" s="22" t="str">
        <f>$S21</f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83</v>
      </c>
      <c r="E36" s="2">
        <f>IF(ISBLANK(Display!E12),"",Display!E12)</f>
        <v>100</v>
      </c>
      <c r="F36" s="14">
        <f>IF(ISBLANK(Display!J12),"",Display!J12)</f>
        <v>90.856324308838268</v>
      </c>
      <c r="G36" s="14">
        <f>IF(ISBLANK(Display!K12),"",Display!K12)</f>
        <v>91.022510211878114</v>
      </c>
      <c r="H36" s="14">
        <f>IF(ISBLANK(Display!L12),"",Display!L12)</f>
        <v>91.097042225562205</v>
      </c>
      <c r="I36" s="14">
        <f>IF(ISBLANK(Display!M12),"",Display!M12)</f>
        <v>92.285871215792696</v>
      </c>
      <c r="J36" s="14">
        <f>IF(ISBLANK(Display!N12),"",Display!N12)</f>
        <v>93.37718117190866</v>
      </c>
      <c r="K36" s="14">
        <f>IF(ISBLANK(Display!O12),"",Display!O12)</f>
        <v>94.351350547358393</v>
      </c>
      <c r="L36" s="14">
        <f>IF(ISBLANK(Display!P12),"",Display!P12)</f>
        <v>94.368131868131854</v>
      </c>
      <c r="M36" s="14">
        <f>IF(ISBLANK(Display!Q12),"",Display!Q12)</f>
        <v>94.927096370463062</v>
      </c>
      <c r="N36" s="14">
        <f>IF(ISBLANK(Display!R12),"",Display!R12)</f>
        <v>58.760968760968751</v>
      </c>
      <c r="O36" s="2" t="s">
        <v>12</v>
      </c>
      <c r="R36" s="31" t="s">
        <v>235</v>
      </c>
      <c r="S36" s="22" t="str">
        <f>S22</f>
        <v>Aydin Webb</v>
      </c>
      <c r="T36" s="2">
        <f t="shared" si="5"/>
        <v>16</v>
      </c>
      <c r="U36" s="2" t="str">
        <f t="shared" si="6"/>
        <v>74 / 135</v>
      </c>
      <c r="V36" s="24">
        <f>IFERROR(VLOOKUP(S36,$A$2:$O$499,10,FALSE),"")</f>
        <v>88.296531667384741</v>
      </c>
      <c r="X36" s="31" t="s">
        <v>235</v>
      </c>
      <c r="Y36" s="22" t="str">
        <f t="shared" si="11"/>
        <v>Aydin Webb</v>
      </c>
      <c r="Z36" s="2">
        <f t="shared" si="7"/>
        <v>16</v>
      </c>
      <c r="AA36" s="2" t="str">
        <f t="shared" si="8"/>
        <v>74 / 135</v>
      </c>
      <c r="AB36" s="24">
        <f>IFERROR(VLOOKUP(Y36,$A$2:$O$499,10,FALSE),"")</f>
        <v>88.296531667384741</v>
      </c>
      <c r="AD36" s="25" t="s">
        <v>235</v>
      </c>
      <c r="AE36" s="38" t="str">
        <f>$Y22</f>
        <v>Connor Underhill</v>
      </c>
      <c r="AF36" s="2">
        <f t="shared" si="9"/>
        <v>16</v>
      </c>
      <c r="AG36" s="2" t="str">
        <f t="shared" si="10"/>
        <v>74 / 135</v>
      </c>
      <c r="AH36" s="24">
        <f>IFERROR(VLOOKUP(AE36,$A$2:$O$499,10,FALSE),"")</f>
        <v>75.867083153813013</v>
      </c>
    </row>
    <row r="37" spans="1:34" ht="15" customHeight="1" thickBot="1" x14ac:dyDescent="0.35">
      <c r="A37" t="str">
        <f>IF(ISBLANK(Display!A21),"",Display!A21)</f>
        <v>Robbie Gallagher</v>
      </c>
      <c r="B37" s="2" t="str">
        <f>IF(ISBLANK(Display!B21),"",Display!B21)</f>
        <v>Striker</v>
      </c>
      <c r="C37" s="2">
        <f>IF(ISBLANK(Display!C21),"",Display!C21)</f>
        <v>20</v>
      </c>
      <c r="D37" s="2">
        <f>IF(ISBLANK(Display!D21),"",Display!D21)</f>
        <v>68</v>
      </c>
      <c r="E37" s="2">
        <f>IF(ISBLANK(Display!E21),"",Display!E21)</f>
        <v>109</v>
      </c>
      <c r="F37" s="14">
        <f>IF(ISBLANK(Display!J21),"",Display!J21)</f>
        <v>79.552929379745024</v>
      </c>
      <c r="G37" s="14">
        <f>IF(ISBLANK(Display!K21),"",Display!K21)</f>
        <v>78.352581621558087</v>
      </c>
      <c r="H37" s="14">
        <f>IF(ISBLANK(Display!L21),"",Display!L21)</f>
        <v>76.153900689107559</v>
      </c>
      <c r="I37" s="14">
        <f>IF(ISBLANK(Display!M21),"",Display!M21)</f>
        <v>76.851151820619691</v>
      </c>
      <c r="J37" s="14">
        <f>IF(ISBLANK(Display!N21),"",Display!N21)</f>
        <v>72.525447005601038</v>
      </c>
      <c r="K37" s="14">
        <f>IF(ISBLANK(Display!O21),"",Display!O21)</f>
        <v>72.145555687767725</v>
      </c>
      <c r="L37" s="14">
        <f>IF(ISBLANK(Display!P21),"",Display!P21)</f>
        <v>75.288461538461533</v>
      </c>
      <c r="M37" s="14">
        <f>IF(ISBLANK(Display!Q21),"",Display!Q21)</f>
        <v>72.12015018773468</v>
      </c>
      <c r="N37" s="14">
        <f>IF(ISBLANK(Display!R21),"",Display!R21)</f>
        <v>47.560547560547555</v>
      </c>
      <c r="O37" s="2" t="s">
        <v>236</v>
      </c>
      <c r="R37" s="31" t="s">
        <v>236</v>
      </c>
      <c r="S37" s="22" t="str">
        <f>S23</f>
        <v>Andrey Quintino</v>
      </c>
      <c r="T37" s="2">
        <f t="shared" si="5"/>
        <v>24</v>
      </c>
      <c r="U37" s="2" t="str">
        <f t="shared" si="6"/>
        <v>84 / 93</v>
      </c>
      <c r="V37" s="24">
        <f>IFERROR(VLOOKUP(S37,$A$2:$O$499,11,FALSE),"")</f>
        <v>89.320412898619708</v>
      </c>
      <c r="X37" s="31" t="s">
        <v>236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84 / 93</v>
      </c>
      <c r="AB37" s="24">
        <f>IFERROR(VLOOKUP(Y37,$A$2:$O$499,11,FALSE),"")</f>
        <v>89.320412898619708</v>
      </c>
      <c r="AD37" s="25" t="s">
        <v>236</v>
      </c>
      <c r="AE37" s="39" t="str">
        <f>$Y23</f>
        <v>Joshua Adepoju</v>
      </c>
      <c r="AF37" s="2">
        <f t="shared" si="9"/>
        <v>24</v>
      </c>
      <c r="AG37" s="2" t="str">
        <f t="shared" si="10"/>
        <v>84 / 93</v>
      </c>
      <c r="AH37" s="24">
        <f>IFERROR(VLOOKUP(AE37,$A$2:$O$499,11,FALSE),"")</f>
        <v>71.790218943360301</v>
      </c>
    </row>
    <row r="38" spans="1:34" ht="15" customHeight="1" thickBot="1" x14ac:dyDescent="0.35">
      <c r="A38" t="str">
        <f>IF(ISBLANK(Display!A4),"",Display!A4)</f>
        <v>Asa Hall</v>
      </c>
      <c r="B38" s="2" t="str">
        <f>IF(ISBLANK(Display!B4),"",Display!B4)</f>
        <v>D(C)</v>
      </c>
      <c r="C38" s="2">
        <f>IF(ISBLANK(Display!C4),"",Display!C4)</f>
        <v>39</v>
      </c>
      <c r="D38" s="2">
        <f>IF(ISBLANK(Display!D4),"",Display!D4)</f>
        <v>52</v>
      </c>
      <c r="E38" s="2">
        <f>IF(ISBLANK(Display!E4),"",Display!E4)</f>
        <v>107</v>
      </c>
      <c r="F38" s="14">
        <f>IF(ISBLANK(Display!J4),"",Display!J4)</f>
        <v>74.747457384328897</v>
      </c>
      <c r="G38" s="14">
        <f>IF(ISBLANK(Display!K4),"",Display!K4)</f>
        <v>70.105645184989271</v>
      </c>
      <c r="H38" s="14">
        <f>IF(ISBLANK(Display!L4),"",Display!L4)</f>
        <v>70.855996370132999</v>
      </c>
      <c r="I38" s="14">
        <f>IF(ISBLANK(Display!M4),"",Display!M4)</f>
        <v>69.601466834674156</v>
      </c>
      <c r="J38" s="14">
        <f>IF(ISBLANK(Display!N4),"",Display!N4)</f>
        <v>75.371876346402416</v>
      </c>
      <c r="K38" s="14">
        <f>IF(ISBLANK(Display!O4),"",Display!O4)</f>
        <v>76.152129938124702</v>
      </c>
      <c r="L38" s="14">
        <f>IF(ISBLANK(Display!P4),"",Display!P4)</f>
        <v>81.826923076923066</v>
      </c>
      <c r="M38" s="14">
        <f>IF(ISBLANK(Display!Q4),"",Display!Q4)</f>
        <v>75.833229036295378</v>
      </c>
      <c r="N38" s="14">
        <f>IF(ISBLANK(Display!R4),"",Display!R4)</f>
        <v>54.454633204633197</v>
      </c>
      <c r="O38" s="2" t="s">
        <v>14</v>
      </c>
      <c r="R38" s="25" t="s">
        <v>14</v>
      </c>
      <c r="S38" s="37" t="str">
        <f>Y24</f>
        <v>Mateusz Widz</v>
      </c>
      <c r="T38" s="2">
        <f t="shared" si="5"/>
        <v>16</v>
      </c>
      <c r="U38" s="2" t="str">
        <f t="shared" si="6"/>
        <v>71 / 139</v>
      </c>
      <c r="V38" s="24">
        <f>IFERROR(VLOOKUP(S38,$A$2:$O$499,9,FALSE),"")</f>
        <v>90.653775322283607</v>
      </c>
      <c r="X38" s="31" t="s">
        <v>14</v>
      </c>
      <c r="Y38" s="22" t="str">
        <f t="shared" si="11"/>
        <v>Paul Stroud</v>
      </c>
      <c r="Z38" s="2">
        <f t="shared" si="7"/>
        <v>16</v>
      </c>
      <c r="AA38" s="2" t="str">
        <f t="shared" si="8"/>
        <v>71 / 139</v>
      </c>
      <c r="AB38" s="24">
        <f>IFERROR(VLOOKUP(Y38,$A$2:$O$499,9,FALSE),"")</f>
        <v>91.196730315660233</v>
      </c>
      <c r="AD38" s="31" t="s">
        <v>14</v>
      </c>
      <c r="AE38" s="22" t="str">
        <f>$S24</f>
        <v>Paul Stroud</v>
      </c>
      <c r="AF38" s="2">
        <f t="shared" si="9"/>
        <v>16</v>
      </c>
      <c r="AG38" s="2" t="str">
        <f t="shared" si="10"/>
        <v>71 / 139</v>
      </c>
      <c r="AH38" s="24">
        <f>IFERROR(VLOOKUP(AE38,$A$2:$O$499,9,FALSE),"")</f>
        <v>91.196730315660233</v>
      </c>
    </row>
    <row r="39" spans="1:34" ht="15" customHeight="1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60</v>
      </c>
      <c r="E39" s="2">
        <f>IF(ISBLANK(Display!E15),"",Display!E15)</f>
        <v>93</v>
      </c>
      <c r="F39" s="14">
        <f>IF(ISBLANK(Display!J15),"",Display!J15)</f>
        <v>64.22933677123622</v>
      </c>
      <c r="G39" s="14">
        <f>IF(ISBLANK(Display!K15),"",Display!K15)</f>
        <v>60.367627611742932</v>
      </c>
      <c r="H39" s="14">
        <f>IF(ISBLANK(Display!L15),"",Display!L15)</f>
        <v>61.357371749425752</v>
      </c>
      <c r="I39" s="14">
        <f>IF(ISBLANK(Display!M15),"",Display!M15)</f>
        <v>60.673160802558883</v>
      </c>
      <c r="J39" s="14">
        <f>IF(ISBLANK(Display!N15),"",Display!N15)</f>
        <v>68.249811503662215</v>
      </c>
      <c r="K39" s="14">
        <f>IF(ISBLANK(Display!O15),"",Display!O15)</f>
        <v>70.611167301285107</v>
      </c>
      <c r="L39" s="14">
        <f>IF(ISBLANK(Display!P15),"",Display!P15)</f>
        <v>75.508241758241752</v>
      </c>
      <c r="M39" s="14">
        <f>IF(ISBLANK(Display!Q15),"",Display!Q15)</f>
        <v>70.367647058823536</v>
      </c>
      <c r="N39" s="14">
        <f>IF(ISBLANK(Display!R15),"",Display!R15)</f>
        <v>55.916110916110917</v>
      </c>
      <c r="O39" s="2" t="s">
        <v>17</v>
      </c>
      <c r="R39" s="31" t="s">
        <v>13</v>
      </c>
      <c r="S39" s="22" t="str">
        <f>S25</f>
        <v>Marc Mitchell</v>
      </c>
      <c r="T39" s="2">
        <f t="shared" si="5"/>
        <v>16</v>
      </c>
      <c r="U39" s="2" t="str">
        <f t="shared" si="6"/>
        <v>90 / 158</v>
      </c>
      <c r="V39" s="24">
        <f>IFERROR(VLOOKUP(S39,$A$2:$O$499,8,FALSE),"")</f>
        <v>95.815160366389705</v>
      </c>
      <c r="X39" s="31" t="s">
        <v>13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90 / 158</v>
      </c>
      <c r="AB39" s="24">
        <f>IFERROR(VLOOKUP(Y39,$A$2:$O$499,8,FALSE),"")</f>
        <v>95.815160366389705</v>
      </c>
      <c r="AD39" s="25" t="s">
        <v>13</v>
      </c>
      <c r="AE39" s="37" t="str">
        <f>$Y25</f>
        <v>Allan Hall</v>
      </c>
      <c r="AF39" s="2">
        <f t="shared" si="9"/>
        <v>16</v>
      </c>
      <c r="AG39" s="2" t="str">
        <f t="shared" si="10"/>
        <v>90 / 158</v>
      </c>
      <c r="AH39" s="24">
        <f>IFERROR(VLOOKUP(AE39,$A$2:$O$499,8,FALSE),"")</f>
        <v>81.289453534866567</v>
      </c>
    </row>
    <row r="40" spans="1:34" ht="15" customHeight="1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17</v>
      </c>
      <c r="D40" s="2">
        <f>IF(ISBLANK(Display!D2),"",Display!D2)</f>
        <v>93</v>
      </c>
      <c r="E40" s="2">
        <f>IF(ISBLANK(Display!E2),"",Display!E2)</f>
        <v>177</v>
      </c>
      <c r="F40" s="14">
        <f>IF(ISBLANK(Display!J2),"",Display!J2)</f>
        <v>96.051998281048554</v>
      </c>
      <c r="G40" s="14">
        <f>IF(ISBLANK(Display!K2),"",Display!K2)</f>
        <v>96.565282553116447</v>
      </c>
      <c r="H40" s="14">
        <f>IF(ISBLANK(Display!L2),"",Display!L2)</f>
        <v>97.998610441539284</v>
      </c>
      <c r="I40" s="14">
        <f>IF(ISBLANK(Display!M2),"",Display!M2)</f>
        <v>95.663952699428137</v>
      </c>
      <c r="J40" s="14">
        <f>IF(ISBLANK(Display!N2),"",Display!N2)</f>
        <v>93.683218440327465</v>
      </c>
      <c r="K40" s="14">
        <f>IF(ISBLANK(Display!O2),"",Display!O2)</f>
        <v>90.068419800095185</v>
      </c>
      <c r="L40" s="14">
        <f>IF(ISBLANK(Display!P2),"",Display!P2)</f>
        <v>86.998626373626394</v>
      </c>
      <c r="M40" s="14">
        <f>IF(ISBLANK(Display!Q2),"",Display!Q2)</f>
        <v>88.421777221526909</v>
      </c>
      <c r="N40" s="14">
        <f>IF(ISBLANK(Display!R2),"",Display!R2)</f>
        <v>60.674359424359423</v>
      </c>
      <c r="O40" s="2" t="s">
        <v>14</v>
      </c>
      <c r="R40" s="25" t="s">
        <v>12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80.896735137676671</v>
      </c>
      <c r="X40" s="31" t="s">
        <v>12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12</v>
      </c>
      <c r="AE40" s="22" t="str">
        <f>$S26</f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customHeight="1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82</v>
      </c>
      <c r="E41" s="2">
        <f>IF(ISBLANK(Display!E11),"",Display!E11)</f>
        <v>158</v>
      </c>
      <c r="F41" s="14">
        <f>IF(ISBLANK(Display!J11),"",Display!J11)</f>
        <v>82.993840424008027</v>
      </c>
      <c r="G41" s="14">
        <f>IF(ISBLANK(Display!K11),"",Display!K11)</f>
        <v>89.128537423961916</v>
      </c>
      <c r="H41" s="14">
        <f>IF(ISBLANK(Display!L11),"",Display!L11)</f>
        <v>89.772424354138877</v>
      </c>
      <c r="I41" s="14">
        <f>IF(ISBLANK(Display!M11),"",Display!M11)</f>
        <v>91.151497528351257</v>
      </c>
      <c r="J41" s="14">
        <f>IF(ISBLANK(Display!N11),"",Display!N11)</f>
        <v>90.682087462300728</v>
      </c>
      <c r="K41" s="14">
        <f>IF(ISBLANK(Display!O11),"",Display!O11)</f>
        <v>90.293015230842457</v>
      </c>
      <c r="L41" s="14">
        <f>IF(ISBLANK(Display!P11),"",Display!P11)</f>
        <v>89.742445054945051</v>
      </c>
      <c r="M41" s="14">
        <f>IF(ISBLANK(Display!Q11),"",Display!Q11)</f>
        <v>93.360763454317905</v>
      </c>
      <c r="N41" s="14">
        <f>IF(ISBLANK(Display!R11),"",Display!R11)</f>
        <v>58.495963495963494</v>
      </c>
      <c r="O41" s="2" t="s">
        <v>12</v>
      </c>
      <c r="R41" s="32" t="s">
        <v>238</v>
      </c>
      <c r="S41" s="27" t="str">
        <f>S27</f>
        <v>Alan Hackney</v>
      </c>
      <c r="T41" s="28">
        <f t="shared" si="5"/>
        <v>17</v>
      </c>
      <c r="U41" s="28" t="str">
        <f t="shared" si="6"/>
        <v>93 / 177</v>
      </c>
      <c r="V41" s="29">
        <f>IFERROR(VLOOKUP(S41,$A$2:$O$499,6,FALSE),"")</f>
        <v>96.051998281048554</v>
      </c>
      <c r="X41" s="26" t="s">
        <v>238</v>
      </c>
      <c r="Y41" s="37" t="str">
        <f>$Y27</f>
        <v>Daniel Willard</v>
      </c>
      <c r="Z41" s="28">
        <f t="shared" si="7"/>
        <v>17</v>
      </c>
      <c r="AA41" s="28" t="str">
        <f t="shared" si="8"/>
        <v>93 / 177</v>
      </c>
      <c r="AB41" s="29">
        <f>IFERROR(VLOOKUP(Y41,$A$2:$O$499,6,FALSE),"")</f>
        <v>80.386334336055</v>
      </c>
      <c r="AD41" s="32" t="s">
        <v>238</v>
      </c>
      <c r="AE41" s="27" t="str">
        <f>$S27</f>
        <v>Alan Hackney</v>
      </c>
      <c r="AF41" s="28">
        <f t="shared" si="9"/>
        <v>17</v>
      </c>
      <c r="AG41" s="28" t="str">
        <f t="shared" si="10"/>
        <v>93 / 177</v>
      </c>
      <c r="AH41" s="29">
        <f>IFERROR(VLOOKUP(AE41,$A$2:$O$499,6,FALSE),"")</f>
        <v>96.051998281048554</v>
      </c>
    </row>
    <row r="42" spans="1:34" x14ac:dyDescent="0.3">
      <c r="A42" t="str">
        <f>IF(ISBLANK(Display!A42),"",Display!A42)</f>
        <v>Sam Joce</v>
      </c>
      <c r="B42" s="2" t="str">
        <f>IF(ISBLANK(Display!B42),"",Display!B42)</f>
        <v>D(C)</v>
      </c>
      <c r="C42" s="2">
        <f>IF(ISBLANK(Display!C42),"",Display!C42)</f>
        <v>20</v>
      </c>
      <c r="D42" s="2">
        <f>IF(ISBLANK(Display!D42),"",Display!D42)</f>
        <v>40</v>
      </c>
      <c r="E42" s="2">
        <f>IF(ISBLANK(Display!E42),"",Display!E42)</f>
        <v>58</v>
      </c>
      <c r="F42" s="14">
        <f>IF(ISBLANK(Display!J42),"",Display!J42)</f>
        <v>56.842859189227902</v>
      </c>
      <c r="G42" s="14">
        <f>IF(ISBLANK(Display!K42),"",Display!K42)</f>
        <v>53.284257545035118</v>
      </c>
      <c r="H42" s="14">
        <f>IF(ISBLANK(Display!L42),"",Display!L42)</f>
        <v>53.155290247568274</v>
      </c>
      <c r="I42" s="14">
        <f>IF(ISBLANK(Display!M42),"",Display!M42)</f>
        <v>54.099382895544572</v>
      </c>
      <c r="J42" s="14">
        <f>IF(ISBLANK(Display!N42),"",Display!N42)</f>
        <v>56.937338431710472</v>
      </c>
      <c r="K42" s="14">
        <f>IF(ISBLANK(Display!O42),"",Display!O42)</f>
        <v>60.898530461684913</v>
      </c>
      <c r="L42" s="14">
        <f>IF(ISBLANK(Display!P42),"",Display!P42)</f>
        <v>72.791895604395606</v>
      </c>
      <c r="M42" s="14">
        <f>IF(ISBLANK(Display!Q42),"",Display!Q42)</f>
        <v>62.760951188986233</v>
      </c>
      <c r="N42" s="14">
        <f>IF(ISBLANK(Display!R42),"",Display!R42)</f>
        <v>47.295542295542305</v>
      </c>
    </row>
    <row r="43" spans="1:34" x14ac:dyDescent="0.3">
      <c r="A43" t="str">
        <f>IF(ISBLANK(Display!A43),"",Display!A43)</f>
        <v>Sonny Parkes</v>
      </c>
      <c r="B43" s="2" t="str">
        <f>IF(ISBLANK(Display!B43),"",Display!B43)</f>
        <v>AM(R)</v>
      </c>
      <c r="C43" s="2">
        <f>IF(ISBLANK(Display!C43),"",Display!C43)</f>
        <v>19</v>
      </c>
      <c r="D43" s="2">
        <f>IF(ISBLANK(Display!D43),"",Display!D43)</f>
        <v>49</v>
      </c>
      <c r="E43" s="2">
        <f>IF(ISBLANK(Display!E43),"",Display!E43)</f>
        <v>71</v>
      </c>
      <c r="F43" s="14">
        <f>IF(ISBLANK(Display!J43),"",Display!J43)</f>
        <v>73.540610227761064</v>
      </c>
      <c r="G43" s="14">
        <f>IF(ISBLANK(Display!K43),"",Display!K43)</f>
        <v>78.849804578447788</v>
      </c>
      <c r="H43" s="14">
        <f>IF(ISBLANK(Display!L43),"",Display!L43)</f>
        <v>79.210929302668518</v>
      </c>
      <c r="I43" s="14">
        <f>IF(ISBLANK(Display!M43),"",Display!M43)</f>
        <v>83.956414978514431</v>
      </c>
      <c r="J43" s="14">
        <f>IF(ISBLANK(Display!N43),"",Display!N43)</f>
        <v>77.366032959931061</v>
      </c>
      <c r="K43" s="14">
        <f>IF(ISBLANK(Display!O43),"",Display!O43)</f>
        <v>77.107478581627788</v>
      </c>
      <c r="L43" s="14">
        <f>IF(ISBLANK(Display!P43),"",Display!P43)</f>
        <v>71.260302197802204</v>
      </c>
      <c r="M43" s="14">
        <f>IF(ISBLANK(Display!Q43),"",Display!Q43)</f>
        <v>81.383291614518143</v>
      </c>
      <c r="N43" s="14">
        <f>IF(ISBLANK(Display!R43),"",Display!R43)</f>
        <v>51.925236925236923</v>
      </c>
    </row>
    <row r="44" spans="1:34" x14ac:dyDescent="0.3">
      <c r="A44" t="str">
        <f>IF(ISBLANK(Display!A44),"",Display!A44)</f>
        <v>Tommy Taggert</v>
      </c>
      <c r="B44" s="2" t="str">
        <f>IF(ISBLANK(Display!B44),"",Display!B44)</f>
        <v>D(C)</v>
      </c>
      <c r="C44" s="2">
        <f>IF(ISBLANK(Display!C44),"",Display!C44)</f>
        <v>20</v>
      </c>
      <c r="D44" s="2">
        <f>IF(ISBLANK(Display!D44),"",Display!D44)</f>
        <v>33</v>
      </c>
      <c r="E44" s="2">
        <f>IF(ISBLANK(Display!E44),"",Display!E44)</f>
        <v>74</v>
      </c>
      <c r="F44" s="14">
        <f>IF(ISBLANK(Display!J44),"",Display!J44)</f>
        <v>61.006016330038676</v>
      </c>
      <c r="G44" s="14">
        <f>IF(ISBLANK(Display!K44),"",Display!K44)</f>
        <v>61.781862529019364</v>
      </c>
      <c r="H44" s="14">
        <f>IF(ISBLANK(Display!L44),"",Display!L44)</f>
        <v>62.008620934123584</v>
      </c>
      <c r="I44" s="14">
        <f>IF(ISBLANK(Display!M44),"",Display!M44)</f>
        <v>65.109689509224253</v>
      </c>
      <c r="J44" s="14">
        <f>IF(ISBLANK(Display!N44),"",Display!N44)</f>
        <v>61.746957130547173</v>
      </c>
      <c r="K44" s="14">
        <f>IF(ISBLANK(Display!O44),"",Display!O44)</f>
        <v>63.4000178486435</v>
      </c>
      <c r="L44" s="14">
        <f>IF(ISBLANK(Display!P44),"",Display!P44)</f>
        <v>66.96085164835165</v>
      </c>
      <c r="M44" s="14">
        <f>IF(ISBLANK(Display!Q44),"",Display!Q44)</f>
        <v>65.546307884856077</v>
      </c>
      <c r="N44" s="14">
        <f>IF(ISBLANK(Display!R44),"",Display!R44)</f>
        <v>45.569059319059321</v>
      </c>
    </row>
    <row r="45" spans="1:34" x14ac:dyDescent="0.3">
      <c r="A45" t="str">
        <f>IF(ISBLANK(Display!A45),"",Display!A45)</f>
        <v>Allan Hall</v>
      </c>
      <c r="B45" s="2" t="str">
        <f>IF(ISBLANK(Display!B45),"",Display!B45)</f>
        <v>AM(R)</v>
      </c>
      <c r="C45" s="2">
        <f>IF(ISBLANK(Display!C45),"",Display!C45)</f>
        <v>16</v>
      </c>
      <c r="D45" s="2">
        <f>IF(ISBLANK(Display!D45),"",Display!D45)</f>
        <v>71</v>
      </c>
      <c r="E45" s="2">
        <f>IF(ISBLANK(Display!E45),"",Display!E45)</f>
        <v>146</v>
      </c>
      <c r="F45" s="14">
        <f>IF(ISBLANK(Display!J45),"",Display!J45)</f>
        <v>74.567970204841714</v>
      </c>
      <c r="G45" s="14">
        <f>IF(ISBLANK(Display!K45),"",Display!K45)</f>
        <v>80.862499632666257</v>
      </c>
      <c r="H45" s="14">
        <f>IF(ISBLANK(Display!L45),"",Display!L45)</f>
        <v>81.289453534866567</v>
      </c>
      <c r="I45" s="14">
        <f>IF(ISBLANK(Display!M45),"",Display!M45)</f>
        <v>82.13030273658363</v>
      </c>
      <c r="J45" s="14">
        <f>IF(ISBLANK(Display!N45),"",Display!N45)</f>
        <v>75.174224472210255</v>
      </c>
      <c r="K45" s="14">
        <f>IF(ISBLANK(Display!O45),"",Display!O45)</f>
        <v>72.947108519752504</v>
      </c>
      <c r="L45" s="14">
        <f>IF(ISBLANK(Display!P45),"",Display!P45)</f>
        <v>67.256181318681314</v>
      </c>
      <c r="M45" s="14">
        <f>IF(ISBLANK(Display!Q45),"",Display!Q45)</f>
        <v>73.464017521902377</v>
      </c>
      <c r="N45" s="14">
        <f>IF(ISBLANK(Display!R45),"",Display!R45)</f>
        <v>50.545805545805543</v>
      </c>
    </row>
    <row r="46" spans="1:34" x14ac:dyDescent="0.3">
      <c r="A46" t="str">
        <f>IF(ISBLANK(Display!A46),"",Display!A46)</f>
        <v>Ashley Nicholls</v>
      </c>
      <c r="B46" s="2" t="str">
        <f>IF(ISBLANK(Display!B46),"",Display!B46)</f>
        <v>Striker</v>
      </c>
      <c r="C46" s="2">
        <f>IF(ISBLANK(Display!C46),"",Display!C46)</f>
        <v>16</v>
      </c>
      <c r="D46" s="2">
        <f>IF(ISBLANK(Display!D46),"",Display!D46)</f>
        <v>15</v>
      </c>
      <c r="E46" s="2">
        <f>IF(ISBLANK(Display!E46),"",Display!E46)</f>
        <v>61</v>
      </c>
      <c r="F46" s="14">
        <f>IF(ISBLANK(Display!J46),"",Display!J46)</f>
        <v>56.977223893425013</v>
      </c>
      <c r="G46" s="14">
        <f>IF(ISBLANK(Display!K46),"",Display!K46)</f>
        <v>55.805048634987806</v>
      </c>
      <c r="H46" s="14">
        <f>IF(ISBLANK(Display!L46),"",Display!L46)</f>
        <v>53.566627910274221</v>
      </c>
      <c r="I46" s="14">
        <f>IF(ISBLANK(Display!M46),"",Display!M46)</f>
        <v>55.483829278537044</v>
      </c>
      <c r="J46" s="14">
        <f>IF(ISBLANK(Display!N46),"",Display!N46)</f>
        <v>48.537133778543726</v>
      </c>
      <c r="K46" s="14">
        <f>IF(ISBLANK(Display!O46),"",Display!O46)</f>
        <v>47.067319133745833</v>
      </c>
      <c r="L46" s="14">
        <f>IF(ISBLANK(Display!P46),"",Display!P46)</f>
        <v>48.997252747252745</v>
      </c>
      <c r="M46" s="14">
        <f>IF(ISBLANK(Display!Q46),"",Display!Q46)</f>
        <v>47.758448060075089</v>
      </c>
      <c r="N46" s="14">
        <f>IF(ISBLANK(Display!R46),"",Display!R46)</f>
        <v>39.018076518076519</v>
      </c>
    </row>
    <row r="47" spans="1:34" x14ac:dyDescent="0.3">
      <c r="A47" t="str">
        <f>IF(ISBLANK(Display!A47),"",Display!A47)</f>
        <v>Erdal Peker</v>
      </c>
      <c r="B47" s="2" t="str">
        <f>IF(ISBLANK(Display!B47),"",Display!B47)</f>
        <v>AM(R)</v>
      </c>
      <c r="C47" s="2">
        <f>IF(ISBLANK(Display!C47),"",Display!C47)</f>
        <v>16</v>
      </c>
      <c r="D47" s="2">
        <f>IF(ISBLANK(Display!D47),"",Display!D47)</f>
        <v>43</v>
      </c>
      <c r="E47" s="2">
        <f>IF(ISBLANK(Display!E47),"",Display!E47)</f>
        <v>98</v>
      </c>
      <c r="F47" s="14">
        <f>IF(ISBLANK(Display!J47),"",Display!J47)</f>
        <v>62.18177911474001</v>
      </c>
      <c r="G47" s="14">
        <f>IF(ISBLANK(Display!K47),"",Display!K47)</f>
        <v>64.456346057774255</v>
      </c>
      <c r="H47" s="14">
        <f>IF(ISBLANK(Display!L47),"",Display!L47)</f>
        <v>63.611575872727784</v>
      </c>
      <c r="I47" s="14">
        <f>IF(ISBLANK(Display!M47),"",Display!M47)</f>
        <v>65.149591289457533</v>
      </c>
      <c r="J47" s="14">
        <f>IF(ISBLANK(Display!N47),"",Display!N47)</f>
        <v>57.505654890133556</v>
      </c>
      <c r="K47" s="14">
        <f>IF(ISBLANK(Display!O47),"",Display!O47)</f>
        <v>54.67545216563542</v>
      </c>
      <c r="L47" s="14">
        <f>IF(ISBLANK(Display!P47),"",Display!P47)</f>
        <v>52.201236263736263</v>
      </c>
      <c r="M47" s="14">
        <f>IF(ISBLANK(Display!Q47),"",Display!Q47)</f>
        <v>54.348873591989992</v>
      </c>
      <c r="N47" s="14">
        <f>IF(ISBLANK(Display!R47),"",Display!R47)</f>
        <v>40.070200070200066</v>
      </c>
    </row>
    <row r="48" spans="1:34" x14ac:dyDescent="0.3">
      <c r="A48" t="str">
        <f>IF(ISBLANK(Display!A48),"",Display!A48)</f>
        <v>Jordan Tait</v>
      </c>
      <c r="B48" s="2" t="str">
        <f>IF(ISBLANK(Display!B48),"",Display!B48)</f>
        <v>AM(R)</v>
      </c>
      <c r="C48" s="2">
        <f>IF(ISBLANK(Display!C48),"",Display!C48)</f>
        <v>16</v>
      </c>
      <c r="D48" s="2">
        <f>IF(ISBLANK(Display!D48),"",Display!D48)</f>
        <v>37</v>
      </c>
      <c r="E48" s="2">
        <f>IF(ISBLANK(Display!E48),"",Display!E48)</f>
        <v>85</v>
      </c>
      <c r="F48" s="14">
        <f>IF(ISBLANK(Display!J48),"",Display!J48)</f>
        <v>63.017619252256125</v>
      </c>
      <c r="G48" s="14">
        <f>IF(ISBLANK(Display!K48),"",Display!K48)</f>
        <v>68.267360192776749</v>
      </c>
      <c r="H48" s="14">
        <f>IF(ISBLANK(Display!L48),"",Display!L48)</f>
        <v>69.33556418909339</v>
      </c>
      <c r="I48" s="14">
        <f>IF(ISBLANK(Display!M48),"",Display!M48)</f>
        <v>72.086039223288424</v>
      </c>
      <c r="J48" s="14">
        <f>IF(ISBLANK(Display!N48),"",Display!N48)</f>
        <v>67.820578414476515</v>
      </c>
      <c r="K48" s="14">
        <f>IF(ISBLANK(Display!O48),"",Display!O48)</f>
        <v>67.719092099000477</v>
      </c>
      <c r="L48" s="14">
        <f>IF(ISBLANK(Display!P48),"",Display!P48)</f>
        <v>63.839285714285708</v>
      </c>
      <c r="M48" s="14">
        <f>IF(ISBLANK(Display!Q48),"",Display!Q48)</f>
        <v>70.649874843554443</v>
      </c>
      <c r="N48" s="14">
        <f>IF(ISBLANK(Display!R48),"",Display!R48)</f>
        <v>50.070200070200066</v>
      </c>
    </row>
    <row r="49" spans="1:14" x14ac:dyDescent="0.3">
      <c r="A49" t="str">
        <f>IF(ISBLANK(Display!A49),"",Display!A49)</f>
        <v>Paul Jarvis</v>
      </c>
      <c r="B49" s="2" t="str">
        <f>IF(ISBLANK(Display!B49),"",Display!B49)</f>
        <v>AM(R)</v>
      </c>
      <c r="C49" s="2">
        <f>IF(ISBLANK(Display!C49),"",Display!C49)</f>
        <v>16</v>
      </c>
      <c r="D49" s="2">
        <f>IF(ISBLANK(Display!D49),"",Display!D49)</f>
        <v>59</v>
      </c>
      <c r="E49" s="2">
        <f>IF(ISBLANK(Display!E49),"",Display!E49)</f>
        <v>86</v>
      </c>
      <c r="F49" s="14">
        <f>IF(ISBLANK(Display!J49),"",Display!J49)</f>
        <v>65.669245093826106</v>
      </c>
      <c r="G49" s="14">
        <f>IF(ISBLANK(Display!K49),"",Display!K49)</f>
        <v>74.804725381292428</v>
      </c>
      <c r="H49" s="14">
        <f>IF(ISBLANK(Display!L49),"",Display!L49)</f>
        <v>73.996114907977201</v>
      </c>
      <c r="I49" s="14">
        <f>IF(ISBLANK(Display!M49),"",Display!M49)</f>
        <v>77.470679461083648</v>
      </c>
      <c r="J49" s="14">
        <f>IF(ISBLANK(Display!N49),"",Display!N49)</f>
        <v>67.243644980611805</v>
      </c>
      <c r="K49" s="14">
        <f>IF(ISBLANK(Display!O49),"",Display!O49)</f>
        <v>66.802712993812477</v>
      </c>
      <c r="L49" s="14">
        <f>IF(ISBLANK(Display!P49),"",Display!P49)</f>
        <v>58.176510989010985</v>
      </c>
      <c r="M49" s="14">
        <f>IF(ISBLANK(Display!Q49),"",Display!Q49)</f>
        <v>67.534418022528158</v>
      </c>
      <c r="N49" s="14">
        <f>IF(ISBLANK(Display!R49),"",Display!R49)</f>
        <v>44.244032994032992</v>
      </c>
    </row>
    <row r="50" spans="1:14" x14ac:dyDescent="0.3">
      <c r="A50" t="str">
        <f>IF(ISBLANK(Display!A50),"",Display!A50)</f>
        <v>Scott Aldridge</v>
      </c>
      <c r="B50" s="2" t="str">
        <f>IF(ISBLANK(Display!B50),"",Display!B50)</f>
        <v>AM(R)</v>
      </c>
      <c r="C50" s="2">
        <f>IF(ISBLANK(Display!C50),"",Display!C50)</f>
        <v>16</v>
      </c>
      <c r="D50" s="2">
        <f>IF(ISBLANK(Display!D50),"",Display!D50)</f>
        <v>54</v>
      </c>
      <c r="E50" s="2">
        <f>IF(ISBLANK(Display!E50),"",Display!E50)</f>
        <v>59</v>
      </c>
      <c r="F50" s="14">
        <f>IF(ISBLANK(Display!J50),"",Display!J50)</f>
        <v>61.692307692307686</v>
      </c>
      <c r="G50" s="14">
        <f>IF(ISBLANK(Display!K50),"",Display!K50)</f>
        <v>66.213523759146611</v>
      </c>
      <c r="H50" s="14">
        <f>IF(ISBLANK(Display!L50),"",Display!L50)</f>
        <v>65.351076198848659</v>
      </c>
      <c r="I50" s="14">
        <f>IF(ISBLANK(Display!M50),"",Display!M50)</f>
        <v>67.81864883202482</v>
      </c>
      <c r="J50" s="14">
        <f>IF(ISBLANK(Display!N50),"",Display!N50)</f>
        <v>60.990952175786298</v>
      </c>
      <c r="K50" s="14">
        <f>IF(ISBLANK(Display!O50),"",Display!O50)</f>
        <v>59.676344597810562</v>
      </c>
      <c r="L50" s="14">
        <f>IF(ISBLANK(Display!P50),"",Display!P50)</f>
        <v>57.695741758241759</v>
      </c>
      <c r="M50" s="14">
        <f>IF(ISBLANK(Display!Q50),"",Display!Q50)</f>
        <v>61.534418022528158</v>
      </c>
      <c r="N50" s="14">
        <f>IF(ISBLANK(Display!R50),"",Display!R50)</f>
        <v>40.865215865215859</v>
      </c>
    </row>
    <row r="51" spans="1:14" x14ac:dyDescent="0.3">
      <c r="A51" t="str">
        <f>IF(ISBLANK(Display!A51),"",Display!A51)</f>
        <v/>
      </c>
      <c r="B51" s="2" t="str">
        <f>IF(ISBLANK(Display!B51),"",Display!B51)</f>
        <v>Striker</v>
      </c>
      <c r="C51" s="2" t="str">
        <f>IF(ISBLANK(Display!C51),"",Display!C51)</f>
        <v/>
      </c>
      <c r="D51" s="2" t="str">
        <f>IF(ISBLANK(Display!D51),"",Display!D51)</f>
        <v/>
      </c>
      <c r="E51" s="2" t="str">
        <f>IF(ISBLANK(Display!E51),"",Display!E51)</f>
        <v/>
      </c>
      <c r="F51" s="14">
        <f>IF(ISBLANK(Display!J51),"",Display!J51)</f>
        <v>0</v>
      </c>
      <c r="G51" s="14">
        <f>IF(ISBLANK(Display!K51),"",Display!K51)</f>
        <v>0</v>
      </c>
      <c r="H51" s="14">
        <f>IF(ISBLANK(Display!L51),"",Display!L51)</f>
        <v>0</v>
      </c>
      <c r="I51" s="14">
        <f>IF(ISBLANK(Display!M51),"",Display!M51)</f>
        <v>0</v>
      </c>
      <c r="J51" s="14">
        <f>IF(ISBLANK(Display!N51),"",Display!N51)</f>
        <v>0</v>
      </c>
      <c r="K51" s="14">
        <f>IF(ISBLANK(Display!O51),"",Display!O51)</f>
        <v>0</v>
      </c>
      <c r="L51" s="14">
        <f>IF(ISBLANK(Display!P51),"",Display!P51)</f>
        <v>0</v>
      </c>
      <c r="M51" s="14">
        <f>IF(ISBLANK(Display!Q51),"",Display!Q51)</f>
        <v>0</v>
      </c>
      <c r="N51" s="14">
        <f>IF(ISBLANK(Display!R51),"",Display!R51)</f>
        <v>0</v>
      </c>
    </row>
    <row r="52" spans="1:14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</row>
    <row r="53" spans="1:14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</row>
    <row r="54" spans="1:14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</row>
    <row r="55" spans="1:14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</row>
    <row r="56" spans="1:14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</row>
    <row r="57" spans="1:14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</row>
    <row r="58" spans="1:14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</row>
    <row r="59" spans="1:14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</row>
    <row r="60" spans="1:14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</row>
    <row r="61" spans="1:14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</row>
    <row r="62" spans="1:14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</row>
    <row r="63" spans="1:14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</row>
    <row r="64" spans="1:14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</row>
    <row r="65" spans="1:14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</row>
    <row r="66" spans="1:14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</row>
    <row r="67" spans="1:14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</row>
    <row r="68" spans="1:14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</row>
    <row r="69" spans="1:14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</row>
    <row r="70" spans="1:14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</row>
    <row r="71" spans="1:14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</row>
    <row r="72" spans="1:14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</row>
    <row r="73" spans="1:14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</row>
    <row r="74" spans="1:14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</row>
  </sheetData>
  <autoFilter ref="A1:O74" xr:uid="{00000000-0009-0000-0000-000004000000}">
    <sortState xmlns:xlrd2="http://schemas.microsoft.com/office/spreadsheetml/2017/richdata2" ref="A2:O74">
      <sortCondition ref="D1:D74"/>
    </sortState>
  </autoFilter>
  <mergeCells count="5">
    <mergeCell ref="AE29:AH29"/>
    <mergeCell ref="S29:V29"/>
    <mergeCell ref="Y29:AB29"/>
    <mergeCell ref="Y15:AB15"/>
    <mergeCell ref="S15:V15"/>
  </mergeCells>
  <conditionalFormatting sqref="A2:A99 S17:S27">
    <cfRule type="duplicateValues" dxfId="2" priority="42"/>
  </conditionalFormatting>
  <conditionalFormatting sqref="A2:A99 Y17:Y27">
    <cfRule type="duplicateValues" dxfId="1" priority="45"/>
  </conditionalFormatting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0000000-0002-0000-0400-000000000000}">
      <formula1>$R$2:$R$12</formula1>
    </dataValidation>
    <dataValidation type="list" allowBlank="1" showInputMessage="1" showErrorMessage="1" sqref="S17:S27 Y17:Y27" xr:uid="{00000000-0002-0000-0400-000001000000}">
      <formula1>$A$2:$A$699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248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7" t="s">
        <v>249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8"/>
      <c r="B3" t="s">
        <v>250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8"/>
      <c r="B4" t="s">
        <v>251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8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8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8"/>
      <c r="B7" t="s">
        <v>252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8"/>
      <c r="B8" t="s">
        <v>253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8"/>
      <c r="B9" t="s">
        <v>254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8"/>
      <c r="B10" t="s">
        <v>255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7" t="s">
        <v>256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8"/>
      <c r="B12" t="s">
        <v>250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8"/>
      <c r="B13" t="s">
        <v>257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8"/>
      <c r="B14" t="s">
        <v>258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8"/>
      <c r="B15" t="s">
        <v>259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8"/>
      <c r="B16" t="s">
        <v>260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8"/>
      <c r="B17" t="s">
        <v>261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262</v>
      </c>
      <c r="B1" s="42" t="s">
        <v>263</v>
      </c>
      <c r="C1" s="21" t="s">
        <v>264</v>
      </c>
      <c r="D1" s="21" t="s">
        <v>265</v>
      </c>
      <c r="R1" t="s">
        <v>19</v>
      </c>
      <c r="S1" t="s">
        <v>266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267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268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267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269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270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271</v>
      </c>
    </row>
    <row r="9" spans="1:19" x14ac:dyDescent="0.3">
      <c r="A9" t="s">
        <v>142</v>
      </c>
      <c r="B9" s="14">
        <v>16</v>
      </c>
      <c r="C9" s="2" t="s">
        <v>272</v>
      </c>
      <c r="D9" t="str">
        <f t="shared" si="0"/>
        <v>Centre-Forward</v>
      </c>
      <c r="R9" t="s">
        <v>272</v>
      </c>
      <c r="S9" t="s">
        <v>273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274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272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2025-11-20T00:46:51Z</dcterms:modified>
</cp:coreProperties>
</file>