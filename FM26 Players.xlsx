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GitHub\fm26-lineup-optimizer\"/>
    </mc:Choice>
  </mc:AlternateContent>
  <xr:revisionPtr revIDLastSave="0" documentId="13_ncr:1_{0C3747F7-8887-48E9-8681-8BD201128213}" xr6:coauthVersionLast="47" xr6:coauthVersionMax="47" xr10:uidLastSave="{00000000-0000-0000-0000-000000000000}"/>
  <bookViews>
    <workbookView xWindow="-120" yWindow="-120" windowWidth="38640" windowHeight="23520" activeTab="1" xr2:uid="{00000000-000D-0000-FFFF-FFFF00000000}"/>
  </bookViews>
  <sheets>
    <sheet name="Paste" sheetId="1" r:id="rId1"/>
    <sheet name="Paste Full" sheetId="2" r:id="rId2"/>
    <sheet name="Display" sheetId="3" r:id="rId3"/>
    <sheet name="Attributes" sheetId="4" r:id="rId4"/>
    <sheet name="Planner" sheetId="5" r:id="rId5"/>
    <sheet name="AttWeights" sheetId="6" r:id="rId6"/>
    <sheet name="Player Training" sheetId="7" r:id="rId7"/>
  </sheets>
  <definedNames>
    <definedName name="_xlnm._FilterDatabase" localSheetId="2" hidden="1">Display!$A$1:$BM$100</definedName>
    <definedName name="_xlnm._FilterDatabase" localSheetId="4" hidden="1">Planner!$A$1:$P$75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0" i="7" l="1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P95" i="5"/>
  <c r="E95" i="5"/>
  <c r="D95" i="5"/>
  <c r="C95" i="5"/>
  <c r="B95" i="5" s="1"/>
  <c r="D93" i="5"/>
  <c r="C93" i="5"/>
  <c r="B93" i="5"/>
  <c r="E92" i="5"/>
  <c r="P87" i="5"/>
  <c r="D87" i="5"/>
  <c r="C87" i="5"/>
  <c r="A87" i="5"/>
  <c r="P86" i="5"/>
  <c r="D86" i="5"/>
  <c r="E85" i="5"/>
  <c r="C79" i="5"/>
  <c r="A79" i="5"/>
  <c r="C78" i="5"/>
  <c r="B78" i="5" s="1"/>
  <c r="A78" i="5"/>
  <c r="P77" i="5"/>
  <c r="C76" i="5"/>
  <c r="D75" i="5"/>
  <c r="E74" i="5"/>
  <c r="D74" i="5"/>
  <c r="C74" i="5"/>
  <c r="A74" i="5"/>
  <c r="D73" i="5"/>
  <c r="C73" i="5"/>
  <c r="B73" i="5"/>
  <c r="C71" i="5"/>
  <c r="B71" i="5" s="1"/>
  <c r="A71" i="5"/>
  <c r="E70" i="5"/>
  <c r="E68" i="5"/>
  <c r="D68" i="5"/>
  <c r="C68" i="5"/>
  <c r="A68" i="5"/>
  <c r="E65" i="5"/>
  <c r="D65" i="5"/>
  <c r="A65" i="5"/>
  <c r="P64" i="5"/>
  <c r="E59" i="5"/>
  <c r="A58" i="5"/>
  <c r="A57" i="5"/>
  <c r="P54" i="5"/>
  <c r="P53" i="5"/>
  <c r="E53" i="5"/>
  <c r="P48" i="5"/>
  <c r="E47" i="5"/>
  <c r="D47" i="5"/>
  <c r="P43" i="5"/>
  <c r="D43" i="5"/>
  <c r="AF42" i="5"/>
  <c r="Z42" i="5"/>
  <c r="T42" i="5"/>
  <c r="AF41" i="5"/>
  <c r="Z41" i="5"/>
  <c r="T41" i="5"/>
  <c r="A41" i="5"/>
  <c r="AF40" i="5"/>
  <c r="Z40" i="5"/>
  <c r="T40" i="5"/>
  <c r="C40" i="5"/>
  <c r="AF39" i="5"/>
  <c r="Z39" i="5"/>
  <c r="T39" i="5"/>
  <c r="AF38" i="5"/>
  <c r="Z38" i="5"/>
  <c r="T38" i="5"/>
  <c r="AF37" i="5"/>
  <c r="Z37" i="5"/>
  <c r="T37" i="5"/>
  <c r="AF36" i="5"/>
  <c r="Z36" i="5"/>
  <c r="T36" i="5"/>
  <c r="A36" i="5"/>
  <c r="AF35" i="5"/>
  <c r="Z35" i="5"/>
  <c r="T35" i="5"/>
  <c r="AF34" i="5"/>
  <c r="Z34" i="5"/>
  <c r="T34" i="5"/>
  <c r="AF33" i="5"/>
  <c r="Z33" i="5"/>
  <c r="T33" i="5"/>
  <c r="AF32" i="5"/>
  <c r="Z32" i="5"/>
  <c r="T32" i="5"/>
  <c r="C30" i="5"/>
  <c r="B30" i="5" s="1"/>
  <c r="P28" i="5"/>
  <c r="E28" i="5"/>
  <c r="P27" i="5"/>
  <c r="E27" i="5"/>
  <c r="C22" i="5"/>
  <c r="C21" i="5"/>
  <c r="C17" i="5"/>
  <c r="A16" i="5"/>
  <c r="E13" i="5"/>
  <c r="D13" i="5"/>
  <c r="A9" i="5"/>
  <c r="D7" i="5"/>
  <c r="C6" i="5"/>
  <c r="A6" i="5"/>
  <c r="BV468" i="3"/>
  <c r="BU468" i="3"/>
  <c r="BT468" i="3"/>
  <c r="BS468" i="3"/>
  <c r="BR468" i="3"/>
  <c r="BQ468" i="3"/>
  <c r="BP468" i="3"/>
  <c r="BO468" i="3"/>
  <c r="BN468" i="3"/>
  <c r="BV467" i="3"/>
  <c r="BU467" i="3"/>
  <c r="BT467" i="3"/>
  <c r="BS467" i="3"/>
  <c r="BR467" i="3"/>
  <c r="BQ467" i="3"/>
  <c r="BP467" i="3"/>
  <c r="BO467" i="3"/>
  <c r="BN467" i="3"/>
  <c r="BV466" i="3"/>
  <c r="BU466" i="3"/>
  <c r="BT466" i="3"/>
  <c r="BS466" i="3"/>
  <c r="BR466" i="3"/>
  <c r="BQ466" i="3"/>
  <c r="BP466" i="3"/>
  <c r="BO466" i="3"/>
  <c r="BN466" i="3"/>
  <c r="BV465" i="3"/>
  <c r="BU465" i="3"/>
  <c r="BT465" i="3"/>
  <c r="BS465" i="3"/>
  <c r="BR465" i="3"/>
  <c r="BQ465" i="3"/>
  <c r="BP465" i="3"/>
  <c r="BO465" i="3"/>
  <c r="BN465" i="3"/>
  <c r="BV464" i="3"/>
  <c r="BU464" i="3"/>
  <c r="BT464" i="3"/>
  <c r="BS464" i="3"/>
  <c r="BR464" i="3"/>
  <c r="BQ464" i="3"/>
  <c r="BP464" i="3"/>
  <c r="BO464" i="3"/>
  <c r="BN464" i="3"/>
  <c r="BV463" i="3"/>
  <c r="BU463" i="3"/>
  <c r="BT463" i="3"/>
  <c r="BS463" i="3"/>
  <c r="BR463" i="3"/>
  <c r="BQ463" i="3"/>
  <c r="BP463" i="3"/>
  <c r="BO463" i="3"/>
  <c r="BN463" i="3"/>
  <c r="BV462" i="3"/>
  <c r="BU462" i="3"/>
  <c r="BT462" i="3"/>
  <c r="BS462" i="3"/>
  <c r="BR462" i="3"/>
  <c r="BQ462" i="3"/>
  <c r="BP462" i="3"/>
  <c r="BO462" i="3"/>
  <c r="BN462" i="3"/>
  <c r="BV461" i="3"/>
  <c r="BU461" i="3"/>
  <c r="BT461" i="3"/>
  <c r="BS461" i="3"/>
  <c r="BR461" i="3"/>
  <c r="BQ461" i="3"/>
  <c r="BP461" i="3"/>
  <c r="BO461" i="3"/>
  <c r="BN461" i="3"/>
  <c r="BV460" i="3"/>
  <c r="BU460" i="3"/>
  <c r="BT460" i="3"/>
  <c r="BS460" i="3"/>
  <c r="BR460" i="3"/>
  <c r="BQ460" i="3"/>
  <c r="BP460" i="3"/>
  <c r="BO460" i="3"/>
  <c r="BN460" i="3"/>
  <c r="BV459" i="3"/>
  <c r="BU459" i="3"/>
  <c r="BT459" i="3"/>
  <c r="BS459" i="3"/>
  <c r="BR459" i="3"/>
  <c r="BQ459" i="3"/>
  <c r="BP459" i="3"/>
  <c r="BO459" i="3"/>
  <c r="BN459" i="3"/>
  <c r="BV458" i="3"/>
  <c r="BU458" i="3"/>
  <c r="BT458" i="3"/>
  <c r="BS458" i="3"/>
  <c r="BR458" i="3"/>
  <c r="BQ458" i="3"/>
  <c r="BP458" i="3"/>
  <c r="BO458" i="3"/>
  <c r="BN458" i="3"/>
  <c r="BV457" i="3"/>
  <c r="BU457" i="3"/>
  <c r="BT457" i="3"/>
  <c r="BS457" i="3"/>
  <c r="BR457" i="3"/>
  <c r="BQ457" i="3"/>
  <c r="BP457" i="3"/>
  <c r="BO457" i="3"/>
  <c r="BN457" i="3"/>
  <c r="BV456" i="3"/>
  <c r="BU456" i="3"/>
  <c r="BT456" i="3"/>
  <c r="BS456" i="3"/>
  <c r="BR456" i="3"/>
  <c r="BQ456" i="3"/>
  <c r="BP456" i="3"/>
  <c r="BO456" i="3"/>
  <c r="BN456" i="3"/>
  <c r="BV455" i="3"/>
  <c r="BU455" i="3"/>
  <c r="BT455" i="3"/>
  <c r="BS455" i="3"/>
  <c r="BR455" i="3"/>
  <c r="BQ455" i="3"/>
  <c r="BP455" i="3"/>
  <c r="BO455" i="3"/>
  <c r="BN455" i="3"/>
  <c r="BV454" i="3"/>
  <c r="BU454" i="3"/>
  <c r="BT454" i="3"/>
  <c r="BS454" i="3"/>
  <c r="BR454" i="3"/>
  <c r="BQ454" i="3"/>
  <c r="BP454" i="3"/>
  <c r="BO454" i="3"/>
  <c r="BN454" i="3"/>
  <c r="BV453" i="3"/>
  <c r="BU453" i="3"/>
  <c r="BT453" i="3"/>
  <c r="BS453" i="3"/>
  <c r="BR453" i="3"/>
  <c r="BQ453" i="3"/>
  <c r="BP453" i="3"/>
  <c r="BO453" i="3"/>
  <c r="BN453" i="3"/>
  <c r="BV452" i="3"/>
  <c r="BU452" i="3"/>
  <c r="BT452" i="3"/>
  <c r="BS452" i="3"/>
  <c r="BR452" i="3"/>
  <c r="BQ452" i="3"/>
  <c r="BP452" i="3"/>
  <c r="BO452" i="3"/>
  <c r="BN452" i="3"/>
  <c r="BV451" i="3"/>
  <c r="BU451" i="3"/>
  <c r="BT451" i="3"/>
  <c r="BS451" i="3"/>
  <c r="BR451" i="3"/>
  <c r="BQ451" i="3"/>
  <c r="BP451" i="3"/>
  <c r="BO451" i="3"/>
  <c r="BN451" i="3"/>
  <c r="BV450" i="3"/>
  <c r="BU450" i="3"/>
  <c r="BT450" i="3"/>
  <c r="BS450" i="3"/>
  <c r="BR450" i="3"/>
  <c r="BQ450" i="3"/>
  <c r="BP450" i="3"/>
  <c r="BO450" i="3"/>
  <c r="BN450" i="3"/>
  <c r="BV449" i="3"/>
  <c r="BU449" i="3"/>
  <c r="BT449" i="3"/>
  <c r="BS449" i="3"/>
  <c r="BR449" i="3"/>
  <c r="BQ449" i="3"/>
  <c r="BP449" i="3"/>
  <c r="BO449" i="3"/>
  <c r="BN449" i="3"/>
  <c r="BV448" i="3"/>
  <c r="BU448" i="3"/>
  <c r="BT448" i="3"/>
  <c r="BS448" i="3"/>
  <c r="BR448" i="3"/>
  <c r="BQ448" i="3"/>
  <c r="BP448" i="3"/>
  <c r="BO448" i="3"/>
  <c r="BN448" i="3"/>
  <c r="BV447" i="3"/>
  <c r="BU447" i="3"/>
  <c r="BT447" i="3"/>
  <c r="BS447" i="3"/>
  <c r="BR447" i="3"/>
  <c r="BQ447" i="3"/>
  <c r="BP447" i="3"/>
  <c r="BO447" i="3"/>
  <c r="BN447" i="3"/>
  <c r="BV446" i="3"/>
  <c r="BU446" i="3"/>
  <c r="BT446" i="3"/>
  <c r="BS446" i="3"/>
  <c r="BR446" i="3"/>
  <c r="BQ446" i="3"/>
  <c r="BP446" i="3"/>
  <c r="BO446" i="3"/>
  <c r="BN446" i="3"/>
  <c r="BV445" i="3"/>
  <c r="BU445" i="3"/>
  <c r="BT445" i="3"/>
  <c r="BS445" i="3"/>
  <c r="BR445" i="3"/>
  <c r="BQ445" i="3"/>
  <c r="BP445" i="3"/>
  <c r="BO445" i="3"/>
  <c r="BN445" i="3"/>
  <c r="BV444" i="3"/>
  <c r="BU444" i="3"/>
  <c r="BT444" i="3"/>
  <c r="BS444" i="3"/>
  <c r="BR444" i="3"/>
  <c r="BQ444" i="3"/>
  <c r="BP444" i="3"/>
  <c r="BO444" i="3"/>
  <c r="BN444" i="3"/>
  <c r="BV443" i="3"/>
  <c r="BU443" i="3"/>
  <c r="BT443" i="3"/>
  <c r="BS443" i="3"/>
  <c r="BR443" i="3"/>
  <c r="BQ443" i="3"/>
  <c r="BP443" i="3"/>
  <c r="BO443" i="3"/>
  <c r="BN443" i="3"/>
  <c r="BV442" i="3"/>
  <c r="BU442" i="3"/>
  <c r="BT442" i="3"/>
  <c r="BS442" i="3"/>
  <c r="BR442" i="3"/>
  <c r="BQ442" i="3"/>
  <c r="BP442" i="3"/>
  <c r="BO442" i="3"/>
  <c r="BN442" i="3"/>
  <c r="BV441" i="3"/>
  <c r="BU441" i="3"/>
  <c r="BT441" i="3"/>
  <c r="BS441" i="3"/>
  <c r="BR441" i="3"/>
  <c r="BQ441" i="3"/>
  <c r="BP441" i="3"/>
  <c r="BO441" i="3"/>
  <c r="BN441" i="3"/>
  <c r="BV440" i="3"/>
  <c r="BU440" i="3"/>
  <c r="BT440" i="3"/>
  <c r="BS440" i="3"/>
  <c r="BR440" i="3"/>
  <c r="BQ440" i="3"/>
  <c r="BP440" i="3"/>
  <c r="BO440" i="3"/>
  <c r="BN440" i="3"/>
  <c r="BV439" i="3"/>
  <c r="BU439" i="3"/>
  <c r="BT439" i="3"/>
  <c r="BS439" i="3"/>
  <c r="BR439" i="3"/>
  <c r="BQ439" i="3"/>
  <c r="BP439" i="3"/>
  <c r="BO439" i="3"/>
  <c r="BN439" i="3"/>
  <c r="BV438" i="3"/>
  <c r="BU438" i="3"/>
  <c r="BT438" i="3"/>
  <c r="BS438" i="3"/>
  <c r="BR438" i="3"/>
  <c r="BQ438" i="3"/>
  <c r="BP438" i="3"/>
  <c r="BO438" i="3"/>
  <c r="BN438" i="3"/>
  <c r="BV437" i="3"/>
  <c r="BU437" i="3"/>
  <c r="BT437" i="3"/>
  <c r="BS437" i="3"/>
  <c r="BR437" i="3"/>
  <c r="BQ437" i="3"/>
  <c r="BP437" i="3"/>
  <c r="BO437" i="3"/>
  <c r="BN437" i="3"/>
  <c r="BV436" i="3"/>
  <c r="BU436" i="3"/>
  <c r="BT436" i="3"/>
  <c r="BS436" i="3"/>
  <c r="BR436" i="3"/>
  <c r="BQ436" i="3"/>
  <c r="BP436" i="3"/>
  <c r="BO436" i="3"/>
  <c r="BN436" i="3"/>
  <c r="BV435" i="3"/>
  <c r="BU435" i="3"/>
  <c r="BT435" i="3"/>
  <c r="BS435" i="3"/>
  <c r="BR435" i="3"/>
  <c r="BQ435" i="3"/>
  <c r="BP435" i="3"/>
  <c r="BO435" i="3"/>
  <c r="BN435" i="3"/>
  <c r="BV434" i="3"/>
  <c r="BU434" i="3"/>
  <c r="BT434" i="3"/>
  <c r="BS434" i="3"/>
  <c r="BR434" i="3"/>
  <c r="BQ434" i="3"/>
  <c r="BP434" i="3"/>
  <c r="BO434" i="3"/>
  <c r="BN434" i="3"/>
  <c r="BV433" i="3"/>
  <c r="BU433" i="3"/>
  <c r="BT433" i="3"/>
  <c r="BS433" i="3"/>
  <c r="BR433" i="3"/>
  <c r="BQ433" i="3"/>
  <c r="BP433" i="3"/>
  <c r="BO433" i="3"/>
  <c r="BN433" i="3"/>
  <c r="BV432" i="3"/>
  <c r="BU432" i="3"/>
  <c r="BT432" i="3"/>
  <c r="BS432" i="3"/>
  <c r="BR432" i="3"/>
  <c r="BQ432" i="3"/>
  <c r="BP432" i="3"/>
  <c r="BO432" i="3"/>
  <c r="BN432" i="3"/>
  <c r="BV431" i="3"/>
  <c r="BU431" i="3"/>
  <c r="BT431" i="3"/>
  <c r="BS431" i="3"/>
  <c r="BR431" i="3"/>
  <c r="BQ431" i="3"/>
  <c r="BP431" i="3"/>
  <c r="BO431" i="3"/>
  <c r="BN431" i="3"/>
  <c r="BV430" i="3"/>
  <c r="BU430" i="3"/>
  <c r="BT430" i="3"/>
  <c r="BS430" i="3"/>
  <c r="BR430" i="3"/>
  <c r="BQ430" i="3"/>
  <c r="BP430" i="3"/>
  <c r="BO430" i="3"/>
  <c r="BN430" i="3"/>
  <c r="BV429" i="3"/>
  <c r="BU429" i="3"/>
  <c r="BT429" i="3"/>
  <c r="BS429" i="3"/>
  <c r="BR429" i="3"/>
  <c r="BQ429" i="3"/>
  <c r="BP429" i="3"/>
  <c r="BO429" i="3"/>
  <c r="BN429" i="3"/>
  <c r="BV428" i="3"/>
  <c r="BU428" i="3"/>
  <c r="BT428" i="3"/>
  <c r="BS428" i="3"/>
  <c r="BR428" i="3"/>
  <c r="BQ428" i="3"/>
  <c r="BP428" i="3"/>
  <c r="BO428" i="3"/>
  <c r="BN428" i="3"/>
  <c r="BV427" i="3"/>
  <c r="BU427" i="3"/>
  <c r="BT427" i="3"/>
  <c r="BS427" i="3"/>
  <c r="BR427" i="3"/>
  <c r="BQ427" i="3"/>
  <c r="BP427" i="3"/>
  <c r="BO427" i="3"/>
  <c r="BN427" i="3"/>
  <c r="BV426" i="3"/>
  <c r="BU426" i="3"/>
  <c r="BT426" i="3"/>
  <c r="BS426" i="3"/>
  <c r="BR426" i="3"/>
  <c r="BQ426" i="3"/>
  <c r="BP426" i="3"/>
  <c r="BO426" i="3"/>
  <c r="BN426" i="3"/>
  <c r="BV425" i="3"/>
  <c r="BU425" i="3"/>
  <c r="BT425" i="3"/>
  <c r="BS425" i="3"/>
  <c r="BR425" i="3"/>
  <c r="BQ425" i="3"/>
  <c r="BP425" i="3"/>
  <c r="BO425" i="3"/>
  <c r="BN425" i="3"/>
  <c r="BV424" i="3"/>
  <c r="BU424" i="3"/>
  <c r="BT424" i="3"/>
  <c r="BS424" i="3"/>
  <c r="BR424" i="3"/>
  <c r="BQ424" i="3"/>
  <c r="BP424" i="3"/>
  <c r="BO424" i="3"/>
  <c r="BN424" i="3"/>
  <c r="BV423" i="3"/>
  <c r="BU423" i="3"/>
  <c r="BT423" i="3"/>
  <c r="BS423" i="3"/>
  <c r="BR423" i="3"/>
  <c r="BQ423" i="3"/>
  <c r="BP423" i="3"/>
  <c r="BO423" i="3"/>
  <c r="BN423" i="3"/>
  <c r="BV422" i="3"/>
  <c r="BU422" i="3"/>
  <c r="BT422" i="3"/>
  <c r="BS422" i="3"/>
  <c r="BR422" i="3"/>
  <c r="BQ422" i="3"/>
  <c r="BP422" i="3"/>
  <c r="BO422" i="3"/>
  <c r="BN422" i="3"/>
  <c r="BV421" i="3"/>
  <c r="BU421" i="3"/>
  <c r="BT421" i="3"/>
  <c r="BS421" i="3"/>
  <c r="BR421" i="3"/>
  <c r="BQ421" i="3"/>
  <c r="BP421" i="3"/>
  <c r="BO421" i="3"/>
  <c r="BN421" i="3"/>
  <c r="BV420" i="3"/>
  <c r="BU420" i="3"/>
  <c r="BT420" i="3"/>
  <c r="BS420" i="3"/>
  <c r="BR420" i="3"/>
  <c r="BQ420" i="3"/>
  <c r="BP420" i="3"/>
  <c r="BO420" i="3"/>
  <c r="BN420" i="3"/>
  <c r="BV419" i="3"/>
  <c r="BU419" i="3"/>
  <c r="BT419" i="3"/>
  <c r="BS419" i="3"/>
  <c r="BR419" i="3"/>
  <c r="BQ419" i="3"/>
  <c r="BP419" i="3"/>
  <c r="BO419" i="3"/>
  <c r="BN419" i="3"/>
  <c r="BV418" i="3"/>
  <c r="BU418" i="3"/>
  <c r="BT418" i="3"/>
  <c r="BS418" i="3"/>
  <c r="BR418" i="3"/>
  <c r="BQ418" i="3"/>
  <c r="BP418" i="3"/>
  <c r="BO418" i="3"/>
  <c r="BN418" i="3"/>
  <c r="BV417" i="3"/>
  <c r="BU417" i="3"/>
  <c r="BT417" i="3"/>
  <c r="BS417" i="3"/>
  <c r="BR417" i="3"/>
  <c r="BQ417" i="3"/>
  <c r="BP417" i="3"/>
  <c r="BO417" i="3"/>
  <c r="BN417" i="3"/>
  <c r="BV416" i="3"/>
  <c r="BU416" i="3"/>
  <c r="BT416" i="3"/>
  <c r="BS416" i="3"/>
  <c r="BR416" i="3"/>
  <c r="BQ416" i="3"/>
  <c r="BP416" i="3"/>
  <c r="BO416" i="3"/>
  <c r="BN416" i="3"/>
  <c r="BV415" i="3"/>
  <c r="BU415" i="3"/>
  <c r="BT415" i="3"/>
  <c r="BS415" i="3"/>
  <c r="BR415" i="3"/>
  <c r="BQ415" i="3"/>
  <c r="BP415" i="3"/>
  <c r="BO415" i="3"/>
  <c r="BN415" i="3"/>
  <c r="BV414" i="3"/>
  <c r="BU414" i="3"/>
  <c r="BT414" i="3"/>
  <c r="BS414" i="3"/>
  <c r="BR414" i="3"/>
  <c r="BQ414" i="3"/>
  <c r="BP414" i="3"/>
  <c r="BO414" i="3"/>
  <c r="BN414" i="3"/>
  <c r="BV413" i="3"/>
  <c r="BU413" i="3"/>
  <c r="BT413" i="3"/>
  <c r="BS413" i="3"/>
  <c r="BR413" i="3"/>
  <c r="BQ413" i="3"/>
  <c r="BP413" i="3"/>
  <c r="BO413" i="3"/>
  <c r="BN413" i="3"/>
  <c r="BV412" i="3"/>
  <c r="BU412" i="3"/>
  <c r="BT412" i="3"/>
  <c r="BS412" i="3"/>
  <c r="BR412" i="3"/>
  <c r="BQ412" i="3"/>
  <c r="BP412" i="3"/>
  <c r="BO412" i="3"/>
  <c r="BN412" i="3"/>
  <c r="BV411" i="3"/>
  <c r="BU411" i="3"/>
  <c r="BT411" i="3"/>
  <c r="BS411" i="3"/>
  <c r="BR411" i="3"/>
  <c r="BQ411" i="3"/>
  <c r="BP411" i="3"/>
  <c r="BO411" i="3"/>
  <c r="BN411" i="3"/>
  <c r="BV410" i="3"/>
  <c r="BU410" i="3"/>
  <c r="BT410" i="3"/>
  <c r="BS410" i="3"/>
  <c r="BR410" i="3"/>
  <c r="BQ410" i="3"/>
  <c r="BP410" i="3"/>
  <c r="BO410" i="3"/>
  <c r="BN410" i="3"/>
  <c r="BV409" i="3"/>
  <c r="BU409" i="3"/>
  <c r="BT409" i="3"/>
  <c r="BS409" i="3"/>
  <c r="BR409" i="3"/>
  <c r="BQ409" i="3"/>
  <c r="BP409" i="3"/>
  <c r="BO409" i="3"/>
  <c r="BN409" i="3"/>
  <c r="BV408" i="3"/>
  <c r="BU408" i="3"/>
  <c r="BT408" i="3"/>
  <c r="BS408" i="3"/>
  <c r="BR408" i="3"/>
  <c r="BQ408" i="3"/>
  <c r="BP408" i="3"/>
  <c r="BO408" i="3"/>
  <c r="BN408" i="3"/>
  <c r="BV407" i="3"/>
  <c r="BU407" i="3"/>
  <c r="BT407" i="3"/>
  <c r="BS407" i="3"/>
  <c r="BR407" i="3"/>
  <c r="BQ407" i="3"/>
  <c r="BP407" i="3"/>
  <c r="BO407" i="3"/>
  <c r="BN407" i="3"/>
  <c r="BV406" i="3"/>
  <c r="BU406" i="3"/>
  <c r="BT406" i="3"/>
  <c r="BS406" i="3"/>
  <c r="BR406" i="3"/>
  <c r="BQ406" i="3"/>
  <c r="BP406" i="3"/>
  <c r="BO406" i="3"/>
  <c r="BN406" i="3"/>
  <c r="BV405" i="3"/>
  <c r="BU405" i="3"/>
  <c r="BT405" i="3"/>
  <c r="BS405" i="3"/>
  <c r="BR405" i="3"/>
  <c r="BQ405" i="3"/>
  <c r="BP405" i="3"/>
  <c r="BO405" i="3"/>
  <c r="BN405" i="3"/>
  <c r="BV404" i="3"/>
  <c r="BU404" i="3"/>
  <c r="BT404" i="3"/>
  <c r="BS404" i="3"/>
  <c r="BR404" i="3"/>
  <c r="BQ404" i="3"/>
  <c r="BP404" i="3"/>
  <c r="BO404" i="3"/>
  <c r="BN404" i="3"/>
  <c r="BV403" i="3"/>
  <c r="BU403" i="3"/>
  <c r="BT403" i="3"/>
  <c r="BS403" i="3"/>
  <c r="BR403" i="3"/>
  <c r="BQ403" i="3"/>
  <c r="BP403" i="3"/>
  <c r="BO403" i="3"/>
  <c r="BN403" i="3"/>
  <c r="BV402" i="3"/>
  <c r="BU402" i="3"/>
  <c r="BT402" i="3"/>
  <c r="BS402" i="3"/>
  <c r="BR402" i="3"/>
  <c r="BQ402" i="3"/>
  <c r="BP402" i="3"/>
  <c r="BO402" i="3"/>
  <c r="BN402" i="3"/>
  <c r="BV401" i="3"/>
  <c r="BU401" i="3"/>
  <c r="BT401" i="3"/>
  <c r="BS401" i="3"/>
  <c r="BR401" i="3"/>
  <c r="BQ401" i="3"/>
  <c r="BP401" i="3"/>
  <c r="BO401" i="3"/>
  <c r="BN401" i="3"/>
  <c r="BV400" i="3"/>
  <c r="BU400" i="3"/>
  <c r="BT400" i="3"/>
  <c r="BS400" i="3"/>
  <c r="BR400" i="3"/>
  <c r="BQ400" i="3"/>
  <c r="BP400" i="3"/>
  <c r="BO400" i="3"/>
  <c r="BN400" i="3"/>
  <c r="BV399" i="3"/>
  <c r="BU399" i="3"/>
  <c r="BT399" i="3"/>
  <c r="BS399" i="3"/>
  <c r="BR399" i="3"/>
  <c r="BQ399" i="3"/>
  <c r="BP399" i="3"/>
  <c r="BO399" i="3"/>
  <c r="BN399" i="3"/>
  <c r="BV398" i="3"/>
  <c r="BU398" i="3"/>
  <c r="BT398" i="3"/>
  <c r="BS398" i="3"/>
  <c r="BR398" i="3"/>
  <c r="BQ398" i="3"/>
  <c r="BP398" i="3"/>
  <c r="BO398" i="3"/>
  <c r="BN398" i="3"/>
  <c r="BV397" i="3"/>
  <c r="BU397" i="3"/>
  <c r="BT397" i="3"/>
  <c r="BS397" i="3"/>
  <c r="BR397" i="3"/>
  <c r="BQ397" i="3"/>
  <c r="BP397" i="3"/>
  <c r="BO397" i="3"/>
  <c r="BN397" i="3"/>
  <c r="BV396" i="3"/>
  <c r="BU396" i="3"/>
  <c r="BT396" i="3"/>
  <c r="BS396" i="3"/>
  <c r="BR396" i="3"/>
  <c r="BQ396" i="3"/>
  <c r="BP396" i="3"/>
  <c r="BO396" i="3"/>
  <c r="BN396" i="3"/>
  <c r="BV395" i="3"/>
  <c r="BU395" i="3"/>
  <c r="BT395" i="3"/>
  <c r="BS395" i="3"/>
  <c r="BR395" i="3"/>
  <c r="BQ395" i="3"/>
  <c r="BP395" i="3"/>
  <c r="BO395" i="3"/>
  <c r="BN395" i="3"/>
  <c r="BV394" i="3"/>
  <c r="BU394" i="3"/>
  <c r="BT394" i="3"/>
  <c r="BS394" i="3"/>
  <c r="BR394" i="3"/>
  <c r="BQ394" i="3"/>
  <c r="BP394" i="3"/>
  <c r="BO394" i="3"/>
  <c r="BN394" i="3"/>
  <c r="BV393" i="3"/>
  <c r="BU393" i="3"/>
  <c r="BT393" i="3"/>
  <c r="BS393" i="3"/>
  <c r="BR393" i="3"/>
  <c r="BQ393" i="3"/>
  <c r="BP393" i="3"/>
  <c r="BO393" i="3"/>
  <c r="BN393" i="3"/>
  <c r="BV392" i="3"/>
  <c r="BU392" i="3"/>
  <c r="BT392" i="3"/>
  <c r="BS392" i="3"/>
  <c r="BR392" i="3"/>
  <c r="BQ392" i="3"/>
  <c r="BP392" i="3"/>
  <c r="BO392" i="3"/>
  <c r="BN392" i="3"/>
  <c r="BV391" i="3"/>
  <c r="BU391" i="3"/>
  <c r="BT391" i="3"/>
  <c r="BS391" i="3"/>
  <c r="BR391" i="3"/>
  <c r="BQ391" i="3"/>
  <c r="BP391" i="3"/>
  <c r="BO391" i="3"/>
  <c r="BN391" i="3"/>
  <c r="BV390" i="3"/>
  <c r="BU390" i="3"/>
  <c r="BT390" i="3"/>
  <c r="BS390" i="3"/>
  <c r="BR390" i="3"/>
  <c r="BQ390" i="3"/>
  <c r="BP390" i="3"/>
  <c r="BO390" i="3"/>
  <c r="BN390" i="3"/>
  <c r="BV389" i="3"/>
  <c r="BU389" i="3"/>
  <c r="BT389" i="3"/>
  <c r="BS389" i="3"/>
  <c r="BR389" i="3"/>
  <c r="BQ389" i="3"/>
  <c r="BP389" i="3"/>
  <c r="BO389" i="3"/>
  <c r="BN389" i="3"/>
  <c r="BV388" i="3"/>
  <c r="BU388" i="3"/>
  <c r="BT388" i="3"/>
  <c r="BS388" i="3"/>
  <c r="BR388" i="3"/>
  <c r="BQ388" i="3"/>
  <c r="BP388" i="3"/>
  <c r="BO388" i="3"/>
  <c r="BN388" i="3"/>
  <c r="BV387" i="3"/>
  <c r="BU387" i="3"/>
  <c r="BT387" i="3"/>
  <c r="BS387" i="3"/>
  <c r="BR387" i="3"/>
  <c r="BQ387" i="3"/>
  <c r="BP387" i="3"/>
  <c r="BO387" i="3"/>
  <c r="BN387" i="3"/>
  <c r="BV386" i="3"/>
  <c r="BU386" i="3"/>
  <c r="BT386" i="3"/>
  <c r="BS386" i="3"/>
  <c r="BR386" i="3"/>
  <c r="BQ386" i="3"/>
  <c r="BP386" i="3"/>
  <c r="BO386" i="3"/>
  <c r="BN386" i="3"/>
  <c r="BV385" i="3"/>
  <c r="BU385" i="3"/>
  <c r="BT385" i="3"/>
  <c r="BS385" i="3"/>
  <c r="BR385" i="3"/>
  <c r="BQ385" i="3"/>
  <c r="BP385" i="3"/>
  <c r="BO385" i="3"/>
  <c r="BN385" i="3"/>
  <c r="BV384" i="3"/>
  <c r="BU384" i="3"/>
  <c r="BT384" i="3"/>
  <c r="BS384" i="3"/>
  <c r="BR384" i="3"/>
  <c r="BQ384" i="3"/>
  <c r="BP384" i="3"/>
  <c r="BO384" i="3"/>
  <c r="BN384" i="3"/>
  <c r="BV383" i="3"/>
  <c r="BU383" i="3"/>
  <c r="BT383" i="3"/>
  <c r="BS383" i="3"/>
  <c r="BR383" i="3"/>
  <c r="BQ383" i="3"/>
  <c r="BP383" i="3"/>
  <c r="BO383" i="3"/>
  <c r="BN383" i="3"/>
  <c r="BV382" i="3"/>
  <c r="BU382" i="3"/>
  <c r="BT382" i="3"/>
  <c r="BS382" i="3"/>
  <c r="BR382" i="3"/>
  <c r="BQ382" i="3"/>
  <c r="BP382" i="3"/>
  <c r="BO382" i="3"/>
  <c r="BN382" i="3"/>
  <c r="BV381" i="3"/>
  <c r="BU381" i="3"/>
  <c r="BT381" i="3"/>
  <c r="BS381" i="3"/>
  <c r="BR381" i="3"/>
  <c r="BQ381" i="3"/>
  <c r="BP381" i="3"/>
  <c r="BO381" i="3"/>
  <c r="BN381" i="3"/>
  <c r="BV380" i="3"/>
  <c r="BU380" i="3"/>
  <c r="BT380" i="3"/>
  <c r="BS380" i="3"/>
  <c r="BR380" i="3"/>
  <c r="BQ380" i="3"/>
  <c r="BP380" i="3"/>
  <c r="BO380" i="3"/>
  <c r="BN380" i="3"/>
  <c r="BV379" i="3"/>
  <c r="BU379" i="3"/>
  <c r="BT379" i="3"/>
  <c r="BS379" i="3"/>
  <c r="BR379" i="3"/>
  <c r="BQ379" i="3"/>
  <c r="BP379" i="3"/>
  <c r="BO379" i="3"/>
  <c r="BN379" i="3"/>
  <c r="BV378" i="3"/>
  <c r="BU378" i="3"/>
  <c r="BT378" i="3"/>
  <c r="BS378" i="3"/>
  <c r="BR378" i="3"/>
  <c r="BQ378" i="3"/>
  <c r="BP378" i="3"/>
  <c r="BO378" i="3"/>
  <c r="BN378" i="3"/>
  <c r="BV377" i="3"/>
  <c r="BU377" i="3"/>
  <c r="BT377" i="3"/>
  <c r="BS377" i="3"/>
  <c r="BR377" i="3"/>
  <c r="BQ377" i="3"/>
  <c r="BP377" i="3"/>
  <c r="BO377" i="3"/>
  <c r="BN377" i="3"/>
  <c r="BV376" i="3"/>
  <c r="BU376" i="3"/>
  <c r="BT376" i="3"/>
  <c r="BS376" i="3"/>
  <c r="BR376" i="3"/>
  <c r="BQ376" i="3"/>
  <c r="BP376" i="3"/>
  <c r="BO376" i="3"/>
  <c r="BN376" i="3"/>
  <c r="BV375" i="3"/>
  <c r="BU375" i="3"/>
  <c r="BT375" i="3"/>
  <c r="BS375" i="3"/>
  <c r="BR375" i="3"/>
  <c r="BQ375" i="3"/>
  <c r="BP375" i="3"/>
  <c r="BO375" i="3"/>
  <c r="BN375" i="3"/>
  <c r="BV374" i="3"/>
  <c r="BU374" i="3"/>
  <c r="BT374" i="3"/>
  <c r="BS374" i="3"/>
  <c r="BR374" i="3"/>
  <c r="BQ374" i="3"/>
  <c r="BP374" i="3"/>
  <c r="BO374" i="3"/>
  <c r="BN374" i="3"/>
  <c r="BV373" i="3"/>
  <c r="BU373" i="3"/>
  <c r="BT373" i="3"/>
  <c r="BS373" i="3"/>
  <c r="BR373" i="3"/>
  <c r="BQ373" i="3"/>
  <c r="BP373" i="3"/>
  <c r="BO373" i="3"/>
  <c r="BN373" i="3"/>
  <c r="BV372" i="3"/>
  <c r="BU372" i="3"/>
  <c r="BT372" i="3"/>
  <c r="BS372" i="3"/>
  <c r="BR372" i="3"/>
  <c r="BQ372" i="3"/>
  <c r="BP372" i="3"/>
  <c r="BO372" i="3"/>
  <c r="BN372" i="3"/>
  <c r="BV371" i="3"/>
  <c r="BU371" i="3"/>
  <c r="BT371" i="3"/>
  <c r="BS371" i="3"/>
  <c r="BR371" i="3"/>
  <c r="BQ371" i="3"/>
  <c r="BP371" i="3"/>
  <c r="BO371" i="3"/>
  <c r="BN371" i="3"/>
  <c r="BV370" i="3"/>
  <c r="BU370" i="3"/>
  <c r="BT370" i="3"/>
  <c r="BS370" i="3"/>
  <c r="BR370" i="3"/>
  <c r="BQ370" i="3"/>
  <c r="BP370" i="3"/>
  <c r="BO370" i="3"/>
  <c r="BN370" i="3"/>
  <c r="BV369" i="3"/>
  <c r="BU369" i="3"/>
  <c r="BT369" i="3"/>
  <c r="BS369" i="3"/>
  <c r="BR369" i="3"/>
  <c r="BQ369" i="3"/>
  <c r="BP369" i="3"/>
  <c r="BO369" i="3"/>
  <c r="BN369" i="3"/>
  <c r="BV368" i="3"/>
  <c r="BU368" i="3"/>
  <c r="BT368" i="3"/>
  <c r="BS368" i="3"/>
  <c r="BR368" i="3"/>
  <c r="BQ368" i="3"/>
  <c r="BP368" i="3"/>
  <c r="BO368" i="3"/>
  <c r="BN368" i="3"/>
  <c r="BV367" i="3"/>
  <c r="BU367" i="3"/>
  <c r="BT367" i="3"/>
  <c r="BS367" i="3"/>
  <c r="BR367" i="3"/>
  <c r="BQ367" i="3"/>
  <c r="BP367" i="3"/>
  <c r="BO367" i="3"/>
  <c r="BN367" i="3"/>
  <c r="BV366" i="3"/>
  <c r="BU366" i="3"/>
  <c r="BT366" i="3"/>
  <c r="BS366" i="3"/>
  <c r="BR366" i="3"/>
  <c r="BQ366" i="3"/>
  <c r="BP366" i="3"/>
  <c r="BO366" i="3"/>
  <c r="BN366" i="3"/>
  <c r="BV365" i="3"/>
  <c r="BU365" i="3"/>
  <c r="BT365" i="3"/>
  <c r="BS365" i="3"/>
  <c r="BR365" i="3"/>
  <c r="BQ365" i="3"/>
  <c r="BP365" i="3"/>
  <c r="BO365" i="3"/>
  <c r="BN365" i="3"/>
  <c r="BV364" i="3"/>
  <c r="BU364" i="3"/>
  <c r="BT364" i="3"/>
  <c r="BS364" i="3"/>
  <c r="BR364" i="3"/>
  <c r="BQ364" i="3"/>
  <c r="BP364" i="3"/>
  <c r="BO364" i="3"/>
  <c r="BN364" i="3"/>
  <c r="BV363" i="3"/>
  <c r="BU363" i="3"/>
  <c r="BT363" i="3"/>
  <c r="BS363" i="3"/>
  <c r="BR363" i="3"/>
  <c r="BQ363" i="3"/>
  <c r="BP363" i="3"/>
  <c r="BO363" i="3"/>
  <c r="BN363" i="3"/>
  <c r="BV362" i="3"/>
  <c r="BU362" i="3"/>
  <c r="BT362" i="3"/>
  <c r="BS362" i="3"/>
  <c r="BR362" i="3"/>
  <c r="BQ362" i="3"/>
  <c r="BP362" i="3"/>
  <c r="BO362" i="3"/>
  <c r="BN362" i="3"/>
  <c r="BV361" i="3"/>
  <c r="BU361" i="3"/>
  <c r="BT361" i="3"/>
  <c r="BS361" i="3"/>
  <c r="BR361" i="3"/>
  <c r="BQ361" i="3"/>
  <c r="BP361" i="3"/>
  <c r="BO361" i="3"/>
  <c r="BN361" i="3"/>
  <c r="BV360" i="3"/>
  <c r="BU360" i="3"/>
  <c r="BT360" i="3"/>
  <c r="BS360" i="3"/>
  <c r="BR360" i="3"/>
  <c r="BQ360" i="3"/>
  <c r="BP360" i="3"/>
  <c r="BO360" i="3"/>
  <c r="BN360" i="3"/>
  <c r="BV359" i="3"/>
  <c r="BU359" i="3"/>
  <c r="BT359" i="3"/>
  <c r="BS359" i="3"/>
  <c r="BR359" i="3"/>
  <c r="BQ359" i="3"/>
  <c r="BP359" i="3"/>
  <c r="BO359" i="3"/>
  <c r="BN359" i="3"/>
  <c r="BV358" i="3"/>
  <c r="BU358" i="3"/>
  <c r="BT358" i="3"/>
  <c r="BS358" i="3"/>
  <c r="BR358" i="3"/>
  <c r="BQ358" i="3"/>
  <c r="BP358" i="3"/>
  <c r="BO358" i="3"/>
  <c r="BN358" i="3"/>
  <c r="BV357" i="3"/>
  <c r="BU357" i="3"/>
  <c r="BT357" i="3"/>
  <c r="BS357" i="3"/>
  <c r="BR357" i="3"/>
  <c r="BQ357" i="3"/>
  <c r="BP357" i="3"/>
  <c r="BO357" i="3"/>
  <c r="BN357" i="3"/>
  <c r="BV356" i="3"/>
  <c r="BU356" i="3"/>
  <c r="BT356" i="3"/>
  <c r="BS356" i="3"/>
  <c r="BR356" i="3"/>
  <c r="BQ356" i="3"/>
  <c r="BP356" i="3"/>
  <c r="BO356" i="3"/>
  <c r="BN356" i="3"/>
  <c r="BV355" i="3"/>
  <c r="BU355" i="3"/>
  <c r="BT355" i="3"/>
  <c r="BS355" i="3"/>
  <c r="BR355" i="3"/>
  <c r="BQ355" i="3"/>
  <c r="BP355" i="3"/>
  <c r="BO355" i="3"/>
  <c r="BN355" i="3"/>
  <c r="BV354" i="3"/>
  <c r="BU354" i="3"/>
  <c r="BT354" i="3"/>
  <c r="BS354" i="3"/>
  <c r="BR354" i="3"/>
  <c r="BQ354" i="3"/>
  <c r="BP354" i="3"/>
  <c r="BO354" i="3"/>
  <c r="BN354" i="3"/>
  <c r="BV353" i="3"/>
  <c r="BU353" i="3"/>
  <c r="BT353" i="3"/>
  <c r="BS353" i="3"/>
  <c r="BR353" i="3"/>
  <c r="BQ353" i="3"/>
  <c r="BP353" i="3"/>
  <c r="BO353" i="3"/>
  <c r="BN353" i="3"/>
  <c r="BV352" i="3"/>
  <c r="BU352" i="3"/>
  <c r="BT352" i="3"/>
  <c r="BS352" i="3"/>
  <c r="BR352" i="3"/>
  <c r="BQ352" i="3"/>
  <c r="BP352" i="3"/>
  <c r="BO352" i="3"/>
  <c r="BN352" i="3"/>
  <c r="BV351" i="3"/>
  <c r="BU351" i="3"/>
  <c r="BT351" i="3"/>
  <c r="BS351" i="3"/>
  <c r="BR351" i="3"/>
  <c r="BQ351" i="3"/>
  <c r="BP351" i="3"/>
  <c r="BO351" i="3"/>
  <c r="BN351" i="3"/>
  <c r="BV350" i="3"/>
  <c r="BU350" i="3"/>
  <c r="BT350" i="3"/>
  <c r="BS350" i="3"/>
  <c r="BR350" i="3"/>
  <c r="BQ350" i="3"/>
  <c r="BP350" i="3"/>
  <c r="BO350" i="3"/>
  <c r="BN350" i="3"/>
  <c r="BV349" i="3"/>
  <c r="BU349" i="3"/>
  <c r="BT349" i="3"/>
  <c r="BS349" i="3"/>
  <c r="BR349" i="3"/>
  <c r="BQ349" i="3"/>
  <c r="BP349" i="3"/>
  <c r="BO349" i="3"/>
  <c r="BN349" i="3"/>
  <c r="BV348" i="3"/>
  <c r="BU348" i="3"/>
  <c r="BT348" i="3"/>
  <c r="BS348" i="3"/>
  <c r="BR348" i="3"/>
  <c r="BQ348" i="3"/>
  <c r="BP348" i="3"/>
  <c r="BO348" i="3"/>
  <c r="BN348" i="3"/>
  <c r="BV347" i="3"/>
  <c r="BU347" i="3"/>
  <c r="BT347" i="3"/>
  <c r="BS347" i="3"/>
  <c r="BR347" i="3"/>
  <c r="BQ347" i="3"/>
  <c r="BP347" i="3"/>
  <c r="BO347" i="3"/>
  <c r="BN347" i="3"/>
  <c r="BV346" i="3"/>
  <c r="BU346" i="3"/>
  <c r="BT346" i="3"/>
  <c r="BS346" i="3"/>
  <c r="BR346" i="3"/>
  <c r="BQ346" i="3"/>
  <c r="BP346" i="3"/>
  <c r="BO346" i="3"/>
  <c r="BN346" i="3"/>
  <c r="BV345" i="3"/>
  <c r="BU345" i="3"/>
  <c r="BT345" i="3"/>
  <c r="BS345" i="3"/>
  <c r="BR345" i="3"/>
  <c r="BQ345" i="3"/>
  <c r="BP345" i="3"/>
  <c r="BO345" i="3"/>
  <c r="BN345" i="3"/>
  <c r="BV344" i="3"/>
  <c r="BU344" i="3"/>
  <c r="BT344" i="3"/>
  <c r="BS344" i="3"/>
  <c r="BR344" i="3"/>
  <c r="BQ344" i="3"/>
  <c r="BP344" i="3"/>
  <c r="BO344" i="3"/>
  <c r="BN344" i="3"/>
  <c r="BV343" i="3"/>
  <c r="BU343" i="3"/>
  <c r="BT343" i="3"/>
  <c r="BS343" i="3"/>
  <c r="BR343" i="3"/>
  <c r="BQ343" i="3"/>
  <c r="BP343" i="3"/>
  <c r="BO343" i="3"/>
  <c r="BN343" i="3"/>
  <c r="BV342" i="3"/>
  <c r="BU342" i="3"/>
  <c r="BT342" i="3"/>
  <c r="BS342" i="3"/>
  <c r="BR342" i="3"/>
  <c r="BQ342" i="3"/>
  <c r="BP342" i="3"/>
  <c r="BO342" i="3"/>
  <c r="BN342" i="3"/>
  <c r="BV341" i="3"/>
  <c r="BU341" i="3"/>
  <c r="BT341" i="3"/>
  <c r="BS341" i="3"/>
  <c r="BR341" i="3"/>
  <c r="BQ341" i="3"/>
  <c r="BP341" i="3"/>
  <c r="BO341" i="3"/>
  <c r="BN341" i="3"/>
  <c r="BV340" i="3"/>
  <c r="BU340" i="3"/>
  <c r="BT340" i="3"/>
  <c r="BS340" i="3"/>
  <c r="BR340" i="3"/>
  <c r="BQ340" i="3"/>
  <c r="BP340" i="3"/>
  <c r="BO340" i="3"/>
  <c r="BN340" i="3"/>
  <c r="BV339" i="3"/>
  <c r="BU339" i="3"/>
  <c r="BT339" i="3"/>
  <c r="BS339" i="3"/>
  <c r="BR339" i="3"/>
  <c r="BQ339" i="3"/>
  <c r="BP339" i="3"/>
  <c r="BO339" i="3"/>
  <c r="BN339" i="3"/>
  <c r="BV338" i="3"/>
  <c r="BU338" i="3"/>
  <c r="BT338" i="3"/>
  <c r="BS338" i="3"/>
  <c r="BR338" i="3"/>
  <c r="BQ338" i="3"/>
  <c r="BP338" i="3"/>
  <c r="BO338" i="3"/>
  <c r="BN338" i="3"/>
  <c r="BV337" i="3"/>
  <c r="BU337" i="3"/>
  <c r="BT337" i="3"/>
  <c r="BS337" i="3"/>
  <c r="BR337" i="3"/>
  <c r="BQ337" i="3"/>
  <c r="BP337" i="3"/>
  <c r="BO337" i="3"/>
  <c r="BN337" i="3"/>
  <c r="BV336" i="3"/>
  <c r="BU336" i="3"/>
  <c r="BT336" i="3"/>
  <c r="BS336" i="3"/>
  <c r="BR336" i="3"/>
  <c r="BQ336" i="3"/>
  <c r="BP336" i="3"/>
  <c r="BO336" i="3"/>
  <c r="BN336" i="3"/>
  <c r="BV335" i="3"/>
  <c r="BU335" i="3"/>
  <c r="BT335" i="3"/>
  <c r="BS335" i="3"/>
  <c r="BR335" i="3"/>
  <c r="BQ335" i="3"/>
  <c r="BP335" i="3"/>
  <c r="BO335" i="3"/>
  <c r="BN335" i="3"/>
  <c r="BV334" i="3"/>
  <c r="BU334" i="3"/>
  <c r="BT334" i="3"/>
  <c r="BS334" i="3"/>
  <c r="BR334" i="3"/>
  <c r="BQ334" i="3"/>
  <c r="BP334" i="3"/>
  <c r="BO334" i="3"/>
  <c r="BN334" i="3"/>
  <c r="BV333" i="3"/>
  <c r="BU333" i="3"/>
  <c r="BT333" i="3"/>
  <c r="BS333" i="3"/>
  <c r="BR333" i="3"/>
  <c r="BQ333" i="3"/>
  <c r="BP333" i="3"/>
  <c r="BO333" i="3"/>
  <c r="BN333" i="3"/>
  <c r="BV332" i="3"/>
  <c r="BU332" i="3"/>
  <c r="BT332" i="3"/>
  <c r="BS332" i="3"/>
  <c r="BR332" i="3"/>
  <c r="BQ332" i="3"/>
  <c r="BP332" i="3"/>
  <c r="BO332" i="3"/>
  <c r="BN332" i="3"/>
  <c r="BV331" i="3"/>
  <c r="BU331" i="3"/>
  <c r="BT331" i="3"/>
  <c r="BS331" i="3"/>
  <c r="BR331" i="3"/>
  <c r="BQ331" i="3"/>
  <c r="BP331" i="3"/>
  <c r="BO331" i="3"/>
  <c r="BN331" i="3"/>
  <c r="BV330" i="3"/>
  <c r="BU330" i="3"/>
  <c r="BT330" i="3"/>
  <c r="BS330" i="3"/>
  <c r="BR330" i="3"/>
  <c r="BQ330" i="3"/>
  <c r="BP330" i="3"/>
  <c r="BO330" i="3"/>
  <c r="BN330" i="3"/>
  <c r="BV329" i="3"/>
  <c r="BU329" i="3"/>
  <c r="BT329" i="3"/>
  <c r="BS329" i="3"/>
  <c r="BR329" i="3"/>
  <c r="BQ329" i="3"/>
  <c r="BP329" i="3"/>
  <c r="BO329" i="3"/>
  <c r="BN329" i="3"/>
  <c r="BV328" i="3"/>
  <c r="BU328" i="3"/>
  <c r="BT328" i="3"/>
  <c r="BS328" i="3"/>
  <c r="BR328" i="3"/>
  <c r="BQ328" i="3"/>
  <c r="BP328" i="3"/>
  <c r="BO328" i="3"/>
  <c r="BN328" i="3"/>
  <c r="BV327" i="3"/>
  <c r="BU327" i="3"/>
  <c r="BT327" i="3"/>
  <c r="BS327" i="3"/>
  <c r="BR327" i="3"/>
  <c r="BQ327" i="3"/>
  <c r="BP327" i="3"/>
  <c r="BO327" i="3"/>
  <c r="BN327" i="3"/>
  <c r="BV326" i="3"/>
  <c r="BU326" i="3"/>
  <c r="BT326" i="3"/>
  <c r="BS326" i="3"/>
  <c r="BR326" i="3"/>
  <c r="BQ326" i="3"/>
  <c r="BP326" i="3"/>
  <c r="BO326" i="3"/>
  <c r="BN326" i="3"/>
  <c r="BV325" i="3"/>
  <c r="BU325" i="3"/>
  <c r="BT325" i="3"/>
  <c r="BS325" i="3"/>
  <c r="BR325" i="3"/>
  <c r="BQ325" i="3"/>
  <c r="BP325" i="3"/>
  <c r="BO325" i="3"/>
  <c r="BN325" i="3"/>
  <c r="BV324" i="3"/>
  <c r="BU324" i="3"/>
  <c r="BT324" i="3"/>
  <c r="BS324" i="3"/>
  <c r="BR324" i="3"/>
  <c r="BQ324" i="3"/>
  <c r="BP324" i="3"/>
  <c r="BO324" i="3"/>
  <c r="BN324" i="3"/>
  <c r="BV323" i="3"/>
  <c r="BU323" i="3"/>
  <c r="BT323" i="3"/>
  <c r="BS323" i="3"/>
  <c r="BR323" i="3"/>
  <c r="BQ323" i="3"/>
  <c r="BP323" i="3"/>
  <c r="BO323" i="3"/>
  <c r="BN323" i="3"/>
  <c r="BV322" i="3"/>
  <c r="BU322" i="3"/>
  <c r="BT322" i="3"/>
  <c r="BS322" i="3"/>
  <c r="BR322" i="3"/>
  <c r="BQ322" i="3"/>
  <c r="BP322" i="3"/>
  <c r="BO322" i="3"/>
  <c r="BN322" i="3"/>
  <c r="BV321" i="3"/>
  <c r="BU321" i="3"/>
  <c r="BT321" i="3"/>
  <c r="BS321" i="3"/>
  <c r="BR321" i="3"/>
  <c r="BQ321" i="3"/>
  <c r="BP321" i="3"/>
  <c r="BO321" i="3"/>
  <c r="BN321" i="3"/>
  <c r="BV320" i="3"/>
  <c r="BU320" i="3"/>
  <c r="BT320" i="3"/>
  <c r="BS320" i="3"/>
  <c r="BR320" i="3"/>
  <c r="BQ320" i="3"/>
  <c r="BP320" i="3"/>
  <c r="BO320" i="3"/>
  <c r="BN320" i="3"/>
  <c r="BV319" i="3"/>
  <c r="BU319" i="3"/>
  <c r="BT319" i="3"/>
  <c r="BS319" i="3"/>
  <c r="BR319" i="3"/>
  <c r="BQ319" i="3"/>
  <c r="BP319" i="3"/>
  <c r="BO319" i="3"/>
  <c r="BN319" i="3"/>
  <c r="BV318" i="3"/>
  <c r="BU318" i="3"/>
  <c r="BT318" i="3"/>
  <c r="BS318" i="3"/>
  <c r="BR318" i="3"/>
  <c r="BQ318" i="3"/>
  <c r="BP318" i="3"/>
  <c r="BO318" i="3"/>
  <c r="BN318" i="3"/>
  <c r="BV317" i="3"/>
  <c r="BU317" i="3"/>
  <c r="BT317" i="3"/>
  <c r="BS317" i="3"/>
  <c r="BR317" i="3"/>
  <c r="BQ317" i="3"/>
  <c r="BP317" i="3"/>
  <c r="BO317" i="3"/>
  <c r="BN317" i="3"/>
  <c r="BV316" i="3"/>
  <c r="BU316" i="3"/>
  <c r="BT316" i="3"/>
  <c r="BS316" i="3"/>
  <c r="BR316" i="3"/>
  <c r="BQ316" i="3"/>
  <c r="BP316" i="3"/>
  <c r="BO316" i="3"/>
  <c r="BN316" i="3"/>
  <c r="BV315" i="3"/>
  <c r="BU315" i="3"/>
  <c r="BT315" i="3"/>
  <c r="BS315" i="3"/>
  <c r="BR315" i="3"/>
  <c r="BQ315" i="3"/>
  <c r="BP315" i="3"/>
  <c r="BO315" i="3"/>
  <c r="BN315" i="3"/>
  <c r="BV314" i="3"/>
  <c r="BU314" i="3"/>
  <c r="BT314" i="3"/>
  <c r="BS314" i="3"/>
  <c r="BR314" i="3"/>
  <c r="BQ314" i="3"/>
  <c r="BP314" i="3"/>
  <c r="BO314" i="3"/>
  <c r="BN314" i="3"/>
  <c r="BV313" i="3"/>
  <c r="BU313" i="3"/>
  <c r="BT313" i="3"/>
  <c r="BS313" i="3"/>
  <c r="BR313" i="3"/>
  <c r="BQ313" i="3"/>
  <c r="BP313" i="3"/>
  <c r="BO313" i="3"/>
  <c r="BN313" i="3"/>
  <c r="BV312" i="3"/>
  <c r="BU312" i="3"/>
  <c r="BT312" i="3"/>
  <c r="BS312" i="3"/>
  <c r="BR312" i="3"/>
  <c r="BQ312" i="3"/>
  <c r="BP312" i="3"/>
  <c r="BO312" i="3"/>
  <c r="BN312" i="3"/>
  <c r="BV311" i="3"/>
  <c r="BU311" i="3"/>
  <c r="BT311" i="3"/>
  <c r="BS311" i="3"/>
  <c r="BR311" i="3"/>
  <c r="BQ311" i="3"/>
  <c r="BP311" i="3"/>
  <c r="BO311" i="3"/>
  <c r="BN311" i="3"/>
  <c r="BV310" i="3"/>
  <c r="BU310" i="3"/>
  <c r="BT310" i="3"/>
  <c r="BS310" i="3"/>
  <c r="BR310" i="3"/>
  <c r="BQ310" i="3"/>
  <c r="BP310" i="3"/>
  <c r="BO310" i="3"/>
  <c r="BN310" i="3"/>
  <c r="BV309" i="3"/>
  <c r="BU309" i="3"/>
  <c r="BT309" i="3"/>
  <c r="BS309" i="3"/>
  <c r="BR309" i="3"/>
  <c r="BQ309" i="3"/>
  <c r="BP309" i="3"/>
  <c r="BO309" i="3"/>
  <c r="BN309" i="3"/>
  <c r="BV308" i="3"/>
  <c r="BU308" i="3"/>
  <c r="BT308" i="3"/>
  <c r="BS308" i="3"/>
  <c r="BR308" i="3"/>
  <c r="BQ308" i="3"/>
  <c r="BP308" i="3"/>
  <c r="BO308" i="3"/>
  <c r="BN308" i="3"/>
  <c r="BV307" i="3"/>
  <c r="BU307" i="3"/>
  <c r="BT307" i="3"/>
  <c r="BS307" i="3"/>
  <c r="BR307" i="3"/>
  <c r="BQ307" i="3"/>
  <c r="BP307" i="3"/>
  <c r="BO307" i="3"/>
  <c r="BN307" i="3"/>
  <c r="BV306" i="3"/>
  <c r="BU306" i="3"/>
  <c r="BT306" i="3"/>
  <c r="BS306" i="3"/>
  <c r="BR306" i="3"/>
  <c r="BQ306" i="3"/>
  <c r="BP306" i="3"/>
  <c r="BO306" i="3"/>
  <c r="BN306" i="3"/>
  <c r="BV305" i="3"/>
  <c r="BU305" i="3"/>
  <c r="BT305" i="3"/>
  <c r="BS305" i="3"/>
  <c r="BR305" i="3"/>
  <c r="BQ305" i="3"/>
  <c r="BP305" i="3"/>
  <c r="BO305" i="3"/>
  <c r="BN305" i="3"/>
  <c r="BV304" i="3"/>
  <c r="BU304" i="3"/>
  <c r="BT304" i="3"/>
  <c r="BS304" i="3"/>
  <c r="BR304" i="3"/>
  <c r="BQ304" i="3"/>
  <c r="BP304" i="3"/>
  <c r="BO304" i="3"/>
  <c r="BN304" i="3"/>
  <c r="BV303" i="3"/>
  <c r="BU303" i="3"/>
  <c r="BT303" i="3"/>
  <c r="BS303" i="3"/>
  <c r="BR303" i="3"/>
  <c r="BQ303" i="3"/>
  <c r="BP303" i="3"/>
  <c r="BO303" i="3"/>
  <c r="BN303" i="3"/>
  <c r="BV302" i="3"/>
  <c r="BU302" i="3"/>
  <c r="BT302" i="3"/>
  <c r="BS302" i="3"/>
  <c r="BR302" i="3"/>
  <c r="BQ302" i="3"/>
  <c r="BP302" i="3"/>
  <c r="BO302" i="3"/>
  <c r="BN302" i="3"/>
  <c r="BV301" i="3"/>
  <c r="BU301" i="3"/>
  <c r="BT301" i="3"/>
  <c r="BS301" i="3"/>
  <c r="BR301" i="3"/>
  <c r="BQ301" i="3"/>
  <c r="BP301" i="3"/>
  <c r="BO301" i="3"/>
  <c r="BN301" i="3"/>
  <c r="BV300" i="3"/>
  <c r="BU300" i="3"/>
  <c r="BT300" i="3"/>
  <c r="BS300" i="3"/>
  <c r="BR300" i="3"/>
  <c r="BQ300" i="3"/>
  <c r="BP300" i="3"/>
  <c r="BO300" i="3"/>
  <c r="BN300" i="3"/>
  <c r="BV299" i="3"/>
  <c r="BU299" i="3"/>
  <c r="BT299" i="3"/>
  <c r="BS299" i="3"/>
  <c r="BR299" i="3"/>
  <c r="BQ299" i="3"/>
  <c r="BP299" i="3"/>
  <c r="BO299" i="3"/>
  <c r="BN299" i="3"/>
  <c r="BV298" i="3"/>
  <c r="BU298" i="3"/>
  <c r="BT298" i="3"/>
  <c r="BS298" i="3"/>
  <c r="BR298" i="3"/>
  <c r="BQ298" i="3"/>
  <c r="BP298" i="3"/>
  <c r="BO298" i="3"/>
  <c r="BN298" i="3"/>
  <c r="BV297" i="3"/>
  <c r="BU297" i="3"/>
  <c r="BT297" i="3"/>
  <c r="BS297" i="3"/>
  <c r="BR297" i="3"/>
  <c r="BQ297" i="3"/>
  <c r="BP297" i="3"/>
  <c r="BO297" i="3"/>
  <c r="BN297" i="3"/>
  <c r="BV296" i="3"/>
  <c r="BU296" i="3"/>
  <c r="BT296" i="3"/>
  <c r="BS296" i="3"/>
  <c r="BR296" i="3"/>
  <c r="BQ296" i="3"/>
  <c r="BP296" i="3"/>
  <c r="BO296" i="3"/>
  <c r="BN296" i="3"/>
  <c r="BV295" i="3"/>
  <c r="BU295" i="3"/>
  <c r="BT295" i="3"/>
  <c r="BS295" i="3"/>
  <c r="BR295" i="3"/>
  <c r="BQ295" i="3"/>
  <c r="BP295" i="3"/>
  <c r="BO295" i="3"/>
  <c r="BN295" i="3"/>
  <c r="BV294" i="3"/>
  <c r="BU294" i="3"/>
  <c r="BT294" i="3"/>
  <c r="BS294" i="3"/>
  <c r="BR294" i="3"/>
  <c r="BQ294" i="3"/>
  <c r="BP294" i="3"/>
  <c r="BO294" i="3"/>
  <c r="BN294" i="3"/>
  <c r="BV293" i="3"/>
  <c r="BU293" i="3"/>
  <c r="BT293" i="3"/>
  <c r="BS293" i="3"/>
  <c r="BR293" i="3"/>
  <c r="BQ293" i="3"/>
  <c r="BP293" i="3"/>
  <c r="BO293" i="3"/>
  <c r="BN293" i="3"/>
  <c r="BV292" i="3"/>
  <c r="BU292" i="3"/>
  <c r="BT292" i="3"/>
  <c r="BS292" i="3"/>
  <c r="BR292" i="3"/>
  <c r="BQ292" i="3"/>
  <c r="BP292" i="3"/>
  <c r="BO292" i="3"/>
  <c r="BN292" i="3"/>
  <c r="BV291" i="3"/>
  <c r="BU291" i="3"/>
  <c r="BT291" i="3"/>
  <c r="BS291" i="3"/>
  <c r="BR291" i="3"/>
  <c r="BQ291" i="3"/>
  <c r="BP291" i="3"/>
  <c r="BO291" i="3"/>
  <c r="BN291" i="3"/>
  <c r="BV290" i="3"/>
  <c r="BU290" i="3"/>
  <c r="BT290" i="3"/>
  <c r="BS290" i="3"/>
  <c r="BR290" i="3"/>
  <c r="BQ290" i="3"/>
  <c r="BP290" i="3"/>
  <c r="BO290" i="3"/>
  <c r="BN290" i="3"/>
  <c r="BV289" i="3"/>
  <c r="BU289" i="3"/>
  <c r="BT289" i="3"/>
  <c r="BS289" i="3"/>
  <c r="BR289" i="3"/>
  <c r="BQ289" i="3"/>
  <c r="BP289" i="3"/>
  <c r="BO289" i="3"/>
  <c r="BN289" i="3"/>
  <c r="BV288" i="3"/>
  <c r="BU288" i="3"/>
  <c r="BT288" i="3"/>
  <c r="BS288" i="3"/>
  <c r="BR288" i="3"/>
  <c r="BQ288" i="3"/>
  <c r="BP288" i="3"/>
  <c r="BO288" i="3"/>
  <c r="BN288" i="3"/>
  <c r="BV287" i="3"/>
  <c r="BU287" i="3"/>
  <c r="BT287" i="3"/>
  <c r="BS287" i="3"/>
  <c r="BR287" i="3"/>
  <c r="BQ287" i="3"/>
  <c r="BP287" i="3"/>
  <c r="BO287" i="3"/>
  <c r="BN287" i="3"/>
  <c r="BV286" i="3"/>
  <c r="BU286" i="3"/>
  <c r="BT286" i="3"/>
  <c r="BS286" i="3"/>
  <c r="BR286" i="3"/>
  <c r="BQ286" i="3"/>
  <c r="BP286" i="3"/>
  <c r="BO286" i="3"/>
  <c r="BN286" i="3"/>
  <c r="BV285" i="3"/>
  <c r="BU285" i="3"/>
  <c r="BT285" i="3"/>
  <c r="BS285" i="3"/>
  <c r="BR285" i="3"/>
  <c r="BQ285" i="3"/>
  <c r="BP285" i="3"/>
  <c r="BO285" i="3"/>
  <c r="BN285" i="3"/>
  <c r="BV284" i="3"/>
  <c r="BU284" i="3"/>
  <c r="BT284" i="3"/>
  <c r="BS284" i="3"/>
  <c r="BR284" i="3"/>
  <c r="BQ284" i="3"/>
  <c r="BP284" i="3"/>
  <c r="BO284" i="3"/>
  <c r="BN284" i="3"/>
  <c r="BV283" i="3"/>
  <c r="BU283" i="3"/>
  <c r="BT283" i="3"/>
  <c r="BS283" i="3"/>
  <c r="BR283" i="3"/>
  <c r="BQ283" i="3"/>
  <c r="BP283" i="3"/>
  <c r="BO283" i="3"/>
  <c r="BN283" i="3"/>
  <c r="BV282" i="3"/>
  <c r="BU282" i="3"/>
  <c r="BT282" i="3"/>
  <c r="BS282" i="3"/>
  <c r="BR282" i="3"/>
  <c r="BQ282" i="3"/>
  <c r="BP282" i="3"/>
  <c r="BO282" i="3"/>
  <c r="BN282" i="3"/>
  <c r="BV281" i="3"/>
  <c r="BU281" i="3"/>
  <c r="BT281" i="3"/>
  <c r="BS281" i="3"/>
  <c r="BR281" i="3"/>
  <c r="BQ281" i="3"/>
  <c r="BP281" i="3"/>
  <c r="BO281" i="3"/>
  <c r="BN281" i="3"/>
  <c r="BV280" i="3"/>
  <c r="BU280" i="3"/>
  <c r="BT280" i="3"/>
  <c r="BS280" i="3"/>
  <c r="BR280" i="3"/>
  <c r="BQ280" i="3"/>
  <c r="BP280" i="3"/>
  <c r="BO280" i="3"/>
  <c r="BN280" i="3"/>
  <c r="BV279" i="3"/>
  <c r="BU279" i="3"/>
  <c r="BT279" i="3"/>
  <c r="BS279" i="3"/>
  <c r="BR279" i="3"/>
  <c r="BQ279" i="3"/>
  <c r="BP279" i="3"/>
  <c r="BO279" i="3"/>
  <c r="BN279" i="3"/>
  <c r="BV278" i="3"/>
  <c r="BU278" i="3"/>
  <c r="BT278" i="3"/>
  <c r="BS278" i="3"/>
  <c r="BR278" i="3"/>
  <c r="BQ278" i="3"/>
  <c r="BP278" i="3"/>
  <c r="BO278" i="3"/>
  <c r="BN278" i="3"/>
  <c r="BV277" i="3"/>
  <c r="BU277" i="3"/>
  <c r="BT277" i="3"/>
  <c r="BS277" i="3"/>
  <c r="BR277" i="3"/>
  <c r="BQ277" i="3"/>
  <c r="BP277" i="3"/>
  <c r="BO277" i="3"/>
  <c r="BN277" i="3"/>
  <c r="BV276" i="3"/>
  <c r="BU276" i="3"/>
  <c r="BT276" i="3"/>
  <c r="BS276" i="3"/>
  <c r="BR276" i="3"/>
  <c r="BQ276" i="3"/>
  <c r="BP276" i="3"/>
  <c r="BO276" i="3"/>
  <c r="BN276" i="3"/>
  <c r="BV275" i="3"/>
  <c r="BU275" i="3"/>
  <c r="BT275" i="3"/>
  <c r="BS275" i="3"/>
  <c r="BR275" i="3"/>
  <c r="BQ275" i="3"/>
  <c r="BP275" i="3"/>
  <c r="BO275" i="3"/>
  <c r="BN275" i="3"/>
  <c r="BV274" i="3"/>
  <c r="BU274" i="3"/>
  <c r="BT274" i="3"/>
  <c r="BS274" i="3"/>
  <c r="BR274" i="3"/>
  <c r="BQ274" i="3"/>
  <c r="BP274" i="3"/>
  <c r="BO274" i="3"/>
  <c r="BN274" i="3"/>
  <c r="BV273" i="3"/>
  <c r="BU273" i="3"/>
  <c r="BT273" i="3"/>
  <c r="BS273" i="3"/>
  <c r="BR273" i="3"/>
  <c r="BQ273" i="3"/>
  <c r="BP273" i="3"/>
  <c r="BO273" i="3"/>
  <c r="BN273" i="3"/>
  <c r="BV272" i="3"/>
  <c r="BU272" i="3"/>
  <c r="BT272" i="3"/>
  <c r="BS272" i="3"/>
  <c r="BR272" i="3"/>
  <c r="BQ272" i="3"/>
  <c r="BP272" i="3"/>
  <c r="BO272" i="3"/>
  <c r="BN272" i="3"/>
  <c r="BV271" i="3"/>
  <c r="BU271" i="3"/>
  <c r="BT271" i="3"/>
  <c r="BS271" i="3"/>
  <c r="BR271" i="3"/>
  <c r="BQ271" i="3"/>
  <c r="BP271" i="3"/>
  <c r="BO271" i="3"/>
  <c r="BN271" i="3"/>
  <c r="BV270" i="3"/>
  <c r="BU270" i="3"/>
  <c r="BT270" i="3"/>
  <c r="BS270" i="3"/>
  <c r="BR270" i="3"/>
  <c r="BQ270" i="3"/>
  <c r="BP270" i="3"/>
  <c r="BO270" i="3"/>
  <c r="BN270" i="3"/>
  <c r="BV269" i="3"/>
  <c r="BU269" i="3"/>
  <c r="BT269" i="3"/>
  <c r="BS269" i="3"/>
  <c r="BR269" i="3"/>
  <c r="BQ269" i="3"/>
  <c r="BP269" i="3"/>
  <c r="BO269" i="3"/>
  <c r="BN269" i="3"/>
  <c r="BV268" i="3"/>
  <c r="BU268" i="3"/>
  <c r="BT268" i="3"/>
  <c r="BS268" i="3"/>
  <c r="BR268" i="3"/>
  <c r="BQ268" i="3"/>
  <c r="BP268" i="3"/>
  <c r="BO268" i="3"/>
  <c r="BN268" i="3"/>
  <c r="BV267" i="3"/>
  <c r="BU267" i="3"/>
  <c r="BT267" i="3"/>
  <c r="BS267" i="3"/>
  <c r="BR267" i="3"/>
  <c r="BQ267" i="3"/>
  <c r="BP267" i="3"/>
  <c r="BO267" i="3"/>
  <c r="BN267" i="3"/>
  <c r="BV266" i="3"/>
  <c r="BU266" i="3"/>
  <c r="BT266" i="3"/>
  <c r="BS266" i="3"/>
  <c r="BR266" i="3"/>
  <c r="BQ266" i="3"/>
  <c r="BP266" i="3"/>
  <c r="BO266" i="3"/>
  <c r="BN266" i="3"/>
  <c r="BV265" i="3"/>
  <c r="BU265" i="3"/>
  <c r="BT265" i="3"/>
  <c r="BS265" i="3"/>
  <c r="BR265" i="3"/>
  <c r="BQ265" i="3"/>
  <c r="BP265" i="3"/>
  <c r="BO265" i="3"/>
  <c r="BN265" i="3"/>
  <c r="BV264" i="3"/>
  <c r="BU264" i="3"/>
  <c r="BT264" i="3"/>
  <c r="BS264" i="3"/>
  <c r="BR264" i="3"/>
  <c r="BQ264" i="3"/>
  <c r="BP264" i="3"/>
  <c r="BO264" i="3"/>
  <c r="BN264" i="3"/>
  <c r="BV263" i="3"/>
  <c r="BU263" i="3"/>
  <c r="BT263" i="3"/>
  <c r="BS263" i="3"/>
  <c r="BR263" i="3"/>
  <c r="BQ263" i="3"/>
  <c r="BP263" i="3"/>
  <c r="BO263" i="3"/>
  <c r="BN263" i="3"/>
  <c r="BV262" i="3"/>
  <c r="BU262" i="3"/>
  <c r="BT262" i="3"/>
  <c r="BS262" i="3"/>
  <c r="BR262" i="3"/>
  <c r="BQ262" i="3"/>
  <c r="BP262" i="3"/>
  <c r="BO262" i="3"/>
  <c r="BN262" i="3"/>
  <c r="BV261" i="3"/>
  <c r="BU261" i="3"/>
  <c r="BT261" i="3"/>
  <c r="BS261" i="3"/>
  <c r="BR261" i="3"/>
  <c r="BQ261" i="3"/>
  <c r="BP261" i="3"/>
  <c r="BO261" i="3"/>
  <c r="BN261" i="3"/>
  <c r="BV260" i="3"/>
  <c r="BU260" i="3"/>
  <c r="BT260" i="3"/>
  <c r="BS260" i="3"/>
  <c r="BR260" i="3"/>
  <c r="BQ260" i="3"/>
  <c r="BP260" i="3"/>
  <c r="BO260" i="3"/>
  <c r="BN260" i="3"/>
  <c r="BV259" i="3"/>
  <c r="BU259" i="3"/>
  <c r="BT259" i="3"/>
  <c r="BS259" i="3"/>
  <c r="BR259" i="3"/>
  <c r="BQ259" i="3"/>
  <c r="BP259" i="3"/>
  <c r="BO259" i="3"/>
  <c r="BN259" i="3"/>
  <c r="BV258" i="3"/>
  <c r="BU258" i="3"/>
  <c r="BT258" i="3"/>
  <c r="BS258" i="3"/>
  <c r="BR258" i="3"/>
  <c r="BQ258" i="3"/>
  <c r="BP258" i="3"/>
  <c r="BO258" i="3"/>
  <c r="BN258" i="3"/>
  <c r="BV257" i="3"/>
  <c r="BU257" i="3"/>
  <c r="BT257" i="3"/>
  <c r="BS257" i="3"/>
  <c r="BR257" i="3"/>
  <c r="BQ257" i="3"/>
  <c r="BP257" i="3"/>
  <c r="BO257" i="3"/>
  <c r="BN257" i="3"/>
  <c r="BV256" i="3"/>
  <c r="BU256" i="3"/>
  <c r="BT256" i="3"/>
  <c r="BS256" i="3"/>
  <c r="BR256" i="3"/>
  <c r="BQ256" i="3"/>
  <c r="BP256" i="3"/>
  <c r="BO256" i="3"/>
  <c r="BN256" i="3"/>
  <c r="BV255" i="3"/>
  <c r="BU255" i="3"/>
  <c r="BT255" i="3"/>
  <c r="BS255" i="3"/>
  <c r="BR255" i="3"/>
  <c r="BQ255" i="3"/>
  <c r="BP255" i="3"/>
  <c r="BO255" i="3"/>
  <c r="BN255" i="3"/>
  <c r="BV254" i="3"/>
  <c r="BU254" i="3"/>
  <c r="BT254" i="3"/>
  <c r="BS254" i="3"/>
  <c r="BR254" i="3"/>
  <c r="BQ254" i="3"/>
  <c r="BP254" i="3"/>
  <c r="BO254" i="3"/>
  <c r="BN254" i="3"/>
  <c r="BV253" i="3"/>
  <c r="BU253" i="3"/>
  <c r="BT253" i="3"/>
  <c r="BS253" i="3"/>
  <c r="BR253" i="3"/>
  <c r="BQ253" i="3"/>
  <c r="BP253" i="3"/>
  <c r="BO253" i="3"/>
  <c r="BN253" i="3"/>
  <c r="BV252" i="3"/>
  <c r="BU252" i="3"/>
  <c r="BT252" i="3"/>
  <c r="BS252" i="3"/>
  <c r="BR252" i="3"/>
  <c r="BQ252" i="3"/>
  <c r="BP252" i="3"/>
  <c r="BO252" i="3"/>
  <c r="BN252" i="3"/>
  <c r="BV251" i="3"/>
  <c r="BU251" i="3"/>
  <c r="BT251" i="3"/>
  <c r="BS251" i="3"/>
  <c r="BR251" i="3"/>
  <c r="BQ251" i="3"/>
  <c r="BP251" i="3"/>
  <c r="BO251" i="3"/>
  <c r="BN251" i="3"/>
  <c r="BV250" i="3"/>
  <c r="BU250" i="3"/>
  <c r="BT250" i="3"/>
  <c r="BS250" i="3"/>
  <c r="BR250" i="3"/>
  <c r="BQ250" i="3"/>
  <c r="BP250" i="3"/>
  <c r="BO250" i="3"/>
  <c r="BN250" i="3"/>
  <c r="BV249" i="3"/>
  <c r="BU249" i="3"/>
  <c r="BT249" i="3"/>
  <c r="BS249" i="3"/>
  <c r="BR249" i="3"/>
  <c r="BQ249" i="3"/>
  <c r="BP249" i="3"/>
  <c r="BO249" i="3"/>
  <c r="BN249" i="3"/>
  <c r="BV248" i="3"/>
  <c r="BU248" i="3"/>
  <c r="BT248" i="3"/>
  <c r="BS248" i="3"/>
  <c r="BR248" i="3"/>
  <c r="BQ248" i="3"/>
  <c r="BP248" i="3"/>
  <c r="BO248" i="3"/>
  <c r="BN248" i="3"/>
  <c r="BV247" i="3"/>
  <c r="BU247" i="3"/>
  <c r="BT247" i="3"/>
  <c r="BS247" i="3"/>
  <c r="BR247" i="3"/>
  <c r="BQ247" i="3"/>
  <c r="BP247" i="3"/>
  <c r="BO247" i="3"/>
  <c r="BN247" i="3"/>
  <c r="BV246" i="3"/>
  <c r="BU246" i="3"/>
  <c r="BT246" i="3"/>
  <c r="BS246" i="3"/>
  <c r="BR246" i="3"/>
  <c r="BQ246" i="3"/>
  <c r="BP246" i="3"/>
  <c r="BO246" i="3"/>
  <c r="BN246" i="3"/>
  <c r="BV245" i="3"/>
  <c r="BU245" i="3"/>
  <c r="BT245" i="3"/>
  <c r="BS245" i="3"/>
  <c r="BR245" i="3"/>
  <c r="BQ245" i="3"/>
  <c r="BP245" i="3"/>
  <c r="BO245" i="3"/>
  <c r="BN245" i="3"/>
  <c r="BV244" i="3"/>
  <c r="BU244" i="3"/>
  <c r="BT244" i="3"/>
  <c r="BS244" i="3"/>
  <c r="BR244" i="3"/>
  <c r="BQ244" i="3"/>
  <c r="BP244" i="3"/>
  <c r="BO244" i="3"/>
  <c r="BN244" i="3"/>
  <c r="BV243" i="3"/>
  <c r="BU243" i="3"/>
  <c r="BT243" i="3"/>
  <c r="BS243" i="3"/>
  <c r="BR243" i="3"/>
  <c r="BQ243" i="3"/>
  <c r="BP243" i="3"/>
  <c r="BO243" i="3"/>
  <c r="BN243" i="3"/>
  <c r="BV242" i="3"/>
  <c r="BU242" i="3"/>
  <c r="BT242" i="3"/>
  <c r="BS242" i="3"/>
  <c r="BR242" i="3"/>
  <c r="BQ242" i="3"/>
  <c r="BP242" i="3"/>
  <c r="BO242" i="3"/>
  <c r="BN242" i="3"/>
  <c r="BV241" i="3"/>
  <c r="BU241" i="3"/>
  <c r="BT241" i="3"/>
  <c r="BS241" i="3"/>
  <c r="BR241" i="3"/>
  <c r="BQ241" i="3"/>
  <c r="BP241" i="3"/>
  <c r="BO241" i="3"/>
  <c r="BN241" i="3"/>
  <c r="BV240" i="3"/>
  <c r="BU240" i="3"/>
  <c r="BT240" i="3"/>
  <c r="BS240" i="3"/>
  <c r="BR240" i="3"/>
  <c r="BQ240" i="3"/>
  <c r="BP240" i="3"/>
  <c r="BO240" i="3"/>
  <c r="BN240" i="3"/>
  <c r="BV239" i="3"/>
  <c r="BU239" i="3"/>
  <c r="BT239" i="3"/>
  <c r="BS239" i="3"/>
  <c r="BR239" i="3"/>
  <c r="BQ239" i="3"/>
  <c r="BP239" i="3"/>
  <c r="BO239" i="3"/>
  <c r="BN239" i="3"/>
  <c r="BV238" i="3"/>
  <c r="BU238" i="3"/>
  <c r="BT238" i="3"/>
  <c r="BS238" i="3"/>
  <c r="BR238" i="3"/>
  <c r="BQ238" i="3"/>
  <c r="BP238" i="3"/>
  <c r="BO238" i="3"/>
  <c r="BN238" i="3"/>
  <c r="BV237" i="3"/>
  <c r="BU237" i="3"/>
  <c r="BT237" i="3"/>
  <c r="BS237" i="3"/>
  <c r="BR237" i="3"/>
  <c r="BQ237" i="3"/>
  <c r="BP237" i="3"/>
  <c r="BO237" i="3"/>
  <c r="BN237" i="3"/>
  <c r="BV236" i="3"/>
  <c r="BU236" i="3"/>
  <c r="BT236" i="3"/>
  <c r="BS236" i="3"/>
  <c r="BR236" i="3"/>
  <c r="BQ236" i="3"/>
  <c r="BP236" i="3"/>
  <c r="BO236" i="3"/>
  <c r="BN236" i="3"/>
  <c r="BV235" i="3"/>
  <c r="BU235" i="3"/>
  <c r="BT235" i="3"/>
  <c r="BS235" i="3"/>
  <c r="BR235" i="3"/>
  <c r="BQ235" i="3"/>
  <c r="BP235" i="3"/>
  <c r="BO235" i="3"/>
  <c r="BN235" i="3"/>
  <c r="BV234" i="3"/>
  <c r="BU234" i="3"/>
  <c r="BT234" i="3"/>
  <c r="BS234" i="3"/>
  <c r="BR234" i="3"/>
  <c r="BQ234" i="3"/>
  <c r="BP234" i="3"/>
  <c r="BO234" i="3"/>
  <c r="BN234" i="3"/>
  <c r="BV233" i="3"/>
  <c r="BU233" i="3"/>
  <c r="BT233" i="3"/>
  <c r="BS233" i="3"/>
  <c r="BR233" i="3"/>
  <c r="BQ233" i="3"/>
  <c r="BP233" i="3"/>
  <c r="BO233" i="3"/>
  <c r="BN233" i="3"/>
  <c r="BV232" i="3"/>
  <c r="BU232" i="3"/>
  <c r="BT232" i="3"/>
  <c r="BS232" i="3"/>
  <c r="BR232" i="3"/>
  <c r="BQ232" i="3"/>
  <c r="BP232" i="3"/>
  <c r="BO232" i="3"/>
  <c r="BN232" i="3"/>
  <c r="BV231" i="3"/>
  <c r="BU231" i="3"/>
  <c r="BT231" i="3"/>
  <c r="BS231" i="3"/>
  <c r="BR231" i="3"/>
  <c r="BQ231" i="3"/>
  <c r="BP231" i="3"/>
  <c r="BO231" i="3"/>
  <c r="BN231" i="3"/>
  <c r="BV230" i="3"/>
  <c r="BU230" i="3"/>
  <c r="BT230" i="3"/>
  <c r="BS230" i="3"/>
  <c r="BR230" i="3"/>
  <c r="BQ230" i="3"/>
  <c r="BP230" i="3"/>
  <c r="BO230" i="3"/>
  <c r="BN230" i="3"/>
  <c r="BV229" i="3"/>
  <c r="BU229" i="3"/>
  <c r="BT229" i="3"/>
  <c r="BS229" i="3"/>
  <c r="BR229" i="3"/>
  <c r="BQ229" i="3"/>
  <c r="BP229" i="3"/>
  <c r="BO229" i="3"/>
  <c r="BN229" i="3"/>
  <c r="BV228" i="3"/>
  <c r="BU228" i="3"/>
  <c r="BT228" i="3"/>
  <c r="BS228" i="3"/>
  <c r="BR228" i="3"/>
  <c r="BQ228" i="3"/>
  <c r="BP228" i="3"/>
  <c r="BO228" i="3"/>
  <c r="BN228" i="3"/>
  <c r="BV227" i="3"/>
  <c r="BU227" i="3"/>
  <c r="BT227" i="3"/>
  <c r="BS227" i="3"/>
  <c r="BR227" i="3"/>
  <c r="BQ227" i="3"/>
  <c r="BP227" i="3"/>
  <c r="BO227" i="3"/>
  <c r="BN227" i="3"/>
  <c r="BV226" i="3"/>
  <c r="BU226" i="3"/>
  <c r="BT226" i="3"/>
  <c r="BS226" i="3"/>
  <c r="BR226" i="3"/>
  <c r="BQ226" i="3"/>
  <c r="BP226" i="3"/>
  <c r="BO226" i="3"/>
  <c r="BN226" i="3"/>
  <c r="BV225" i="3"/>
  <c r="BU225" i="3"/>
  <c r="BT225" i="3"/>
  <c r="BS225" i="3"/>
  <c r="BR225" i="3"/>
  <c r="BQ225" i="3"/>
  <c r="BP225" i="3"/>
  <c r="BO225" i="3"/>
  <c r="BN225" i="3"/>
  <c r="BV224" i="3"/>
  <c r="BU224" i="3"/>
  <c r="BT224" i="3"/>
  <c r="BS224" i="3"/>
  <c r="BR224" i="3"/>
  <c r="BQ224" i="3"/>
  <c r="BP224" i="3"/>
  <c r="BO224" i="3"/>
  <c r="BN224" i="3"/>
  <c r="BV223" i="3"/>
  <c r="BU223" i="3"/>
  <c r="BT223" i="3"/>
  <c r="BS223" i="3"/>
  <c r="BR223" i="3"/>
  <c r="BQ223" i="3"/>
  <c r="BP223" i="3"/>
  <c r="BO223" i="3"/>
  <c r="BN223" i="3"/>
  <c r="BV222" i="3"/>
  <c r="BU222" i="3"/>
  <c r="BT222" i="3"/>
  <c r="BS222" i="3"/>
  <c r="BR222" i="3"/>
  <c r="BQ222" i="3"/>
  <c r="BP222" i="3"/>
  <c r="BO222" i="3"/>
  <c r="BN222" i="3"/>
  <c r="BV221" i="3"/>
  <c r="BU221" i="3"/>
  <c r="BT221" i="3"/>
  <c r="BS221" i="3"/>
  <c r="BR221" i="3"/>
  <c r="BQ221" i="3"/>
  <c r="BP221" i="3"/>
  <c r="BO221" i="3"/>
  <c r="BN221" i="3"/>
  <c r="BV220" i="3"/>
  <c r="BU220" i="3"/>
  <c r="BT220" i="3"/>
  <c r="BS220" i="3"/>
  <c r="BR220" i="3"/>
  <c r="BQ220" i="3"/>
  <c r="BP220" i="3"/>
  <c r="BO220" i="3"/>
  <c r="BN220" i="3"/>
  <c r="BV219" i="3"/>
  <c r="BU219" i="3"/>
  <c r="BT219" i="3"/>
  <c r="BS219" i="3"/>
  <c r="BR219" i="3"/>
  <c r="BQ219" i="3"/>
  <c r="BP219" i="3"/>
  <c r="BO219" i="3"/>
  <c r="BN219" i="3"/>
  <c r="BV218" i="3"/>
  <c r="BU218" i="3"/>
  <c r="BT218" i="3"/>
  <c r="BS218" i="3"/>
  <c r="BR218" i="3"/>
  <c r="BQ218" i="3"/>
  <c r="BP218" i="3"/>
  <c r="BO218" i="3"/>
  <c r="BN218" i="3"/>
  <c r="BV217" i="3"/>
  <c r="BU217" i="3"/>
  <c r="BT217" i="3"/>
  <c r="BS217" i="3"/>
  <c r="BR217" i="3"/>
  <c r="BQ217" i="3"/>
  <c r="BP217" i="3"/>
  <c r="BO217" i="3"/>
  <c r="BN217" i="3"/>
  <c r="BV216" i="3"/>
  <c r="BU216" i="3"/>
  <c r="BT216" i="3"/>
  <c r="BS216" i="3"/>
  <c r="BR216" i="3"/>
  <c r="BQ216" i="3"/>
  <c r="BP216" i="3"/>
  <c r="BO216" i="3"/>
  <c r="BN216" i="3"/>
  <c r="BV215" i="3"/>
  <c r="BU215" i="3"/>
  <c r="BT215" i="3"/>
  <c r="BS215" i="3"/>
  <c r="BR215" i="3"/>
  <c r="BQ215" i="3"/>
  <c r="BP215" i="3"/>
  <c r="BO215" i="3"/>
  <c r="BN215" i="3"/>
  <c r="BV214" i="3"/>
  <c r="BU214" i="3"/>
  <c r="BT214" i="3"/>
  <c r="BS214" i="3"/>
  <c r="BR214" i="3"/>
  <c r="BQ214" i="3"/>
  <c r="BP214" i="3"/>
  <c r="BO214" i="3"/>
  <c r="BN214" i="3"/>
  <c r="BV213" i="3"/>
  <c r="BU213" i="3"/>
  <c r="BT213" i="3"/>
  <c r="BS213" i="3"/>
  <c r="BR213" i="3"/>
  <c r="BQ213" i="3"/>
  <c r="BP213" i="3"/>
  <c r="BO213" i="3"/>
  <c r="BN213" i="3"/>
  <c r="BV212" i="3"/>
  <c r="BU212" i="3"/>
  <c r="BT212" i="3"/>
  <c r="BS212" i="3"/>
  <c r="BR212" i="3"/>
  <c r="BQ212" i="3"/>
  <c r="BP212" i="3"/>
  <c r="BO212" i="3"/>
  <c r="BN212" i="3"/>
  <c r="BV211" i="3"/>
  <c r="BU211" i="3"/>
  <c r="BT211" i="3"/>
  <c r="BS211" i="3"/>
  <c r="BR211" i="3"/>
  <c r="BQ211" i="3"/>
  <c r="BP211" i="3"/>
  <c r="BO211" i="3"/>
  <c r="BN211" i="3"/>
  <c r="BV210" i="3"/>
  <c r="BU210" i="3"/>
  <c r="BT210" i="3"/>
  <c r="BS210" i="3"/>
  <c r="BR210" i="3"/>
  <c r="BQ210" i="3"/>
  <c r="BP210" i="3"/>
  <c r="BO210" i="3"/>
  <c r="BN210" i="3"/>
  <c r="BV209" i="3"/>
  <c r="BU209" i="3"/>
  <c r="BT209" i="3"/>
  <c r="BS209" i="3"/>
  <c r="BR209" i="3"/>
  <c r="BQ209" i="3"/>
  <c r="BP209" i="3"/>
  <c r="BO209" i="3"/>
  <c r="BN209" i="3"/>
  <c r="BV208" i="3"/>
  <c r="BU208" i="3"/>
  <c r="BT208" i="3"/>
  <c r="BS208" i="3"/>
  <c r="BR208" i="3"/>
  <c r="BQ208" i="3"/>
  <c r="BP208" i="3"/>
  <c r="BO208" i="3"/>
  <c r="BN208" i="3"/>
  <c r="BV207" i="3"/>
  <c r="BU207" i="3"/>
  <c r="BT207" i="3"/>
  <c r="BS207" i="3"/>
  <c r="BR207" i="3"/>
  <c r="BQ207" i="3"/>
  <c r="BP207" i="3"/>
  <c r="BO207" i="3"/>
  <c r="BN207" i="3"/>
  <c r="BV206" i="3"/>
  <c r="BU206" i="3"/>
  <c r="BT206" i="3"/>
  <c r="BS206" i="3"/>
  <c r="BR206" i="3"/>
  <c r="BQ206" i="3"/>
  <c r="BP206" i="3"/>
  <c r="BO206" i="3"/>
  <c r="BN206" i="3"/>
  <c r="BV205" i="3"/>
  <c r="BU205" i="3"/>
  <c r="BT205" i="3"/>
  <c r="BS205" i="3"/>
  <c r="BR205" i="3"/>
  <c r="BQ205" i="3"/>
  <c r="BP205" i="3"/>
  <c r="BO205" i="3"/>
  <c r="BN205" i="3"/>
  <c r="BV204" i="3"/>
  <c r="BU204" i="3"/>
  <c r="BT204" i="3"/>
  <c r="BS204" i="3"/>
  <c r="BR204" i="3"/>
  <c r="BQ204" i="3"/>
  <c r="BP204" i="3"/>
  <c r="BO204" i="3"/>
  <c r="BN204" i="3"/>
  <c r="BV203" i="3"/>
  <c r="BU203" i="3"/>
  <c r="BT203" i="3"/>
  <c r="BS203" i="3"/>
  <c r="BR203" i="3"/>
  <c r="BQ203" i="3"/>
  <c r="BP203" i="3"/>
  <c r="BO203" i="3"/>
  <c r="BN203" i="3"/>
  <c r="BV202" i="3"/>
  <c r="BU202" i="3"/>
  <c r="BT202" i="3"/>
  <c r="BS202" i="3"/>
  <c r="BR202" i="3"/>
  <c r="BQ202" i="3"/>
  <c r="BP202" i="3"/>
  <c r="BO202" i="3"/>
  <c r="BN202" i="3"/>
  <c r="BV201" i="3"/>
  <c r="BU201" i="3"/>
  <c r="BT201" i="3"/>
  <c r="BS201" i="3"/>
  <c r="BR201" i="3"/>
  <c r="BQ201" i="3"/>
  <c r="BP201" i="3"/>
  <c r="BO201" i="3"/>
  <c r="BN201" i="3"/>
  <c r="BV200" i="3"/>
  <c r="BU200" i="3"/>
  <c r="BT200" i="3"/>
  <c r="BS200" i="3"/>
  <c r="BR200" i="3"/>
  <c r="BQ200" i="3"/>
  <c r="BP200" i="3"/>
  <c r="BO200" i="3"/>
  <c r="BN200" i="3"/>
  <c r="BV199" i="3"/>
  <c r="BU199" i="3"/>
  <c r="BT199" i="3"/>
  <c r="BS199" i="3"/>
  <c r="BR199" i="3"/>
  <c r="BQ199" i="3"/>
  <c r="BP199" i="3"/>
  <c r="BO199" i="3"/>
  <c r="BN199" i="3"/>
  <c r="BV198" i="3"/>
  <c r="BU198" i="3"/>
  <c r="BT198" i="3"/>
  <c r="BS198" i="3"/>
  <c r="BR198" i="3"/>
  <c r="BQ198" i="3"/>
  <c r="BP198" i="3"/>
  <c r="BO198" i="3"/>
  <c r="BN198" i="3"/>
  <c r="BV197" i="3"/>
  <c r="BU197" i="3"/>
  <c r="BT197" i="3"/>
  <c r="BS197" i="3"/>
  <c r="BR197" i="3"/>
  <c r="BQ197" i="3"/>
  <c r="BP197" i="3"/>
  <c r="BO197" i="3"/>
  <c r="BN197" i="3"/>
  <c r="BV196" i="3"/>
  <c r="BU196" i="3"/>
  <c r="BT196" i="3"/>
  <c r="BS196" i="3"/>
  <c r="BR196" i="3"/>
  <c r="BQ196" i="3"/>
  <c r="BP196" i="3"/>
  <c r="BO196" i="3"/>
  <c r="BN196" i="3"/>
  <c r="BV195" i="3"/>
  <c r="BU195" i="3"/>
  <c r="BT195" i="3"/>
  <c r="BS195" i="3"/>
  <c r="BR195" i="3"/>
  <c r="BQ195" i="3"/>
  <c r="BP195" i="3"/>
  <c r="BO195" i="3"/>
  <c r="BN195" i="3"/>
  <c r="BV194" i="3"/>
  <c r="BU194" i="3"/>
  <c r="BT194" i="3"/>
  <c r="BS194" i="3"/>
  <c r="BR194" i="3"/>
  <c r="BQ194" i="3"/>
  <c r="BP194" i="3"/>
  <c r="BO194" i="3"/>
  <c r="BN194" i="3"/>
  <c r="BV193" i="3"/>
  <c r="BU193" i="3"/>
  <c r="BT193" i="3"/>
  <c r="BS193" i="3"/>
  <c r="BR193" i="3"/>
  <c r="BQ193" i="3"/>
  <c r="BP193" i="3"/>
  <c r="BO193" i="3"/>
  <c r="BN193" i="3"/>
  <c r="BV192" i="3"/>
  <c r="BU192" i="3"/>
  <c r="BT192" i="3"/>
  <c r="BS192" i="3"/>
  <c r="BR192" i="3"/>
  <c r="BQ192" i="3"/>
  <c r="BP192" i="3"/>
  <c r="BO192" i="3"/>
  <c r="BN192" i="3"/>
  <c r="BV191" i="3"/>
  <c r="BU191" i="3"/>
  <c r="BT191" i="3"/>
  <c r="BS191" i="3"/>
  <c r="BR191" i="3"/>
  <c r="BQ191" i="3"/>
  <c r="BP191" i="3"/>
  <c r="BO191" i="3"/>
  <c r="BN191" i="3"/>
  <c r="BV190" i="3"/>
  <c r="BU190" i="3"/>
  <c r="BT190" i="3"/>
  <c r="BS190" i="3"/>
  <c r="BR190" i="3"/>
  <c r="BQ190" i="3"/>
  <c r="BP190" i="3"/>
  <c r="BO190" i="3"/>
  <c r="BN190" i="3"/>
  <c r="BV189" i="3"/>
  <c r="BU189" i="3"/>
  <c r="BT189" i="3"/>
  <c r="BS189" i="3"/>
  <c r="BR189" i="3"/>
  <c r="BQ189" i="3"/>
  <c r="BP189" i="3"/>
  <c r="BO189" i="3"/>
  <c r="BN189" i="3"/>
  <c r="BV188" i="3"/>
  <c r="BU188" i="3"/>
  <c r="BT188" i="3"/>
  <c r="BS188" i="3"/>
  <c r="BR188" i="3"/>
  <c r="BQ188" i="3"/>
  <c r="BP188" i="3"/>
  <c r="BO188" i="3"/>
  <c r="BN188" i="3"/>
  <c r="BV187" i="3"/>
  <c r="BU187" i="3"/>
  <c r="BT187" i="3"/>
  <c r="BS187" i="3"/>
  <c r="BR187" i="3"/>
  <c r="BQ187" i="3"/>
  <c r="BP187" i="3"/>
  <c r="BO187" i="3"/>
  <c r="BN187" i="3"/>
  <c r="BV186" i="3"/>
  <c r="BU186" i="3"/>
  <c r="BT186" i="3"/>
  <c r="BS186" i="3"/>
  <c r="BR186" i="3"/>
  <c r="BQ186" i="3"/>
  <c r="BP186" i="3"/>
  <c r="BO186" i="3"/>
  <c r="BN186" i="3"/>
  <c r="BV185" i="3"/>
  <c r="BU185" i="3"/>
  <c r="BT185" i="3"/>
  <c r="BS185" i="3"/>
  <c r="BR185" i="3"/>
  <c r="BQ185" i="3"/>
  <c r="BP185" i="3"/>
  <c r="BO185" i="3"/>
  <c r="BN185" i="3"/>
  <c r="BV184" i="3"/>
  <c r="BU184" i="3"/>
  <c r="BT184" i="3"/>
  <c r="BS184" i="3"/>
  <c r="BR184" i="3"/>
  <c r="BQ184" i="3"/>
  <c r="BP184" i="3"/>
  <c r="BO184" i="3"/>
  <c r="BN184" i="3"/>
  <c r="BV183" i="3"/>
  <c r="BU183" i="3"/>
  <c r="BT183" i="3"/>
  <c r="BS183" i="3"/>
  <c r="BR183" i="3"/>
  <c r="BQ183" i="3"/>
  <c r="BP183" i="3"/>
  <c r="BO183" i="3"/>
  <c r="BN183" i="3"/>
  <c r="BV182" i="3"/>
  <c r="BU182" i="3"/>
  <c r="BT182" i="3"/>
  <c r="BS182" i="3"/>
  <c r="BR182" i="3"/>
  <c r="BQ182" i="3"/>
  <c r="BP182" i="3"/>
  <c r="BO182" i="3"/>
  <c r="BN182" i="3"/>
  <c r="BV181" i="3"/>
  <c r="BU181" i="3"/>
  <c r="BT181" i="3"/>
  <c r="BS181" i="3"/>
  <c r="BR181" i="3"/>
  <c r="BQ181" i="3"/>
  <c r="BP181" i="3"/>
  <c r="BO181" i="3"/>
  <c r="BN181" i="3"/>
  <c r="BV180" i="3"/>
  <c r="BU180" i="3"/>
  <c r="BT180" i="3"/>
  <c r="BS180" i="3"/>
  <c r="BR180" i="3"/>
  <c r="BQ180" i="3"/>
  <c r="BP180" i="3"/>
  <c r="BO180" i="3"/>
  <c r="BN180" i="3"/>
  <c r="BV179" i="3"/>
  <c r="BU179" i="3"/>
  <c r="BT179" i="3"/>
  <c r="BS179" i="3"/>
  <c r="BR179" i="3"/>
  <c r="BQ179" i="3"/>
  <c r="BP179" i="3"/>
  <c r="BO179" i="3"/>
  <c r="BN179" i="3"/>
  <c r="BV178" i="3"/>
  <c r="BU178" i="3"/>
  <c r="BT178" i="3"/>
  <c r="BS178" i="3"/>
  <c r="BR178" i="3"/>
  <c r="BQ178" i="3"/>
  <c r="BP178" i="3"/>
  <c r="BO178" i="3"/>
  <c r="BN178" i="3"/>
  <c r="BV177" i="3"/>
  <c r="BU177" i="3"/>
  <c r="BT177" i="3"/>
  <c r="BS177" i="3"/>
  <c r="BR177" i="3"/>
  <c r="BQ177" i="3"/>
  <c r="BP177" i="3"/>
  <c r="BO177" i="3"/>
  <c r="BN177" i="3"/>
  <c r="BV176" i="3"/>
  <c r="BU176" i="3"/>
  <c r="BT176" i="3"/>
  <c r="BS176" i="3"/>
  <c r="BR176" i="3"/>
  <c r="BQ176" i="3"/>
  <c r="BP176" i="3"/>
  <c r="BO176" i="3"/>
  <c r="BN176" i="3"/>
  <c r="BV175" i="3"/>
  <c r="BU175" i="3"/>
  <c r="BT175" i="3"/>
  <c r="BS175" i="3"/>
  <c r="BR175" i="3"/>
  <c r="BQ175" i="3"/>
  <c r="BP175" i="3"/>
  <c r="BO175" i="3"/>
  <c r="BN175" i="3"/>
  <c r="BV174" i="3"/>
  <c r="BU174" i="3"/>
  <c r="BT174" i="3"/>
  <c r="BS174" i="3"/>
  <c r="BR174" i="3"/>
  <c r="BQ174" i="3"/>
  <c r="BP174" i="3"/>
  <c r="BO174" i="3"/>
  <c r="BN174" i="3"/>
  <c r="BV173" i="3"/>
  <c r="BU173" i="3"/>
  <c r="BT173" i="3"/>
  <c r="BS173" i="3"/>
  <c r="BR173" i="3"/>
  <c r="BQ173" i="3"/>
  <c r="BP173" i="3"/>
  <c r="BO173" i="3"/>
  <c r="BN173" i="3"/>
  <c r="BV172" i="3"/>
  <c r="BU172" i="3"/>
  <c r="BT172" i="3"/>
  <c r="BS172" i="3"/>
  <c r="BR172" i="3"/>
  <c r="BQ172" i="3"/>
  <c r="BP172" i="3"/>
  <c r="BO172" i="3"/>
  <c r="BN172" i="3"/>
  <c r="BV171" i="3"/>
  <c r="BU171" i="3"/>
  <c r="BT171" i="3"/>
  <c r="BS171" i="3"/>
  <c r="BR171" i="3"/>
  <c r="BQ171" i="3"/>
  <c r="BP171" i="3"/>
  <c r="BO171" i="3"/>
  <c r="BN171" i="3"/>
  <c r="BV170" i="3"/>
  <c r="BU170" i="3"/>
  <c r="BT170" i="3"/>
  <c r="BS170" i="3"/>
  <c r="BR170" i="3"/>
  <c r="BQ170" i="3"/>
  <c r="BP170" i="3"/>
  <c r="BO170" i="3"/>
  <c r="BN170" i="3"/>
  <c r="BV169" i="3"/>
  <c r="BU169" i="3"/>
  <c r="BT169" i="3"/>
  <c r="BS169" i="3"/>
  <c r="BR169" i="3"/>
  <c r="BQ169" i="3"/>
  <c r="BP169" i="3"/>
  <c r="BO169" i="3"/>
  <c r="BN169" i="3"/>
  <c r="BV168" i="3"/>
  <c r="BU168" i="3"/>
  <c r="BT168" i="3"/>
  <c r="BS168" i="3"/>
  <c r="BR168" i="3"/>
  <c r="BQ168" i="3"/>
  <c r="BP168" i="3"/>
  <c r="BO168" i="3"/>
  <c r="BN168" i="3"/>
  <c r="BV167" i="3"/>
  <c r="BU167" i="3"/>
  <c r="BT167" i="3"/>
  <c r="BS167" i="3"/>
  <c r="BR167" i="3"/>
  <c r="BQ167" i="3"/>
  <c r="BP167" i="3"/>
  <c r="BO167" i="3"/>
  <c r="BN167" i="3"/>
  <c r="BV166" i="3"/>
  <c r="BU166" i="3"/>
  <c r="BT166" i="3"/>
  <c r="BS166" i="3"/>
  <c r="BR166" i="3"/>
  <c r="BQ166" i="3"/>
  <c r="BP166" i="3"/>
  <c r="BO166" i="3"/>
  <c r="BN166" i="3"/>
  <c r="BV165" i="3"/>
  <c r="BU165" i="3"/>
  <c r="BT165" i="3"/>
  <c r="BS165" i="3"/>
  <c r="BR165" i="3"/>
  <c r="BQ165" i="3"/>
  <c r="BP165" i="3"/>
  <c r="BO165" i="3"/>
  <c r="BN165" i="3"/>
  <c r="BV164" i="3"/>
  <c r="BU164" i="3"/>
  <c r="BT164" i="3"/>
  <c r="BS164" i="3"/>
  <c r="BR164" i="3"/>
  <c r="BQ164" i="3"/>
  <c r="BP164" i="3"/>
  <c r="BO164" i="3"/>
  <c r="BN164" i="3"/>
  <c r="BV163" i="3"/>
  <c r="BU163" i="3"/>
  <c r="BT163" i="3"/>
  <c r="BS163" i="3"/>
  <c r="BR163" i="3"/>
  <c r="BQ163" i="3"/>
  <c r="BP163" i="3"/>
  <c r="BO163" i="3"/>
  <c r="BN163" i="3"/>
  <c r="BV162" i="3"/>
  <c r="BU162" i="3"/>
  <c r="BT162" i="3"/>
  <c r="BS162" i="3"/>
  <c r="BR162" i="3"/>
  <c r="BQ162" i="3"/>
  <c r="BP162" i="3"/>
  <c r="BO162" i="3"/>
  <c r="BN162" i="3"/>
  <c r="BV161" i="3"/>
  <c r="BU161" i="3"/>
  <c r="BT161" i="3"/>
  <c r="BS161" i="3"/>
  <c r="BR161" i="3"/>
  <c r="BQ161" i="3"/>
  <c r="BP161" i="3"/>
  <c r="BO161" i="3"/>
  <c r="BN161" i="3"/>
  <c r="BV160" i="3"/>
  <c r="BU160" i="3"/>
  <c r="BT160" i="3"/>
  <c r="BS160" i="3"/>
  <c r="BR160" i="3"/>
  <c r="BQ160" i="3"/>
  <c r="BP160" i="3"/>
  <c r="BO160" i="3"/>
  <c r="BN160" i="3"/>
  <c r="BV159" i="3"/>
  <c r="BU159" i="3"/>
  <c r="BT159" i="3"/>
  <c r="BS159" i="3"/>
  <c r="BR159" i="3"/>
  <c r="BQ159" i="3"/>
  <c r="BP159" i="3"/>
  <c r="BO159" i="3"/>
  <c r="BN159" i="3"/>
  <c r="BV158" i="3"/>
  <c r="BU158" i="3"/>
  <c r="BT158" i="3"/>
  <c r="BS158" i="3"/>
  <c r="BR158" i="3"/>
  <c r="BQ158" i="3"/>
  <c r="BP158" i="3"/>
  <c r="BO158" i="3"/>
  <c r="BN158" i="3"/>
  <c r="BV157" i="3"/>
  <c r="BU157" i="3"/>
  <c r="BT157" i="3"/>
  <c r="BS157" i="3"/>
  <c r="BR157" i="3"/>
  <c r="BQ157" i="3"/>
  <c r="BP157" i="3"/>
  <c r="BO157" i="3"/>
  <c r="BN157" i="3"/>
  <c r="BV156" i="3"/>
  <c r="BU156" i="3"/>
  <c r="BT156" i="3"/>
  <c r="BS156" i="3"/>
  <c r="BR156" i="3"/>
  <c r="BQ156" i="3"/>
  <c r="BP156" i="3"/>
  <c r="BO156" i="3"/>
  <c r="BN156" i="3"/>
  <c r="BV155" i="3"/>
  <c r="BU155" i="3"/>
  <c r="BT155" i="3"/>
  <c r="BS155" i="3"/>
  <c r="BR155" i="3"/>
  <c r="BQ155" i="3"/>
  <c r="BP155" i="3"/>
  <c r="BO155" i="3"/>
  <c r="BN155" i="3"/>
  <c r="BV154" i="3"/>
  <c r="BU154" i="3"/>
  <c r="BT154" i="3"/>
  <c r="BS154" i="3"/>
  <c r="BR154" i="3"/>
  <c r="BQ154" i="3"/>
  <c r="BP154" i="3"/>
  <c r="BO154" i="3"/>
  <c r="BN154" i="3"/>
  <c r="BV153" i="3"/>
  <c r="BU153" i="3"/>
  <c r="BT153" i="3"/>
  <c r="BS153" i="3"/>
  <c r="BR153" i="3"/>
  <c r="BQ153" i="3"/>
  <c r="BP153" i="3"/>
  <c r="BO153" i="3"/>
  <c r="BN153" i="3"/>
  <c r="BV152" i="3"/>
  <c r="BU152" i="3"/>
  <c r="BT152" i="3"/>
  <c r="BS152" i="3"/>
  <c r="BR152" i="3"/>
  <c r="BQ152" i="3"/>
  <c r="BP152" i="3"/>
  <c r="BO152" i="3"/>
  <c r="BN152" i="3"/>
  <c r="BV151" i="3"/>
  <c r="BU151" i="3"/>
  <c r="BT151" i="3"/>
  <c r="BS151" i="3"/>
  <c r="BR151" i="3"/>
  <c r="BQ151" i="3"/>
  <c r="BP151" i="3"/>
  <c r="BO151" i="3"/>
  <c r="BN151" i="3"/>
  <c r="BV150" i="3"/>
  <c r="BU150" i="3"/>
  <c r="BT150" i="3"/>
  <c r="BS150" i="3"/>
  <c r="BR150" i="3"/>
  <c r="BQ150" i="3"/>
  <c r="BP150" i="3"/>
  <c r="BO150" i="3"/>
  <c r="BN150" i="3"/>
  <c r="BV149" i="3"/>
  <c r="BU149" i="3"/>
  <c r="BT149" i="3"/>
  <c r="BS149" i="3"/>
  <c r="BR149" i="3"/>
  <c r="BQ149" i="3"/>
  <c r="BP149" i="3"/>
  <c r="BO149" i="3"/>
  <c r="BN149" i="3"/>
  <c r="BV148" i="3"/>
  <c r="BU148" i="3"/>
  <c r="BT148" i="3"/>
  <c r="BS148" i="3"/>
  <c r="BR148" i="3"/>
  <c r="BQ148" i="3"/>
  <c r="BP148" i="3"/>
  <c r="BO148" i="3"/>
  <c r="BN148" i="3"/>
  <c r="BV147" i="3"/>
  <c r="BU147" i="3"/>
  <c r="BT147" i="3"/>
  <c r="BS147" i="3"/>
  <c r="BR147" i="3"/>
  <c r="BQ147" i="3"/>
  <c r="BP147" i="3"/>
  <c r="BO147" i="3"/>
  <c r="BN147" i="3"/>
  <c r="BV146" i="3"/>
  <c r="BU146" i="3"/>
  <c r="BT146" i="3"/>
  <c r="BS146" i="3"/>
  <c r="BR146" i="3"/>
  <c r="BQ146" i="3"/>
  <c r="BP146" i="3"/>
  <c r="BO146" i="3"/>
  <c r="BN146" i="3"/>
  <c r="BV145" i="3"/>
  <c r="BU145" i="3"/>
  <c r="BT145" i="3"/>
  <c r="BS145" i="3"/>
  <c r="BR145" i="3"/>
  <c r="BQ145" i="3"/>
  <c r="BP145" i="3"/>
  <c r="BO145" i="3"/>
  <c r="BN145" i="3"/>
  <c r="BV144" i="3"/>
  <c r="BU144" i="3"/>
  <c r="BT144" i="3"/>
  <c r="BS144" i="3"/>
  <c r="BR144" i="3"/>
  <c r="BQ144" i="3"/>
  <c r="BP144" i="3"/>
  <c r="BO144" i="3"/>
  <c r="BN144" i="3"/>
  <c r="BV143" i="3"/>
  <c r="BU143" i="3"/>
  <c r="BT143" i="3"/>
  <c r="BS143" i="3"/>
  <c r="BR143" i="3"/>
  <c r="BQ143" i="3"/>
  <c r="BP143" i="3"/>
  <c r="BO143" i="3"/>
  <c r="BN143" i="3"/>
  <c r="BV142" i="3"/>
  <c r="BU142" i="3"/>
  <c r="BT142" i="3"/>
  <c r="BS142" i="3"/>
  <c r="BR142" i="3"/>
  <c r="BQ142" i="3"/>
  <c r="BP142" i="3"/>
  <c r="BO142" i="3"/>
  <c r="BN142" i="3"/>
  <c r="BV141" i="3"/>
  <c r="BU141" i="3"/>
  <c r="BT141" i="3"/>
  <c r="BS141" i="3"/>
  <c r="BR141" i="3"/>
  <c r="BQ141" i="3"/>
  <c r="BP141" i="3"/>
  <c r="BO141" i="3"/>
  <c r="BN141" i="3"/>
  <c r="BV140" i="3"/>
  <c r="BU140" i="3"/>
  <c r="BT140" i="3"/>
  <c r="BS140" i="3"/>
  <c r="BR140" i="3"/>
  <c r="BQ140" i="3"/>
  <c r="BP140" i="3"/>
  <c r="BO140" i="3"/>
  <c r="BN140" i="3"/>
  <c r="BV139" i="3"/>
  <c r="BU139" i="3"/>
  <c r="BT139" i="3"/>
  <c r="BS139" i="3"/>
  <c r="BR139" i="3"/>
  <c r="BQ139" i="3"/>
  <c r="BP139" i="3"/>
  <c r="BO139" i="3"/>
  <c r="BN139" i="3"/>
  <c r="BV138" i="3"/>
  <c r="BU138" i="3"/>
  <c r="BT138" i="3"/>
  <c r="BS138" i="3"/>
  <c r="BR138" i="3"/>
  <c r="BQ138" i="3"/>
  <c r="BP138" i="3"/>
  <c r="BO138" i="3"/>
  <c r="BN138" i="3"/>
  <c r="BV137" i="3"/>
  <c r="BU137" i="3"/>
  <c r="BT137" i="3"/>
  <c r="BS137" i="3"/>
  <c r="BR137" i="3"/>
  <c r="BQ137" i="3"/>
  <c r="BP137" i="3"/>
  <c r="BO137" i="3"/>
  <c r="BN137" i="3"/>
  <c r="BV136" i="3"/>
  <c r="BU136" i="3"/>
  <c r="BT136" i="3"/>
  <c r="BS136" i="3"/>
  <c r="BR136" i="3"/>
  <c r="BQ136" i="3"/>
  <c r="BP136" i="3"/>
  <c r="BO136" i="3"/>
  <c r="BN136" i="3"/>
  <c r="BV135" i="3"/>
  <c r="BU135" i="3"/>
  <c r="BT135" i="3"/>
  <c r="BS135" i="3"/>
  <c r="BR135" i="3"/>
  <c r="BQ135" i="3"/>
  <c r="BP135" i="3"/>
  <c r="BO135" i="3"/>
  <c r="BN135" i="3"/>
  <c r="BV134" i="3"/>
  <c r="BU134" i="3"/>
  <c r="BT134" i="3"/>
  <c r="BS134" i="3"/>
  <c r="BR134" i="3"/>
  <c r="BQ134" i="3"/>
  <c r="BP134" i="3"/>
  <c r="BO134" i="3"/>
  <c r="BN134" i="3"/>
  <c r="BV133" i="3"/>
  <c r="BU133" i="3"/>
  <c r="BT133" i="3"/>
  <c r="BS133" i="3"/>
  <c r="BR133" i="3"/>
  <c r="BQ133" i="3"/>
  <c r="BP133" i="3"/>
  <c r="BO133" i="3"/>
  <c r="BN133" i="3"/>
  <c r="BV132" i="3"/>
  <c r="BU132" i="3"/>
  <c r="BT132" i="3"/>
  <c r="BS132" i="3"/>
  <c r="BR132" i="3"/>
  <c r="BQ132" i="3"/>
  <c r="BP132" i="3"/>
  <c r="BO132" i="3"/>
  <c r="BN132" i="3"/>
  <c r="BV131" i="3"/>
  <c r="BU131" i="3"/>
  <c r="BT131" i="3"/>
  <c r="BS131" i="3"/>
  <c r="BR131" i="3"/>
  <c r="BQ131" i="3"/>
  <c r="BP131" i="3"/>
  <c r="BO131" i="3"/>
  <c r="BN131" i="3"/>
  <c r="BV130" i="3"/>
  <c r="BU130" i="3"/>
  <c r="BT130" i="3"/>
  <c r="BS130" i="3"/>
  <c r="BR130" i="3"/>
  <c r="BQ130" i="3"/>
  <c r="BP130" i="3"/>
  <c r="BO130" i="3"/>
  <c r="BN130" i="3"/>
  <c r="BV129" i="3"/>
  <c r="BU129" i="3"/>
  <c r="BT129" i="3"/>
  <c r="BS129" i="3"/>
  <c r="BR129" i="3"/>
  <c r="BQ129" i="3"/>
  <c r="BP129" i="3"/>
  <c r="BO129" i="3"/>
  <c r="BN129" i="3"/>
  <c r="BV128" i="3"/>
  <c r="BU128" i="3"/>
  <c r="BT128" i="3"/>
  <c r="BS128" i="3"/>
  <c r="BR128" i="3"/>
  <c r="BQ128" i="3"/>
  <c r="BP128" i="3"/>
  <c r="BO128" i="3"/>
  <c r="BN128" i="3"/>
  <c r="BV127" i="3"/>
  <c r="BU127" i="3"/>
  <c r="BT127" i="3"/>
  <c r="BS127" i="3"/>
  <c r="BR127" i="3"/>
  <c r="BQ127" i="3"/>
  <c r="BP127" i="3"/>
  <c r="BO127" i="3"/>
  <c r="BN127" i="3"/>
  <c r="BV126" i="3"/>
  <c r="BU126" i="3"/>
  <c r="BT126" i="3"/>
  <c r="BS126" i="3"/>
  <c r="BR126" i="3"/>
  <c r="BQ126" i="3"/>
  <c r="BP126" i="3"/>
  <c r="BO126" i="3"/>
  <c r="BN126" i="3"/>
  <c r="BV125" i="3"/>
  <c r="BU125" i="3"/>
  <c r="BT125" i="3"/>
  <c r="BS125" i="3"/>
  <c r="BR125" i="3"/>
  <c r="BQ125" i="3"/>
  <c r="BP125" i="3"/>
  <c r="BO125" i="3"/>
  <c r="BN125" i="3"/>
  <c r="BV124" i="3"/>
  <c r="BU124" i="3"/>
  <c r="BT124" i="3"/>
  <c r="BS124" i="3"/>
  <c r="BR124" i="3"/>
  <c r="BQ124" i="3"/>
  <c r="BP124" i="3"/>
  <c r="BO124" i="3"/>
  <c r="BN124" i="3"/>
  <c r="BV123" i="3"/>
  <c r="BU123" i="3"/>
  <c r="BT123" i="3"/>
  <c r="BS123" i="3"/>
  <c r="BR123" i="3"/>
  <c r="BQ123" i="3"/>
  <c r="BP123" i="3"/>
  <c r="BO123" i="3"/>
  <c r="BN123" i="3"/>
  <c r="BV122" i="3"/>
  <c r="BU122" i="3"/>
  <c r="BT122" i="3"/>
  <c r="BS122" i="3"/>
  <c r="BR122" i="3"/>
  <c r="BQ122" i="3"/>
  <c r="BP122" i="3"/>
  <c r="BO122" i="3"/>
  <c r="BN122" i="3"/>
  <c r="BV121" i="3"/>
  <c r="BU121" i="3"/>
  <c r="BT121" i="3"/>
  <c r="BS121" i="3"/>
  <c r="BR121" i="3"/>
  <c r="BQ121" i="3"/>
  <c r="BP121" i="3"/>
  <c r="BO121" i="3"/>
  <c r="BN121" i="3"/>
  <c r="BV120" i="3"/>
  <c r="BU120" i="3"/>
  <c r="BT120" i="3"/>
  <c r="BS120" i="3"/>
  <c r="BR120" i="3"/>
  <c r="BQ120" i="3"/>
  <c r="BP120" i="3"/>
  <c r="BO120" i="3"/>
  <c r="BN120" i="3"/>
  <c r="BV119" i="3"/>
  <c r="BU119" i="3"/>
  <c r="BT119" i="3"/>
  <c r="BS119" i="3"/>
  <c r="BR119" i="3"/>
  <c r="BQ119" i="3"/>
  <c r="BP119" i="3"/>
  <c r="BO119" i="3"/>
  <c r="BN119" i="3"/>
  <c r="BV118" i="3"/>
  <c r="BU118" i="3"/>
  <c r="BT118" i="3"/>
  <c r="BS118" i="3"/>
  <c r="BR118" i="3"/>
  <c r="BQ118" i="3"/>
  <c r="BP118" i="3"/>
  <c r="BO118" i="3"/>
  <c r="BN118" i="3"/>
  <c r="BV117" i="3"/>
  <c r="BU117" i="3"/>
  <c r="BT117" i="3"/>
  <c r="BS117" i="3"/>
  <c r="BR117" i="3"/>
  <c r="BQ117" i="3"/>
  <c r="BP117" i="3"/>
  <c r="BO117" i="3"/>
  <c r="BN117" i="3"/>
  <c r="BV116" i="3"/>
  <c r="BU116" i="3"/>
  <c r="BT116" i="3"/>
  <c r="BS116" i="3"/>
  <c r="BR116" i="3"/>
  <c r="BQ116" i="3"/>
  <c r="BP116" i="3"/>
  <c r="BO116" i="3"/>
  <c r="BN116" i="3"/>
  <c r="BV115" i="3"/>
  <c r="BU115" i="3"/>
  <c r="BT115" i="3"/>
  <c r="BS115" i="3"/>
  <c r="BR115" i="3"/>
  <c r="BQ115" i="3"/>
  <c r="BP115" i="3"/>
  <c r="BO115" i="3"/>
  <c r="BN115" i="3"/>
  <c r="BV114" i="3"/>
  <c r="BU114" i="3"/>
  <c r="BT114" i="3"/>
  <c r="BS114" i="3"/>
  <c r="BR114" i="3"/>
  <c r="BQ114" i="3"/>
  <c r="BP114" i="3"/>
  <c r="BO114" i="3"/>
  <c r="BN114" i="3"/>
  <c r="BV113" i="3"/>
  <c r="BU113" i="3"/>
  <c r="BT113" i="3"/>
  <c r="BS113" i="3"/>
  <c r="BR113" i="3"/>
  <c r="BQ113" i="3"/>
  <c r="BP113" i="3"/>
  <c r="BO113" i="3"/>
  <c r="BN113" i="3"/>
  <c r="BV112" i="3"/>
  <c r="BU112" i="3"/>
  <c r="BT112" i="3"/>
  <c r="BS112" i="3"/>
  <c r="BR112" i="3"/>
  <c r="BQ112" i="3"/>
  <c r="BP112" i="3"/>
  <c r="BO112" i="3"/>
  <c r="BN112" i="3"/>
  <c r="BV111" i="3"/>
  <c r="BU111" i="3"/>
  <c r="BT111" i="3"/>
  <c r="BS111" i="3"/>
  <c r="BR111" i="3"/>
  <c r="BQ111" i="3"/>
  <c r="BP111" i="3"/>
  <c r="BO111" i="3"/>
  <c r="BN111" i="3"/>
  <c r="BV110" i="3"/>
  <c r="BU110" i="3"/>
  <c r="BT110" i="3"/>
  <c r="BS110" i="3"/>
  <c r="BR110" i="3"/>
  <c r="BQ110" i="3"/>
  <c r="BP110" i="3"/>
  <c r="BO110" i="3"/>
  <c r="BN110" i="3"/>
  <c r="BV109" i="3"/>
  <c r="BU109" i="3"/>
  <c r="BT109" i="3"/>
  <c r="BS109" i="3"/>
  <c r="BR109" i="3"/>
  <c r="BQ109" i="3"/>
  <c r="BP109" i="3"/>
  <c r="BO109" i="3"/>
  <c r="BN109" i="3"/>
  <c r="BV108" i="3"/>
  <c r="BU108" i="3"/>
  <c r="BT108" i="3"/>
  <c r="BS108" i="3"/>
  <c r="BR108" i="3"/>
  <c r="BQ108" i="3"/>
  <c r="BP108" i="3"/>
  <c r="BO108" i="3"/>
  <c r="BN108" i="3"/>
  <c r="BV107" i="3"/>
  <c r="BU107" i="3"/>
  <c r="BT107" i="3"/>
  <c r="BS107" i="3"/>
  <c r="BR107" i="3"/>
  <c r="BQ107" i="3"/>
  <c r="BP107" i="3"/>
  <c r="BO107" i="3"/>
  <c r="BN107" i="3"/>
  <c r="BV106" i="3"/>
  <c r="BU106" i="3"/>
  <c r="BT106" i="3"/>
  <c r="BS106" i="3"/>
  <c r="BR106" i="3"/>
  <c r="BQ106" i="3"/>
  <c r="BP106" i="3"/>
  <c r="BO106" i="3"/>
  <c r="BN106" i="3"/>
  <c r="BV105" i="3"/>
  <c r="BU105" i="3"/>
  <c r="BT105" i="3"/>
  <c r="BS105" i="3"/>
  <c r="BR105" i="3"/>
  <c r="BQ105" i="3"/>
  <c r="BP105" i="3"/>
  <c r="BO105" i="3"/>
  <c r="BN105" i="3"/>
  <c r="BV104" i="3"/>
  <c r="BU104" i="3"/>
  <c r="BT104" i="3"/>
  <c r="BS104" i="3"/>
  <c r="BR104" i="3"/>
  <c r="BQ104" i="3"/>
  <c r="BP104" i="3"/>
  <c r="BO104" i="3"/>
  <c r="BN104" i="3"/>
  <c r="BV103" i="3"/>
  <c r="BU103" i="3"/>
  <c r="BT103" i="3"/>
  <c r="BS103" i="3"/>
  <c r="BR103" i="3"/>
  <c r="BQ103" i="3"/>
  <c r="BP103" i="3"/>
  <c r="BO103" i="3"/>
  <c r="BN103" i="3"/>
  <c r="BV102" i="3"/>
  <c r="BU102" i="3"/>
  <c r="BT102" i="3"/>
  <c r="BS102" i="3"/>
  <c r="BR102" i="3"/>
  <c r="BQ102" i="3"/>
  <c r="BP102" i="3"/>
  <c r="BO102" i="3"/>
  <c r="BN102" i="3"/>
  <c r="BV101" i="3"/>
  <c r="BU101" i="3"/>
  <c r="BT101" i="3"/>
  <c r="BS101" i="3"/>
  <c r="BR101" i="3"/>
  <c r="BQ101" i="3"/>
  <c r="BP101" i="3"/>
  <c r="BO101" i="3"/>
  <c r="BN101" i="3"/>
  <c r="BV100" i="3"/>
  <c r="BU100" i="3"/>
  <c r="BT100" i="3"/>
  <c r="BS100" i="3"/>
  <c r="BR100" i="3"/>
  <c r="BQ100" i="3"/>
  <c r="BP100" i="3"/>
  <c r="BO100" i="3"/>
  <c r="BN100" i="3"/>
  <c r="BM100" i="3"/>
  <c r="BL100" i="3"/>
  <c r="BK100" i="3"/>
  <c r="BJ100" i="3"/>
  <c r="BI100" i="3"/>
  <c r="BH100" i="3"/>
  <c r="BG100" i="3"/>
  <c r="BF100" i="3"/>
  <c r="BE100" i="3"/>
  <c r="BD100" i="3"/>
  <c r="BC100" i="3"/>
  <c r="BB100" i="3"/>
  <c r="BA100" i="3"/>
  <c r="AZ100" i="3"/>
  <c r="AY100" i="3"/>
  <c r="AX100" i="3"/>
  <c r="AW100" i="3"/>
  <c r="AV100" i="3"/>
  <c r="AU100" i="3"/>
  <c r="AT100" i="3"/>
  <c r="AS100" i="3"/>
  <c r="AR100" i="3"/>
  <c r="AQ100" i="3"/>
  <c r="AP100" i="3"/>
  <c r="AO100" i="3"/>
  <c r="AN100" i="3"/>
  <c r="AM100" i="3"/>
  <c r="AL100" i="3"/>
  <c r="AK100" i="3"/>
  <c r="AJ100" i="3"/>
  <c r="AI100" i="3"/>
  <c r="AH100" i="3"/>
  <c r="AG100" i="3"/>
  <c r="AF100" i="3"/>
  <c r="AE100" i="3"/>
  <c r="AD100" i="3"/>
  <c r="AC100" i="3"/>
  <c r="AB100" i="3"/>
  <c r="AA100" i="3"/>
  <c r="Z100" i="3"/>
  <c r="Y100" i="3"/>
  <c r="X100" i="3"/>
  <c r="W100" i="3"/>
  <c r="V100" i="3"/>
  <c r="U100" i="3"/>
  <c r="T100" i="3"/>
  <c r="S100" i="3"/>
  <c r="I100" i="3"/>
  <c r="P99" i="5" s="1"/>
  <c r="H100" i="3"/>
  <c r="G100" i="3"/>
  <c r="F100" i="3"/>
  <c r="E100" i="3"/>
  <c r="E99" i="5" s="1"/>
  <c r="D100" i="3"/>
  <c r="D99" i="5" s="1"/>
  <c r="C100" i="3"/>
  <c r="C99" i="5" s="1"/>
  <c r="B99" i="5" s="1"/>
  <c r="A100" i="3"/>
  <c r="A99" i="5" s="1"/>
  <c r="BV99" i="3"/>
  <c r="BU99" i="3"/>
  <c r="BT99" i="3"/>
  <c r="BS99" i="3"/>
  <c r="BR99" i="3"/>
  <c r="BQ99" i="3"/>
  <c r="BP99" i="3"/>
  <c r="BO99" i="3"/>
  <c r="BN99" i="3"/>
  <c r="BM99" i="3"/>
  <c r="BL99" i="3"/>
  <c r="BK99" i="3"/>
  <c r="BJ99" i="3"/>
  <c r="BI99" i="3"/>
  <c r="BH99" i="3"/>
  <c r="BG99" i="3"/>
  <c r="BF99" i="3"/>
  <c r="BE99" i="3"/>
  <c r="BD99" i="3"/>
  <c r="BC99" i="3"/>
  <c r="BB99" i="3"/>
  <c r="BA99" i="3"/>
  <c r="AZ99" i="3"/>
  <c r="AY99" i="3"/>
  <c r="AX99" i="3"/>
  <c r="AW99" i="3"/>
  <c r="AV99" i="3"/>
  <c r="AU99" i="3"/>
  <c r="AT99" i="3"/>
  <c r="AS99" i="3"/>
  <c r="AR99" i="3"/>
  <c r="AQ99" i="3"/>
  <c r="AP99" i="3"/>
  <c r="AO99" i="3"/>
  <c r="AN99" i="3"/>
  <c r="AM99" i="3"/>
  <c r="AL99" i="3"/>
  <c r="AK99" i="3"/>
  <c r="AJ99" i="3"/>
  <c r="AI99" i="3"/>
  <c r="AH99" i="3"/>
  <c r="AG99" i="3"/>
  <c r="AF99" i="3"/>
  <c r="AE99" i="3"/>
  <c r="AD99" i="3"/>
  <c r="AC99" i="3"/>
  <c r="AB99" i="3"/>
  <c r="AA99" i="3"/>
  <c r="Z99" i="3"/>
  <c r="Y99" i="3"/>
  <c r="X99" i="3"/>
  <c r="W99" i="3"/>
  <c r="V99" i="3"/>
  <c r="U99" i="3"/>
  <c r="T99" i="3"/>
  <c r="S99" i="3"/>
  <c r="I99" i="3"/>
  <c r="P98" i="5" s="1"/>
  <c r="H99" i="3"/>
  <c r="G99" i="3"/>
  <c r="F99" i="3"/>
  <c r="E99" i="3"/>
  <c r="E98" i="5" s="1"/>
  <c r="D99" i="3"/>
  <c r="D98" i="5" s="1"/>
  <c r="C99" i="3"/>
  <c r="C98" i="5" s="1"/>
  <c r="A99" i="3"/>
  <c r="A98" i="5" s="1"/>
  <c r="BV98" i="3"/>
  <c r="BU98" i="3"/>
  <c r="BT98" i="3"/>
  <c r="BS98" i="3"/>
  <c r="BR98" i="3"/>
  <c r="BQ98" i="3"/>
  <c r="BP98" i="3"/>
  <c r="BO98" i="3"/>
  <c r="BN98" i="3"/>
  <c r="BM98" i="3"/>
  <c r="BL98" i="3"/>
  <c r="BK98" i="3"/>
  <c r="BJ98" i="3"/>
  <c r="BI98" i="3"/>
  <c r="BH98" i="3"/>
  <c r="BG98" i="3"/>
  <c r="BF98" i="3"/>
  <c r="BE98" i="3"/>
  <c r="BD98" i="3"/>
  <c r="BC98" i="3"/>
  <c r="BB98" i="3"/>
  <c r="BA98" i="3"/>
  <c r="AZ98" i="3"/>
  <c r="AY98" i="3"/>
  <c r="AX98" i="3"/>
  <c r="AW98" i="3"/>
  <c r="AV98" i="3"/>
  <c r="AU98" i="3"/>
  <c r="AT98" i="3"/>
  <c r="AS98" i="3"/>
  <c r="AR98" i="3"/>
  <c r="AQ98" i="3"/>
  <c r="AP98" i="3"/>
  <c r="AO98" i="3"/>
  <c r="AN98" i="3"/>
  <c r="AM98" i="3"/>
  <c r="AL98" i="3"/>
  <c r="AK98" i="3"/>
  <c r="AJ98" i="3"/>
  <c r="AI98" i="3"/>
  <c r="AH98" i="3"/>
  <c r="AG98" i="3"/>
  <c r="AF98" i="3"/>
  <c r="AE98" i="3"/>
  <c r="AD98" i="3"/>
  <c r="AC98" i="3"/>
  <c r="AB98" i="3"/>
  <c r="AA98" i="3"/>
  <c r="Z98" i="3"/>
  <c r="Y98" i="3"/>
  <c r="X98" i="3"/>
  <c r="W98" i="3"/>
  <c r="V98" i="3"/>
  <c r="U98" i="3"/>
  <c r="T98" i="3"/>
  <c r="S98" i="3"/>
  <c r="I98" i="3"/>
  <c r="P97" i="5" s="1"/>
  <c r="H98" i="3"/>
  <c r="G98" i="3"/>
  <c r="F98" i="3"/>
  <c r="E98" i="3"/>
  <c r="E97" i="5" s="1"/>
  <c r="D98" i="3"/>
  <c r="D97" i="5" s="1"/>
  <c r="C98" i="3"/>
  <c r="C97" i="5" s="1"/>
  <c r="B97" i="5" s="1"/>
  <c r="A98" i="3"/>
  <c r="A97" i="5" s="1"/>
  <c r="BV97" i="3"/>
  <c r="BU97" i="3"/>
  <c r="BT97" i="3"/>
  <c r="BS97" i="3"/>
  <c r="BR97" i="3"/>
  <c r="BQ97" i="3"/>
  <c r="BP97" i="3"/>
  <c r="BO97" i="3"/>
  <c r="BN97" i="3"/>
  <c r="BM97" i="3"/>
  <c r="BL97" i="3"/>
  <c r="BK97" i="3"/>
  <c r="BJ97" i="3"/>
  <c r="BI97" i="3"/>
  <c r="BH97" i="3"/>
  <c r="BG97" i="3"/>
  <c r="BF97" i="3"/>
  <c r="BE97" i="3"/>
  <c r="BD97" i="3"/>
  <c r="BC97" i="3"/>
  <c r="BB97" i="3"/>
  <c r="BA97" i="3"/>
  <c r="AZ97" i="3"/>
  <c r="AY97" i="3"/>
  <c r="AX97" i="3"/>
  <c r="AW97" i="3"/>
  <c r="AV97" i="3"/>
  <c r="AU97" i="3"/>
  <c r="AT97" i="3"/>
  <c r="AS97" i="3"/>
  <c r="AR97" i="3"/>
  <c r="AQ97" i="3"/>
  <c r="AP97" i="3"/>
  <c r="AO97" i="3"/>
  <c r="AN97" i="3"/>
  <c r="AM97" i="3"/>
  <c r="AL97" i="3"/>
  <c r="AK97" i="3"/>
  <c r="AJ97" i="3"/>
  <c r="AI97" i="3"/>
  <c r="AH97" i="3"/>
  <c r="AG97" i="3"/>
  <c r="AF97" i="3"/>
  <c r="AE97" i="3"/>
  <c r="AD97" i="3"/>
  <c r="AC97" i="3"/>
  <c r="AB97" i="3"/>
  <c r="AA97" i="3"/>
  <c r="Z97" i="3"/>
  <c r="Y97" i="3"/>
  <c r="X97" i="3"/>
  <c r="W97" i="3"/>
  <c r="V97" i="3"/>
  <c r="U97" i="3"/>
  <c r="T97" i="3"/>
  <c r="S97" i="3"/>
  <c r="I97" i="3"/>
  <c r="P96" i="5" s="1"/>
  <c r="H97" i="3"/>
  <c r="G97" i="3"/>
  <c r="F97" i="3"/>
  <c r="E97" i="3"/>
  <c r="E96" i="5" s="1"/>
  <c r="D97" i="3"/>
  <c r="D96" i="5" s="1"/>
  <c r="C97" i="3"/>
  <c r="C96" i="5" s="1"/>
  <c r="A97" i="3"/>
  <c r="A96" i="5" s="1"/>
  <c r="BV96" i="3"/>
  <c r="BU96" i="3"/>
  <c r="BT96" i="3"/>
  <c r="BS96" i="3"/>
  <c r="BR96" i="3"/>
  <c r="BQ96" i="3"/>
  <c r="BP96" i="3"/>
  <c r="BO96" i="3"/>
  <c r="BN96" i="3"/>
  <c r="BM96" i="3"/>
  <c r="BL96" i="3"/>
  <c r="BK96" i="3"/>
  <c r="BJ96" i="3"/>
  <c r="BI96" i="3"/>
  <c r="BH96" i="3"/>
  <c r="BG96" i="3"/>
  <c r="BF96" i="3"/>
  <c r="BE96" i="3"/>
  <c r="BD96" i="3"/>
  <c r="BC96" i="3"/>
  <c r="BB96" i="3"/>
  <c r="BA96" i="3"/>
  <c r="AZ96" i="3"/>
  <c r="AY96" i="3"/>
  <c r="AX96" i="3"/>
  <c r="AW96" i="3"/>
  <c r="AV96" i="3"/>
  <c r="AU96" i="3"/>
  <c r="AT96" i="3"/>
  <c r="AS96" i="3"/>
  <c r="AR96" i="3"/>
  <c r="AQ96" i="3"/>
  <c r="AP96" i="3"/>
  <c r="AO96" i="3"/>
  <c r="AN96" i="3"/>
  <c r="AM96" i="3"/>
  <c r="AL96" i="3"/>
  <c r="AK96" i="3"/>
  <c r="AJ96" i="3"/>
  <c r="AI96" i="3"/>
  <c r="AH96" i="3"/>
  <c r="AG96" i="3"/>
  <c r="AF96" i="3"/>
  <c r="AE96" i="3"/>
  <c r="AD96" i="3"/>
  <c r="AC96" i="3"/>
  <c r="AB96" i="3"/>
  <c r="AA96" i="3"/>
  <c r="Z96" i="3"/>
  <c r="Y96" i="3"/>
  <c r="X96" i="3"/>
  <c r="W96" i="3"/>
  <c r="V96" i="3"/>
  <c r="U96" i="3"/>
  <c r="T96" i="3"/>
  <c r="S96" i="3"/>
  <c r="I96" i="3"/>
  <c r="H96" i="3"/>
  <c r="G96" i="3"/>
  <c r="F96" i="3"/>
  <c r="E96" i="3"/>
  <c r="D96" i="3"/>
  <c r="C96" i="3"/>
  <c r="A96" i="3"/>
  <c r="A95" i="5" s="1"/>
  <c r="BV95" i="3"/>
  <c r="BU95" i="3"/>
  <c r="BT95" i="3"/>
  <c r="BS95" i="3"/>
  <c r="BR95" i="3"/>
  <c r="BQ95" i="3"/>
  <c r="BP95" i="3"/>
  <c r="BO95" i="3"/>
  <c r="BN95" i="3"/>
  <c r="BM95" i="3"/>
  <c r="BL95" i="3"/>
  <c r="BK95" i="3"/>
  <c r="BJ95" i="3"/>
  <c r="BI95" i="3"/>
  <c r="BH95" i="3"/>
  <c r="BG95" i="3"/>
  <c r="BF95" i="3"/>
  <c r="BE95" i="3"/>
  <c r="BD95" i="3"/>
  <c r="BC95" i="3"/>
  <c r="BB95" i="3"/>
  <c r="BA95" i="3"/>
  <c r="AZ95" i="3"/>
  <c r="AY95" i="3"/>
  <c r="AX95" i="3"/>
  <c r="AW95" i="3"/>
  <c r="AV95" i="3"/>
  <c r="AU95" i="3"/>
  <c r="AT95" i="3"/>
  <c r="AS95" i="3"/>
  <c r="AR95" i="3"/>
  <c r="AQ95" i="3"/>
  <c r="AP95" i="3"/>
  <c r="AO95" i="3"/>
  <c r="AN95" i="3"/>
  <c r="AM95" i="3"/>
  <c r="AL95" i="3"/>
  <c r="AK95" i="3"/>
  <c r="AJ95" i="3"/>
  <c r="AI95" i="3"/>
  <c r="AH95" i="3"/>
  <c r="AG95" i="3"/>
  <c r="AF95" i="3"/>
  <c r="AE95" i="3"/>
  <c r="AD95" i="3"/>
  <c r="AC95" i="3"/>
  <c r="AB95" i="3"/>
  <c r="AA95" i="3"/>
  <c r="Z95" i="3"/>
  <c r="Y95" i="3"/>
  <c r="X95" i="3"/>
  <c r="W95" i="3"/>
  <c r="V95" i="3"/>
  <c r="U95" i="3"/>
  <c r="T95" i="3"/>
  <c r="S95" i="3"/>
  <c r="I95" i="3"/>
  <c r="P94" i="5" s="1"/>
  <c r="H95" i="3"/>
  <c r="G95" i="3"/>
  <c r="F95" i="3"/>
  <c r="E95" i="3"/>
  <c r="E94" i="5" s="1"/>
  <c r="D95" i="3"/>
  <c r="D94" i="5" s="1"/>
  <c r="C95" i="3"/>
  <c r="C94" i="5" s="1"/>
  <c r="A95" i="3"/>
  <c r="A94" i="5" s="1"/>
  <c r="BV94" i="3"/>
  <c r="BU94" i="3"/>
  <c r="BT94" i="3"/>
  <c r="BS94" i="3"/>
  <c r="BR94" i="3"/>
  <c r="BQ94" i="3"/>
  <c r="BP94" i="3"/>
  <c r="BO94" i="3"/>
  <c r="BN94" i="3"/>
  <c r="BM94" i="3"/>
  <c r="BL94" i="3"/>
  <c r="BK94" i="3"/>
  <c r="BJ94" i="3"/>
  <c r="BI94" i="3"/>
  <c r="BH94" i="3"/>
  <c r="BG94" i="3"/>
  <c r="BF94" i="3"/>
  <c r="BE94" i="3"/>
  <c r="BD94" i="3"/>
  <c r="BC94" i="3"/>
  <c r="BB94" i="3"/>
  <c r="BA94" i="3"/>
  <c r="AZ94" i="3"/>
  <c r="AY94" i="3"/>
  <c r="AX94" i="3"/>
  <c r="AW94" i="3"/>
  <c r="AV94" i="3"/>
  <c r="AU94" i="3"/>
  <c r="AT94" i="3"/>
  <c r="AS94" i="3"/>
  <c r="AR94" i="3"/>
  <c r="AQ94" i="3"/>
  <c r="AP94" i="3"/>
  <c r="AO94" i="3"/>
  <c r="AN94" i="3"/>
  <c r="AM94" i="3"/>
  <c r="AL94" i="3"/>
  <c r="AK94" i="3"/>
  <c r="AJ94" i="3"/>
  <c r="AI94" i="3"/>
  <c r="AH94" i="3"/>
  <c r="AG94" i="3"/>
  <c r="AF94" i="3"/>
  <c r="AE94" i="3"/>
  <c r="AD94" i="3"/>
  <c r="AC94" i="3"/>
  <c r="AB94" i="3"/>
  <c r="AA94" i="3"/>
  <c r="Z94" i="3"/>
  <c r="Y94" i="3"/>
  <c r="X94" i="3"/>
  <c r="K94" i="3" s="1"/>
  <c r="G93" i="5" s="1" a="1"/>
  <c r="G93" i="5" s="1"/>
  <c r="W94" i="3"/>
  <c r="V94" i="3"/>
  <c r="U94" i="3"/>
  <c r="T94" i="3"/>
  <c r="S94" i="3"/>
  <c r="I94" i="3"/>
  <c r="P93" i="5" s="1"/>
  <c r="H94" i="3"/>
  <c r="G94" i="3"/>
  <c r="F94" i="3"/>
  <c r="E94" i="3"/>
  <c r="E93" i="5" s="1"/>
  <c r="D94" i="3"/>
  <c r="C94" i="3"/>
  <c r="A94" i="3"/>
  <c r="A93" i="5" s="1"/>
  <c r="BV93" i="3"/>
  <c r="BU93" i="3"/>
  <c r="BT93" i="3"/>
  <c r="BS93" i="3"/>
  <c r="BR93" i="3"/>
  <c r="BQ93" i="3"/>
  <c r="BP93" i="3"/>
  <c r="BO93" i="3"/>
  <c r="BN93" i="3"/>
  <c r="BM93" i="3"/>
  <c r="BL93" i="3"/>
  <c r="BK93" i="3"/>
  <c r="BJ93" i="3"/>
  <c r="BI93" i="3"/>
  <c r="BH93" i="3"/>
  <c r="BG93" i="3"/>
  <c r="BF93" i="3"/>
  <c r="BE93" i="3"/>
  <c r="BD93" i="3"/>
  <c r="BC93" i="3"/>
  <c r="BB93" i="3"/>
  <c r="BA93" i="3"/>
  <c r="AZ93" i="3"/>
  <c r="AY93" i="3"/>
  <c r="AX93" i="3"/>
  <c r="AW93" i="3"/>
  <c r="AV93" i="3"/>
  <c r="AU93" i="3"/>
  <c r="AT93" i="3"/>
  <c r="AS93" i="3"/>
  <c r="AR93" i="3"/>
  <c r="AQ93" i="3"/>
  <c r="AP93" i="3"/>
  <c r="AO93" i="3"/>
  <c r="AN93" i="3"/>
  <c r="AM93" i="3"/>
  <c r="AL93" i="3"/>
  <c r="AK93" i="3"/>
  <c r="AJ93" i="3"/>
  <c r="AI93" i="3"/>
  <c r="AH93" i="3"/>
  <c r="AG93" i="3"/>
  <c r="AF93" i="3"/>
  <c r="AE93" i="3"/>
  <c r="AD93" i="3"/>
  <c r="AC93" i="3"/>
  <c r="AB93" i="3"/>
  <c r="AA93" i="3"/>
  <c r="Z93" i="3"/>
  <c r="Y93" i="3"/>
  <c r="X93" i="3"/>
  <c r="W93" i="3"/>
  <c r="V93" i="3"/>
  <c r="U93" i="3"/>
  <c r="T93" i="3"/>
  <c r="S93" i="3"/>
  <c r="I93" i="3"/>
  <c r="P92" i="5" s="1"/>
  <c r="H93" i="3"/>
  <c r="G93" i="3"/>
  <c r="F93" i="3"/>
  <c r="E93" i="3"/>
  <c r="D93" i="3"/>
  <c r="D92" i="5" s="1"/>
  <c r="C93" i="3"/>
  <c r="C92" i="5" s="1"/>
  <c r="B92" i="5" s="1"/>
  <c r="A93" i="3"/>
  <c r="A92" i="5" s="1"/>
  <c r="BV92" i="3"/>
  <c r="BU92" i="3"/>
  <c r="BT92" i="3"/>
  <c r="BS92" i="3"/>
  <c r="BR92" i="3"/>
  <c r="BQ92" i="3"/>
  <c r="BP92" i="3"/>
  <c r="BO92" i="3"/>
  <c r="BN92" i="3"/>
  <c r="BM92" i="3"/>
  <c r="BL92" i="3"/>
  <c r="BK92" i="3"/>
  <c r="BJ92" i="3"/>
  <c r="BI92" i="3"/>
  <c r="BH92" i="3"/>
  <c r="BG92" i="3"/>
  <c r="BF92" i="3"/>
  <c r="BE92" i="3"/>
  <c r="BD92" i="3"/>
  <c r="BC92" i="3"/>
  <c r="BB92" i="3"/>
  <c r="BA92" i="3"/>
  <c r="AZ92" i="3"/>
  <c r="AY92" i="3"/>
  <c r="AX92" i="3"/>
  <c r="AW92" i="3"/>
  <c r="AV92" i="3"/>
  <c r="AU92" i="3"/>
  <c r="AT92" i="3"/>
  <c r="AS92" i="3"/>
  <c r="AR92" i="3"/>
  <c r="AQ92" i="3"/>
  <c r="AP92" i="3"/>
  <c r="AO92" i="3"/>
  <c r="AN92" i="3"/>
  <c r="AM92" i="3"/>
  <c r="AL92" i="3"/>
  <c r="AK92" i="3"/>
  <c r="AJ92" i="3"/>
  <c r="AI92" i="3"/>
  <c r="AH92" i="3"/>
  <c r="AG92" i="3"/>
  <c r="AF92" i="3"/>
  <c r="AE92" i="3"/>
  <c r="AD92" i="3"/>
  <c r="AC92" i="3"/>
  <c r="AB92" i="3"/>
  <c r="AA92" i="3"/>
  <c r="Z92" i="3"/>
  <c r="Y92" i="3"/>
  <c r="X92" i="3"/>
  <c r="W92" i="3"/>
  <c r="V92" i="3"/>
  <c r="U92" i="3"/>
  <c r="T92" i="3"/>
  <c r="S92" i="3"/>
  <c r="I92" i="3"/>
  <c r="P91" i="5" s="1"/>
  <c r="H92" i="3"/>
  <c r="G92" i="3"/>
  <c r="F92" i="3"/>
  <c r="E92" i="3"/>
  <c r="E91" i="5" s="1"/>
  <c r="D92" i="3"/>
  <c r="D91" i="5" s="1"/>
  <c r="C92" i="3"/>
  <c r="C91" i="5" s="1"/>
  <c r="B91" i="5" s="1"/>
  <c r="A92" i="3"/>
  <c r="A91" i="5" s="1"/>
  <c r="BV91" i="3"/>
  <c r="BU91" i="3"/>
  <c r="BT91" i="3"/>
  <c r="BS91" i="3"/>
  <c r="BR91" i="3"/>
  <c r="BQ91" i="3"/>
  <c r="BP91" i="3"/>
  <c r="BO91" i="3"/>
  <c r="BN91" i="3"/>
  <c r="BM91" i="3"/>
  <c r="BL91" i="3"/>
  <c r="BK91" i="3"/>
  <c r="BJ91" i="3"/>
  <c r="BI91" i="3"/>
  <c r="BH91" i="3"/>
  <c r="BG91" i="3"/>
  <c r="BF91" i="3"/>
  <c r="BE91" i="3"/>
  <c r="BD91" i="3"/>
  <c r="BC91" i="3"/>
  <c r="BB91" i="3"/>
  <c r="BA91" i="3"/>
  <c r="AZ91" i="3"/>
  <c r="AY91" i="3"/>
  <c r="AX91" i="3"/>
  <c r="AW91" i="3"/>
  <c r="AV91" i="3"/>
  <c r="AU91" i="3"/>
  <c r="AT91" i="3"/>
  <c r="AS91" i="3"/>
  <c r="AR91" i="3"/>
  <c r="AQ91" i="3"/>
  <c r="AP91" i="3"/>
  <c r="AO91" i="3"/>
  <c r="AN91" i="3"/>
  <c r="AM91" i="3"/>
  <c r="AL91" i="3"/>
  <c r="AK91" i="3"/>
  <c r="AJ91" i="3"/>
  <c r="AI91" i="3"/>
  <c r="AH91" i="3"/>
  <c r="AG91" i="3"/>
  <c r="AF91" i="3"/>
  <c r="AE91" i="3"/>
  <c r="AD91" i="3"/>
  <c r="AC91" i="3"/>
  <c r="AB91" i="3"/>
  <c r="AA91" i="3"/>
  <c r="Z91" i="3"/>
  <c r="Y91" i="3"/>
  <c r="X91" i="3"/>
  <c r="W91" i="3"/>
  <c r="V91" i="3"/>
  <c r="U91" i="3"/>
  <c r="T91" i="3"/>
  <c r="S91" i="3"/>
  <c r="I91" i="3"/>
  <c r="P90" i="5" s="1"/>
  <c r="H91" i="3"/>
  <c r="G91" i="3"/>
  <c r="F91" i="3"/>
  <c r="E91" i="3"/>
  <c r="E90" i="5" s="1"/>
  <c r="D91" i="3"/>
  <c r="D90" i="5" s="1"/>
  <c r="C91" i="3"/>
  <c r="C90" i="5" s="1"/>
  <c r="B90" i="5" s="1"/>
  <c r="A91" i="3"/>
  <c r="A90" i="5" s="1"/>
  <c r="BV90" i="3"/>
  <c r="BU90" i="3"/>
  <c r="BT90" i="3"/>
  <c r="BS90" i="3"/>
  <c r="BR90" i="3"/>
  <c r="BQ90" i="3"/>
  <c r="BP90" i="3"/>
  <c r="BO90" i="3"/>
  <c r="BN90" i="3"/>
  <c r="BM90" i="3"/>
  <c r="BL90" i="3"/>
  <c r="BK90" i="3"/>
  <c r="BJ90" i="3"/>
  <c r="BI90" i="3"/>
  <c r="BH90" i="3"/>
  <c r="BG90" i="3"/>
  <c r="BF90" i="3"/>
  <c r="BE90" i="3"/>
  <c r="BD90" i="3"/>
  <c r="BC90" i="3"/>
  <c r="BB90" i="3"/>
  <c r="BA90" i="3"/>
  <c r="AZ90" i="3"/>
  <c r="AY90" i="3"/>
  <c r="AX90" i="3"/>
  <c r="AW90" i="3"/>
  <c r="AV90" i="3"/>
  <c r="AU90" i="3"/>
  <c r="AT90" i="3"/>
  <c r="AS90" i="3"/>
  <c r="AR90" i="3"/>
  <c r="AQ90" i="3"/>
  <c r="AP90" i="3"/>
  <c r="AO90" i="3"/>
  <c r="AN90" i="3"/>
  <c r="AM90" i="3"/>
  <c r="AL90" i="3"/>
  <c r="AK90" i="3"/>
  <c r="AJ90" i="3"/>
  <c r="AI90" i="3"/>
  <c r="AH90" i="3"/>
  <c r="AG90" i="3"/>
  <c r="AF90" i="3"/>
  <c r="AE90" i="3"/>
  <c r="AD90" i="3"/>
  <c r="AC90" i="3"/>
  <c r="AB90" i="3"/>
  <c r="AA90" i="3"/>
  <c r="Z90" i="3"/>
  <c r="Y90" i="3"/>
  <c r="X90" i="3"/>
  <c r="W90" i="3"/>
  <c r="V90" i="3"/>
  <c r="U90" i="3"/>
  <c r="T90" i="3"/>
  <c r="S90" i="3"/>
  <c r="I90" i="3"/>
  <c r="P89" i="5" s="1"/>
  <c r="H90" i="3"/>
  <c r="G90" i="3"/>
  <c r="F90" i="3"/>
  <c r="E90" i="3"/>
  <c r="E89" i="5" s="1"/>
  <c r="D90" i="3"/>
  <c r="D89" i="5" s="1"/>
  <c r="C90" i="3"/>
  <c r="C89" i="5" s="1"/>
  <c r="A90" i="3"/>
  <c r="A89" i="5" s="1"/>
  <c r="BV89" i="3"/>
  <c r="BU89" i="3"/>
  <c r="BT89" i="3"/>
  <c r="BS89" i="3"/>
  <c r="BR89" i="3"/>
  <c r="BQ89" i="3"/>
  <c r="BP89" i="3"/>
  <c r="BO89" i="3"/>
  <c r="BN89" i="3"/>
  <c r="BM89" i="3"/>
  <c r="BL89" i="3"/>
  <c r="BK89" i="3"/>
  <c r="BJ89" i="3"/>
  <c r="BI89" i="3"/>
  <c r="BH89" i="3"/>
  <c r="BG89" i="3"/>
  <c r="BF89" i="3"/>
  <c r="BE89" i="3"/>
  <c r="BD89" i="3"/>
  <c r="BC89" i="3"/>
  <c r="BB89" i="3"/>
  <c r="BA89" i="3"/>
  <c r="AZ89" i="3"/>
  <c r="AY89" i="3"/>
  <c r="AX89" i="3"/>
  <c r="AW89" i="3"/>
  <c r="AV89" i="3"/>
  <c r="AU89" i="3"/>
  <c r="AT89" i="3"/>
  <c r="AS89" i="3"/>
  <c r="AR89" i="3"/>
  <c r="AQ89" i="3"/>
  <c r="AP89" i="3"/>
  <c r="AO89" i="3"/>
  <c r="AN89" i="3"/>
  <c r="AM89" i="3"/>
  <c r="AL89" i="3"/>
  <c r="AK89" i="3"/>
  <c r="AJ89" i="3"/>
  <c r="AI89" i="3"/>
  <c r="AH89" i="3"/>
  <c r="AG89" i="3"/>
  <c r="AF89" i="3"/>
  <c r="AE89" i="3"/>
  <c r="AD89" i="3"/>
  <c r="AC89" i="3"/>
  <c r="AB89" i="3"/>
  <c r="AA89" i="3"/>
  <c r="Z89" i="3"/>
  <c r="Y89" i="3"/>
  <c r="Q89" i="3" s="1"/>
  <c r="M88" i="5" s="1" a="1"/>
  <c r="M88" i="5" s="1"/>
  <c r="X89" i="3"/>
  <c r="W89" i="3"/>
  <c r="V89" i="3"/>
  <c r="U89" i="3"/>
  <c r="T89" i="3"/>
  <c r="S89" i="3"/>
  <c r="I89" i="3"/>
  <c r="P88" i="5" s="1"/>
  <c r="H89" i="3"/>
  <c r="G89" i="3"/>
  <c r="F89" i="3"/>
  <c r="E89" i="3"/>
  <c r="E88" i="5" s="1"/>
  <c r="D89" i="3"/>
  <c r="D88" i="5" s="1"/>
  <c r="C89" i="3"/>
  <c r="C88" i="5" s="1"/>
  <c r="B88" i="5" s="1"/>
  <c r="A89" i="3"/>
  <c r="A88" i="5" s="1"/>
  <c r="BV88" i="3"/>
  <c r="BU88" i="3"/>
  <c r="BT88" i="3"/>
  <c r="BS88" i="3"/>
  <c r="BR88" i="3"/>
  <c r="BQ88" i="3"/>
  <c r="BP88" i="3"/>
  <c r="BO88" i="3"/>
  <c r="BN88" i="3"/>
  <c r="BM88" i="3"/>
  <c r="BL88" i="3"/>
  <c r="BK88" i="3"/>
  <c r="BJ88" i="3"/>
  <c r="BI88" i="3"/>
  <c r="BH88" i="3"/>
  <c r="BG88" i="3"/>
  <c r="BF88" i="3"/>
  <c r="BE88" i="3"/>
  <c r="BD88" i="3"/>
  <c r="BC88" i="3"/>
  <c r="BB88" i="3"/>
  <c r="BA88" i="3"/>
  <c r="AZ88" i="3"/>
  <c r="AY88" i="3"/>
  <c r="AX88" i="3"/>
  <c r="AW88" i="3"/>
  <c r="AV88" i="3"/>
  <c r="AU88" i="3"/>
  <c r="AT88" i="3"/>
  <c r="AS88" i="3"/>
  <c r="AR88" i="3"/>
  <c r="AQ88" i="3"/>
  <c r="AP88" i="3"/>
  <c r="AO88" i="3"/>
  <c r="AN88" i="3"/>
  <c r="AM88" i="3"/>
  <c r="AL88" i="3"/>
  <c r="AK88" i="3"/>
  <c r="AJ88" i="3"/>
  <c r="AI88" i="3"/>
  <c r="AH88" i="3"/>
  <c r="AG88" i="3"/>
  <c r="AF88" i="3"/>
  <c r="AE88" i="3"/>
  <c r="AD88" i="3"/>
  <c r="AC88" i="3"/>
  <c r="AB88" i="3"/>
  <c r="AA88" i="3"/>
  <c r="Z88" i="3"/>
  <c r="Y88" i="3"/>
  <c r="X88" i="3"/>
  <c r="W88" i="3"/>
  <c r="V88" i="3"/>
  <c r="U88" i="3"/>
  <c r="T88" i="3"/>
  <c r="S88" i="3"/>
  <c r="I88" i="3"/>
  <c r="H88" i="3"/>
  <c r="G88" i="3"/>
  <c r="F88" i="3"/>
  <c r="E88" i="3"/>
  <c r="E87" i="5" s="1"/>
  <c r="D88" i="3"/>
  <c r="C88" i="3"/>
  <c r="A88" i="3"/>
  <c r="BV87" i="3"/>
  <c r="BU87" i="3"/>
  <c r="BT87" i="3"/>
  <c r="BS87" i="3"/>
  <c r="BR87" i="3"/>
  <c r="BQ87" i="3"/>
  <c r="BP87" i="3"/>
  <c r="BO87" i="3"/>
  <c r="BN87" i="3"/>
  <c r="BM87" i="3"/>
  <c r="BL87" i="3"/>
  <c r="BK87" i="3"/>
  <c r="BJ87" i="3"/>
  <c r="BI87" i="3"/>
  <c r="BH87" i="3"/>
  <c r="BG87" i="3"/>
  <c r="BF87" i="3"/>
  <c r="BE87" i="3"/>
  <c r="BD87" i="3"/>
  <c r="BC87" i="3"/>
  <c r="BB87" i="3"/>
  <c r="BA87" i="3"/>
  <c r="AZ87" i="3"/>
  <c r="AY87" i="3"/>
  <c r="AX87" i="3"/>
  <c r="AW87" i="3"/>
  <c r="AV87" i="3"/>
  <c r="AU87" i="3"/>
  <c r="AT87" i="3"/>
  <c r="AS87" i="3"/>
  <c r="AR87" i="3"/>
  <c r="AQ87" i="3"/>
  <c r="AP87" i="3"/>
  <c r="AO87" i="3"/>
  <c r="AN87" i="3"/>
  <c r="AM87" i="3"/>
  <c r="AL87" i="3"/>
  <c r="AK87" i="3"/>
  <c r="AJ87" i="3"/>
  <c r="AI87" i="3"/>
  <c r="AH87" i="3"/>
  <c r="AG87" i="3"/>
  <c r="AF87" i="3"/>
  <c r="AE87" i="3"/>
  <c r="AD87" i="3"/>
  <c r="AC87" i="3"/>
  <c r="AB87" i="3"/>
  <c r="AA87" i="3"/>
  <c r="Z87" i="3"/>
  <c r="O87" i="3" s="1"/>
  <c r="K86" i="5" s="1" a="1"/>
  <c r="K86" i="5" s="1"/>
  <c r="Y87" i="3"/>
  <c r="X87" i="3"/>
  <c r="W87" i="3"/>
  <c r="V87" i="3"/>
  <c r="U87" i="3"/>
  <c r="T87" i="3"/>
  <c r="S87" i="3"/>
  <c r="I87" i="3"/>
  <c r="H87" i="3"/>
  <c r="G87" i="3"/>
  <c r="F87" i="3"/>
  <c r="E87" i="3"/>
  <c r="E86" i="5" s="1"/>
  <c r="D87" i="3"/>
  <c r="C87" i="3"/>
  <c r="C86" i="5" s="1"/>
  <c r="B86" i="5" s="1"/>
  <c r="A87" i="3"/>
  <c r="A86" i="5" s="1"/>
  <c r="BV86" i="3"/>
  <c r="BU86" i="3"/>
  <c r="BT86" i="3"/>
  <c r="BS86" i="3"/>
  <c r="BR86" i="3"/>
  <c r="BQ86" i="3"/>
  <c r="BP86" i="3"/>
  <c r="BO86" i="3"/>
  <c r="BN86" i="3"/>
  <c r="BM86" i="3"/>
  <c r="BL86" i="3"/>
  <c r="BK86" i="3"/>
  <c r="BJ86" i="3"/>
  <c r="BI86" i="3"/>
  <c r="BH86" i="3"/>
  <c r="BG86" i="3"/>
  <c r="BF86" i="3"/>
  <c r="BE86" i="3"/>
  <c r="BD86" i="3"/>
  <c r="BC86" i="3"/>
  <c r="BB86" i="3"/>
  <c r="BA86" i="3"/>
  <c r="AZ86" i="3"/>
  <c r="AY86" i="3"/>
  <c r="AX86" i="3"/>
  <c r="AW86" i="3"/>
  <c r="AV86" i="3"/>
  <c r="AU86" i="3"/>
  <c r="AT86" i="3"/>
  <c r="AS86" i="3"/>
  <c r="AR86" i="3"/>
  <c r="AQ86" i="3"/>
  <c r="AP86" i="3"/>
  <c r="AO86" i="3"/>
  <c r="AN86" i="3"/>
  <c r="AM86" i="3"/>
  <c r="AL86" i="3"/>
  <c r="AK86" i="3"/>
  <c r="AJ86" i="3"/>
  <c r="AI86" i="3"/>
  <c r="AH86" i="3"/>
  <c r="AG86" i="3"/>
  <c r="AF86" i="3"/>
  <c r="AE86" i="3"/>
  <c r="AD86" i="3"/>
  <c r="AC86" i="3"/>
  <c r="AB86" i="3"/>
  <c r="AA86" i="3"/>
  <c r="P86" i="3" s="1"/>
  <c r="L85" i="5" s="1" a="1"/>
  <c r="L85" i="5" s="1"/>
  <c r="Z86" i="3"/>
  <c r="Y86" i="3"/>
  <c r="X86" i="3"/>
  <c r="W86" i="3"/>
  <c r="V86" i="3"/>
  <c r="U86" i="3"/>
  <c r="T86" i="3"/>
  <c r="S86" i="3"/>
  <c r="I86" i="3"/>
  <c r="H86" i="3"/>
  <c r="G86" i="3"/>
  <c r="F86" i="3"/>
  <c r="E86" i="3"/>
  <c r="D86" i="3"/>
  <c r="D85" i="5" s="1"/>
  <c r="C86" i="3"/>
  <c r="C85" i="5" s="1"/>
  <c r="A86" i="3"/>
  <c r="A85" i="5" s="1"/>
  <c r="BV85" i="3"/>
  <c r="BU85" i="3"/>
  <c r="BT85" i="3"/>
  <c r="BS85" i="3"/>
  <c r="BR85" i="3"/>
  <c r="BQ85" i="3"/>
  <c r="BP85" i="3"/>
  <c r="BO85" i="3"/>
  <c r="BN85" i="3"/>
  <c r="BM85" i="3"/>
  <c r="BL85" i="3"/>
  <c r="BK85" i="3"/>
  <c r="BJ85" i="3"/>
  <c r="BI85" i="3"/>
  <c r="BH85" i="3"/>
  <c r="BG85" i="3"/>
  <c r="BF85" i="3"/>
  <c r="BE85" i="3"/>
  <c r="BD85" i="3"/>
  <c r="BC85" i="3"/>
  <c r="BB85" i="3"/>
  <c r="BA85" i="3"/>
  <c r="AZ85" i="3"/>
  <c r="AY85" i="3"/>
  <c r="AX85" i="3"/>
  <c r="AW85" i="3"/>
  <c r="AV85" i="3"/>
  <c r="AU85" i="3"/>
  <c r="AT85" i="3"/>
  <c r="AS85" i="3"/>
  <c r="AR85" i="3"/>
  <c r="AQ85" i="3"/>
  <c r="AP85" i="3"/>
  <c r="AO85" i="3"/>
  <c r="AN85" i="3"/>
  <c r="AM85" i="3"/>
  <c r="AL85" i="3"/>
  <c r="AK85" i="3"/>
  <c r="AJ85" i="3"/>
  <c r="AI85" i="3"/>
  <c r="AH85" i="3"/>
  <c r="AG85" i="3"/>
  <c r="AF85" i="3"/>
  <c r="AE85" i="3"/>
  <c r="AD85" i="3"/>
  <c r="AC85" i="3"/>
  <c r="AB85" i="3"/>
  <c r="R85" i="3" s="1"/>
  <c r="N84" i="5" s="1" a="1"/>
  <c r="N84" i="5" s="1"/>
  <c r="AA85" i="3"/>
  <c r="Z85" i="3"/>
  <c r="Y85" i="3"/>
  <c r="X85" i="3"/>
  <c r="W85" i="3"/>
  <c r="V85" i="3"/>
  <c r="U85" i="3"/>
  <c r="T85" i="3"/>
  <c r="S85" i="3"/>
  <c r="I85" i="3"/>
  <c r="P84" i="5" s="1"/>
  <c r="H85" i="3"/>
  <c r="G85" i="3"/>
  <c r="F85" i="3"/>
  <c r="E85" i="3"/>
  <c r="E84" i="5" s="1"/>
  <c r="D85" i="3"/>
  <c r="D84" i="5" s="1"/>
  <c r="C85" i="3"/>
  <c r="C84" i="5" s="1"/>
  <c r="B84" i="5" s="1"/>
  <c r="A85" i="3"/>
  <c r="A84" i="5" s="1"/>
  <c r="BV84" i="3"/>
  <c r="BU84" i="3"/>
  <c r="BT84" i="3"/>
  <c r="BS84" i="3"/>
  <c r="BR84" i="3"/>
  <c r="BQ84" i="3"/>
  <c r="BP84" i="3"/>
  <c r="BO84" i="3"/>
  <c r="BN84" i="3"/>
  <c r="BM84" i="3"/>
  <c r="BL84" i="3"/>
  <c r="BK84" i="3"/>
  <c r="BJ84" i="3"/>
  <c r="BI84" i="3"/>
  <c r="BH84" i="3"/>
  <c r="BG84" i="3"/>
  <c r="BF84" i="3"/>
  <c r="BE84" i="3"/>
  <c r="BD84" i="3"/>
  <c r="BC84" i="3"/>
  <c r="BB84" i="3"/>
  <c r="BA84" i="3"/>
  <c r="AZ84" i="3"/>
  <c r="AY84" i="3"/>
  <c r="AX84" i="3"/>
  <c r="AW84" i="3"/>
  <c r="AV84" i="3"/>
  <c r="AU84" i="3"/>
  <c r="AT84" i="3"/>
  <c r="AS84" i="3"/>
  <c r="AR84" i="3"/>
  <c r="AQ84" i="3"/>
  <c r="AP84" i="3"/>
  <c r="AO84" i="3"/>
  <c r="AN84" i="3"/>
  <c r="AM84" i="3"/>
  <c r="AL84" i="3"/>
  <c r="AK84" i="3"/>
  <c r="AJ84" i="3"/>
  <c r="AI84" i="3"/>
  <c r="AH84" i="3"/>
  <c r="AG84" i="3"/>
  <c r="AF84" i="3"/>
  <c r="AE84" i="3"/>
  <c r="AD84" i="3"/>
  <c r="AC84" i="3"/>
  <c r="AB84" i="3"/>
  <c r="AA84" i="3"/>
  <c r="Z84" i="3"/>
  <c r="Y84" i="3"/>
  <c r="X84" i="3"/>
  <c r="W84" i="3"/>
  <c r="V84" i="3"/>
  <c r="U84" i="3"/>
  <c r="T84" i="3"/>
  <c r="S84" i="3"/>
  <c r="I84" i="3"/>
  <c r="P83" i="5" s="1"/>
  <c r="H84" i="3"/>
  <c r="G84" i="3"/>
  <c r="F84" i="3"/>
  <c r="E84" i="3"/>
  <c r="E83" i="5" s="1"/>
  <c r="D84" i="3"/>
  <c r="D83" i="5" s="1"/>
  <c r="C84" i="3"/>
  <c r="C83" i="5" s="1"/>
  <c r="A84" i="3"/>
  <c r="A83" i="5" s="1"/>
  <c r="BV83" i="3"/>
  <c r="BU83" i="3"/>
  <c r="BT83" i="3"/>
  <c r="BS83" i="3"/>
  <c r="BR83" i="3"/>
  <c r="BQ83" i="3"/>
  <c r="BP83" i="3"/>
  <c r="BO83" i="3"/>
  <c r="BN83" i="3"/>
  <c r="BM83" i="3"/>
  <c r="BL83" i="3"/>
  <c r="BK83" i="3"/>
  <c r="BJ83" i="3"/>
  <c r="BI83" i="3"/>
  <c r="BH83" i="3"/>
  <c r="BG83" i="3"/>
  <c r="BF83" i="3"/>
  <c r="BE83" i="3"/>
  <c r="BD83" i="3"/>
  <c r="BC83" i="3"/>
  <c r="BB83" i="3"/>
  <c r="BA83" i="3"/>
  <c r="AZ83" i="3"/>
  <c r="AY83" i="3"/>
  <c r="AX83" i="3"/>
  <c r="AW83" i="3"/>
  <c r="AV83" i="3"/>
  <c r="AU83" i="3"/>
  <c r="AT83" i="3"/>
  <c r="AS83" i="3"/>
  <c r="AR83" i="3"/>
  <c r="AQ83" i="3"/>
  <c r="AP83" i="3"/>
  <c r="AO83" i="3"/>
  <c r="AN83" i="3"/>
  <c r="AM83" i="3"/>
  <c r="AL83" i="3"/>
  <c r="AK83" i="3"/>
  <c r="AJ83" i="3"/>
  <c r="AI83" i="3"/>
  <c r="AH83" i="3"/>
  <c r="AG83" i="3"/>
  <c r="AF83" i="3"/>
  <c r="AE83" i="3"/>
  <c r="AD83" i="3"/>
  <c r="AC83" i="3"/>
  <c r="AB83" i="3"/>
  <c r="AA83" i="3"/>
  <c r="Z83" i="3"/>
  <c r="Y83" i="3"/>
  <c r="X83" i="3"/>
  <c r="W83" i="3"/>
  <c r="V83" i="3"/>
  <c r="U83" i="3"/>
  <c r="T83" i="3"/>
  <c r="S83" i="3"/>
  <c r="I83" i="3"/>
  <c r="P82" i="5" s="1"/>
  <c r="H83" i="3"/>
  <c r="G83" i="3"/>
  <c r="F83" i="3"/>
  <c r="E83" i="3"/>
  <c r="E82" i="5" s="1"/>
  <c r="D83" i="3"/>
  <c r="D82" i="5" s="1"/>
  <c r="C83" i="3"/>
  <c r="C82" i="5" s="1"/>
  <c r="B82" i="5" s="1"/>
  <c r="A83" i="3"/>
  <c r="A82" i="5" s="1"/>
  <c r="BV82" i="3"/>
  <c r="BU82" i="3"/>
  <c r="BT82" i="3"/>
  <c r="BS82" i="3"/>
  <c r="BR82" i="3"/>
  <c r="BQ82" i="3"/>
  <c r="BP82" i="3"/>
  <c r="BO82" i="3"/>
  <c r="BN82" i="3"/>
  <c r="BM82" i="3"/>
  <c r="BL82" i="3"/>
  <c r="BK82" i="3"/>
  <c r="BJ82" i="3"/>
  <c r="BI82" i="3"/>
  <c r="BH82" i="3"/>
  <c r="BG82" i="3"/>
  <c r="BF82" i="3"/>
  <c r="BE82" i="3"/>
  <c r="BD82" i="3"/>
  <c r="BC82" i="3"/>
  <c r="BB82" i="3"/>
  <c r="BA82" i="3"/>
  <c r="AZ82" i="3"/>
  <c r="AY82" i="3"/>
  <c r="AX82" i="3"/>
  <c r="AW82" i="3"/>
  <c r="AV82" i="3"/>
  <c r="AU82" i="3"/>
  <c r="AT82" i="3"/>
  <c r="AS82" i="3"/>
  <c r="AR82" i="3"/>
  <c r="AQ82" i="3"/>
  <c r="AP82" i="3"/>
  <c r="AO82" i="3"/>
  <c r="AN82" i="3"/>
  <c r="AM82" i="3"/>
  <c r="AL82" i="3"/>
  <c r="AK82" i="3"/>
  <c r="AJ82" i="3"/>
  <c r="AI82" i="3"/>
  <c r="AH82" i="3"/>
  <c r="AG82" i="3"/>
  <c r="AF82" i="3"/>
  <c r="AE82" i="3"/>
  <c r="AD82" i="3"/>
  <c r="AC82" i="3"/>
  <c r="AB82" i="3"/>
  <c r="AA82" i="3"/>
  <c r="Z82" i="3"/>
  <c r="Y82" i="3"/>
  <c r="X82" i="3"/>
  <c r="W82" i="3"/>
  <c r="V82" i="3"/>
  <c r="U82" i="3"/>
  <c r="T82" i="3"/>
  <c r="S82" i="3"/>
  <c r="I82" i="3"/>
  <c r="P81" i="5" s="1"/>
  <c r="H82" i="3"/>
  <c r="G82" i="3"/>
  <c r="F82" i="3"/>
  <c r="E82" i="3"/>
  <c r="E81" i="5" s="1"/>
  <c r="D82" i="3"/>
  <c r="D81" i="5" s="1"/>
  <c r="C82" i="3"/>
  <c r="C81" i="5" s="1"/>
  <c r="B81" i="5" s="1"/>
  <c r="A82" i="3"/>
  <c r="A81" i="5" s="1"/>
  <c r="BV81" i="3"/>
  <c r="BU81" i="3"/>
  <c r="BT81" i="3"/>
  <c r="BS81" i="3"/>
  <c r="BR81" i="3"/>
  <c r="BQ81" i="3"/>
  <c r="BP81" i="3"/>
  <c r="BO81" i="3"/>
  <c r="BN81" i="3"/>
  <c r="BM81" i="3"/>
  <c r="BL81" i="3"/>
  <c r="BK81" i="3"/>
  <c r="BJ81" i="3"/>
  <c r="BI81" i="3"/>
  <c r="BH81" i="3"/>
  <c r="BG81" i="3"/>
  <c r="BF81" i="3"/>
  <c r="BE81" i="3"/>
  <c r="BD81" i="3"/>
  <c r="BC81" i="3"/>
  <c r="BB81" i="3"/>
  <c r="BA81" i="3"/>
  <c r="AZ81" i="3"/>
  <c r="AY81" i="3"/>
  <c r="AX81" i="3"/>
  <c r="AW81" i="3"/>
  <c r="AV81" i="3"/>
  <c r="AU81" i="3"/>
  <c r="AT81" i="3"/>
  <c r="AS81" i="3"/>
  <c r="AR81" i="3"/>
  <c r="AQ81" i="3"/>
  <c r="AP81" i="3"/>
  <c r="AO81" i="3"/>
  <c r="AN81" i="3"/>
  <c r="AM81" i="3"/>
  <c r="AL81" i="3"/>
  <c r="AK81" i="3"/>
  <c r="AJ81" i="3"/>
  <c r="AI81" i="3"/>
  <c r="AH81" i="3"/>
  <c r="AG81" i="3"/>
  <c r="AF81" i="3"/>
  <c r="AE81" i="3"/>
  <c r="AD81" i="3"/>
  <c r="AC81" i="3"/>
  <c r="AB81" i="3"/>
  <c r="AA81" i="3"/>
  <c r="Z81" i="3"/>
  <c r="Y81" i="3"/>
  <c r="X81" i="3"/>
  <c r="W81" i="3"/>
  <c r="V81" i="3"/>
  <c r="U81" i="3"/>
  <c r="T81" i="3"/>
  <c r="S81" i="3"/>
  <c r="I81" i="3"/>
  <c r="P80" i="5" s="1"/>
  <c r="H81" i="3"/>
  <c r="G81" i="3"/>
  <c r="F81" i="3"/>
  <c r="E81" i="3"/>
  <c r="E80" i="5" s="1"/>
  <c r="D81" i="3"/>
  <c r="D80" i="5" s="1"/>
  <c r="C81" i="3"/>
  <c r="C80" i="5" s="1"/>
  <c r="A81" i="3"/>
  <c r="A80" i="5" s="1"/>
  <c r="BV80" i="3"/>
  <c r="BU80" i="3"/>
  <c r="BT80" i="3"/>
  <c r="BS80" i="3"/>
  <c r="BR80" i="3"/>
  <c r="BQ80" i="3"/>
  <c r="BP80" i="3"/>
  <c r="BO80" i="3"/>
  <c r="BN80" i="3"/>
  <c r="BM80" i="3"/>
  <c r="BL80" i="3"/>
  <c r="BK80" i="3"/>
  <c r="BJ80" i="3"/>
  <c r="BI80" i="3"/>
  <c r="BH80" i="3"/>
  <c r="BG80" i="3"/>
  <c r="BF80" i="3"/>
  <c r="BE80" i="3"/>
  <c r="BD80" i="3"/>
  <c r="BC80" i="3"/>
  <c r="BB80" i="3"/>
  <c r="BA80" i="3"/>
  <c r="AZ80" i="3"/>
  <c r="AY80" i="3"/>
  <c r="AX80" i="3"/>
  <c r="AW80" i="3"/>
  <c r="AV80" i="3"/>
  <c r="AU80" i="3"/>
  <c r="AT80" i="3"/>
  <c r="AS80" i="3"/>
  <c r="AR80" i="3"/>
  <c r="AQ80" i="3"/>
  <c r="AP80" i="3"/>
  <c r="AO80" i="3"/>
  <c r="AN80" i="3"/>
  <c r="AM80" i="3"/>
  <c r="AL80" i="3"/>
  <c r="AK80" i="3"/>
  <c r="AJ80" i="3"/>
  <c r="AI80" i="3"/>
  <c r="AH80" i="3"/>
  <c r="AG80" i="3"/>
  <c r="AF80" i="3"/>
  <c r="AE80" i="3"/>
  <c r="AD80" i="3"/>
  <c r="AC80" i="3"/>
  <c r="O80" i="3" s="1"/>
  <c r="K79" i="5" s="1" a="1"/>
  <c r="K79" i="5" s="1"/>
  <c r="AB80" i="3"/>
  <c r="AA80" i="3"/>
  <c r="Z80" i="3"/>
  <c r="Y80" i="3"/>
  <c r="X80" i="3"/>
  <c r="W80" i="3"/>
  <c r="V80" i="3"/>
  <c r="U80" i="3"/>
  <c r="T80" i="3"/>
  <c r="S80" i="3"/>
  <c r="I80" i="3"/>
  <c r="P79" i="5" s="1"/>
  <c r="H80" i="3"/>
  <c r="G80" i="3"/>
  <c r="F80" i="3"/>
  <c r="E80" i="3"/>
  <c r="E79" i="5" s="1"/>
  <c r="D80" i="3"/>
  <c r="D79" i="5" s="1"/>
  <c r="C80" i="3"/>
  <c r="A80" i="3"/>
  <c r="BV79" i="3"/>
  <c r="BU79" i="3"/>
  <c r="BT79" i="3"/>
  <c r="BS79" i="3"/>
  <c r="BR79" i="3"/>
  <c r="BQ79" i="3"/>
  <c r="BP79" i="3"/>
  <c r="BO79" i="3"/>
  <c r="BN79" i="3"/>
  <c r="BM79" i="3"/>
  <c r="BL79" i="3"/>
  <c r="BK79" i="3"/>
  <c r="BJ79" i="3"/>
  <c r="BI79" i="3"/>
  <c r="BH79" i="3"/>
  <c r="BG79" i="3"/>
  <c r="BF79" i="3"/>
  <c r="BE79" i="3"/>
  <c r="BD79" i="3"/>
  <c r="BC79" i="3"/>
  <c r="BB79" i="3"/>
  <c r="BA79" i="3"/>
  <c r="AZ79" i="3"/>
  <c r="AY79" i="3"/>
  <c r="AX79" i="3"/>
  <c r="AW79" i="3"/>
  <c r="AV79" i="3"/>
  <c r="AU79" i="3"/>
  <c r="AT79" i="3"/>
  <c r="AS79" i="3"/>
  <c r="AR79" i="3"/>
  <c r="AQ79" i="3"/>
  <c r="AP79" i="3"/>
  <c r="AO79" i="3"/>
  <c r="AN79" i="3"/>
  <c r="AM79" i="3"/>
  <c r="AL79" i="3"/>
  <c r="AK79" i="3"/>
  <c r="AJ79" i="3"/>
  <c r="AI79" i="3"/>
  <c r="AH79" i="3"/>
  <c r="AG79" i="3"/>
  <c r="AF79" i="3"/>
  <c r="AE79" i="3"/>
  <c r="AD79" i="3"/>
  <c r="AC79" i="3"/>
  <c r="AB79" i="3"/>
  <c r="AA79" i="3"/>
  <c r="Z79" i="3"/>
  <c r="Y79" i="3"/>
  <c r="X79" i="3"/>
  <c r="W79" i="3"/>
  <c r="V79" i="3"/>
  <c r="U79" i="3"/>
  <c r="T79" i="3"/>
  <c r="S79" i="3"/>
  <c r="I79" i="3"/>
  <c r="P78" i="5" s="1"/>
  <c r="H79" i="3"/>
  <c r="G79" i="3"/>
  <c r="F79" i="3"/>
  <c r="E79" i="3"/>
  <c r="E78" i="5" s="1"/>
  <c r="D79" i="3"/>
  <c r="D78" i="5" s="1"/>
  <c r="C79" i="3"/>
  <c r="A79" i="3"/>
  <c r="BV78" i="3"/>
  <c r="BU78" i="3"/>
  <c r="BT78" i="3"/>
  <c r="BS78" i="3"/>
  <c r="BR78" i="3"/>
  <c r="BQ78" i="3"/>
  <c r="BP78" i="3"/>
  <c r="BO78" i="3"/>
  <c r="BN78" i="3"/>
  <c r="BM78" i="3"/>
  <c r="BL78" i="3"/>
  <c r="BK78" i="3"/>
  <c r="BJ78" i="3"/>
  <c r="BI78" i="3"/>
  <c r="BH78" i="3"/>
  <c r="BG78" i="3"/>
  <c r="BF78" i="3"/>
  <c r="BE78" i="3"/>
  <c r="BD78" i="3"/>
  <c r="BC78" i="3"/>
  <c r="BB78" i="3"/>
  <c r="BA78" i="3"/>
  <c r="AZ78" i="3"/>
  <c r="AY78" i="3"/>
  <c r="AX78" i="3"/>
  <c r="AW78" i="3"/>
  <c r="AV78" i="3"/>
  <c r="AU78" i="3"/>
  <c r="AT78" i="3"/>
  <c r="AS78" i="3"/>
  <c r="AR78" i="3"/>
  <c r="AQ78" i="3"/>
  <c r="AP78" i="3"/>
  <c r="AO78" i="3"/>
  <c r="AN78" i="3"/>
  <c r="AM78" i="3"/>
  <c r="AL78" i="3"/>
  <c r="AK78" i="3"/>
  <c r="AJ78" i="3"/>
  <c r="AI78" i="3"/>
  <c r="AH78" i="3"/>
  <c r="AG78" i="3"/>
  <c r="AF78" i="3"/>
  <c r="AE78" i="3"/>
  <c r="AD78" i="3"/>
  <c r="AC78" i="3"/>
  <c r="AB78" i="3"/>
  <c r="AA78" i="3"/>
  <c r="Z78" i="3"/>
  <c r="Y78" i="3"/>
  <c r="X78" i="3"/>
  <c r="W78" i="3"/>
  <c r="V78" i="3"/>
  <c r="U78" i="3"/>
  <c r="T78" i="3"/>
  <c r="S78" i="3"/>
  <c r="I78" i="3"/>
  <c r="H78" i="3"/>
  <c r="G78" i="3"/>
  <c r="F78" i="3"/>
  <c r="E78" i="3"/>
  <c r="E77" i="5" s="1"/>
  <c r="D78" i="3"/>
  <c r="D77" i="5" s="1"/>
  <c r="C78" i="3"/>
  <c r="C77" i="5" s="1"/>
  <c r="B77" i="5" s="1"/>
  <c r="A78" i="3"/>
  <c r="A77" i="5" s="1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I77" i="3"/>
  <c r="BH77" i="3"/>
  <c r="BG77" i="3"/>
  <c r="BF77" i="3"/>
  <c r="BE77" i="3"/>
  <c r="BD77" i="3"/>
  <c r="BC77" i="3"/>
  <c r="BB77" i="3"/>
  <c r="BA77" i="3"/>
  <c r="AZ77" i="3"/>
  <c r="AY77" i="3"/>
  <c r="AX77" i="3"/>
  <c r="AW77" i="3"/>
  <c r="AV77" i="3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F77" i="3"/>
  <c r="AE77" i="3"/>
  <c r="AD77" i="3"/>
  <c r="AC77" i="3"/>
  <c r="AB77" i="3"/>
  <c r="AA77" i="3"/>
  <c r="Z77" i="3"/>
  <c r="Y77" i="3"/>
  <c r="X77" i="3"/>
  <c r="W77" i="3"/>
  <c r="V77" i="3"/>
  <c r="U77" i="3"/>
  <c r="T77" i="3"/>
  <c r="S77" i="3"/>
  <c r="I77" i="3"/>
  <c r="H77" i="3"/>
  <c r="G77" i="3"/>
  <c r="F77" i="3"/>
  <c r="E77" i="3"/>
  <c r="E76" i="5" s="1"/>
  <c r="D77" i="3"/>
  <c r="D76" i="5" s="1"/>
  <c r="C77" i="3"/>
  <c r="A77" i="3"/>
  <c r="A76" i="5" s="1"/>
  <c r="BV76" i="3"/>
  <c r="BU76" i="3"/>
  <c r="BT76" i="3"/>
  <c r="BS76" i="3"/>
  <c r="BR76" i="3"/>
  <c r="BQ76" i="3"/>
  <c r="BP76" i="3"/>
  <c r="BO76" i="3"/>
  <c r="BN76" i="3"/>
  <c r="BM76" i="3"/>
  <c r="BL76" i="3"/>
  <c r="BK76" i="3"/>
  <c r="BJ76" i="3"/>
  <c r="BI76" i="3"/>
  <c r="BH76" i="3"/>
  <c r="BG76" i="3"/>
  <c r="BF76" i="3"/>
  <c r="BE76" i="3"/>
  <c r="BD76" i="3"/>
  <c r="BC76" i="3"/>
  <c r="BB76" i="3"/>
  <c r="BA76" i="3"/>
  <c r="AZ76" i="3"/>
  <c r="AY76" i="3"/>
  <c r="AX76" i="3"/>
  <c r="AW76" i="3"/>
  <c r="AV76" i="3"/>
  <c r="AU76" i="3"/>
  <c r="AT76" i="3"/>
  <c r="AS76" i="3"/>
  <c r="AR76" i="3"/>
  <c r="AQ76" i="3"/>
  <c r="AP76" i="3"/>
  <c r="AO76" i="3"/>
  <c r="AN76" i="3"/>
  <c r="AM76" i="3"/>
  <c r="AL76" i="3"/>
  <c r="AK76" i="3"/>
  <c r="AJ76" i="3"/>
  <c r="AI76" i="3"/>
  <c r="AH76" i="3"/>
  <c r="AG76" i="3"/>
  <c r="AF76" i="3"/>
  <c r="AE76" i="3"/>
  <c r="AD76" i="3"/>
  <c r="Q76" i="3" s="1"/>
  <c r="M75" i="5" s="1" a="1"/>
  <c r="M75" i="5" s="1"/>
  <c r="AC76" i="3"/>
  <c r="AB76" i="3"/>
  <c r="AA76" i="3"/>
  <c r="Z76" i="3"/>
  <c r="Y76" i="3"/>
  <c r="X76" i="3"/>
  <c r="W76" i="3"/>
  <c r="V76" i="3"/>
  <c r="U76" i="3"/>
  <c r="T76" i="3"/>
  <c r="S76" i="3"/>
  <c r="I76" i="3"/>
  <c r="P75" i="5" s="1"/>
  <c r="H76" i="3"/>
  <c r="G76" i="3"/>
  <c r="F76" i="3"/>
  <c r="E76" i="3"/>
  <c r="E75" i="5" s="1"/>
  <c r="D76" i="3"/>
  <c r="C76" i="3"/>
  <c r="C75" i="5" s="1"/>
  <c r="A76" i="3"/>
  <c r="A75" i="5" s="1"/>
  <c r="BV75" i="3"/>
  <c r="BU75" i="3"/>
  <c r="BT75" i="3"/>
  <c r="BS75" i="3"/>
  <c r="BR75" i="3"/>
  <c r="BQ75" i="3"/>
  <c r="BP75" i="3"/>
  <c r="BO75" i="3"/>
  <c r="BN75" i="3"/>
  <c r="BM75" i="3"/>
  <c r="BL75" i="3"/>
  <c r="BK75" i="3"/>
  <c r="BJ75" i="3"/>
  <c r="BI75" i="3"/>
  <c r="BH75" i="3"/>
  <c r="BG75" i="3"/>
  <c r="BF75" i="3"/>
  <c r="BE75" i="3"/>
  <c r="BD75" i="3"/>
  <c r="BC75" i="3"/>
  <c r="BB75" i="3"/>
  <c r="BA75" i="3"/>
  <c r="AZ75" i="3"/>
  <c r="AY75" i="3"/>
  <c r="AX75" i="3"/>
  <c r="AW75" i="3"/>
  <c r="AV75" i="3"/>
  <c r="AU75" i="3"/>
  <c r="AT75" i="3"/>
  <c r="AS75" i="3"/>
  <c r="AR75" i="3"/>
  <c r="AQ75" i="3"/>
  <c r="AP75" i="3"/>
  <c r="AO75" i="3"/>
  <c r="AN75" i="3"/>
  <c r="AM75" i="3"/>
  <c r="AL75" i="3"/>
  <c r="AK75" i="3"/>
  <c r="AJ75" i="3"/>
  <c r="AI75" i="3"/>
  <c r="AH75" i="3"/>
  <c r="AG75" i="3"/>
  <c r="AF75" i="3"/>
  <c r="AE75" i="3"/>
  <c r="AD75" i="3"/>
  <c r="AC75" i="3"/>
  <c r="AB75" i="3"/>
  <c r="AA75" i="3"/>
  <c r="Z75" i="3"/>
  <c r="Y75" i="3"/>
  <c r="X75" i="3"/>
  <c r="W75" i="3"/>
  <c r="V75" i="3"/>
  <c r="U75" i="3"/>
  <c r="T75" i="3"/>
  <c r="S75" i="3"/>
  <c r="I75" i="3"/>
  <c r="P74" i="5" s="1"/>
  <c r="H75" i="3"/>
  <c r="G75" i="3"/>
  <c r="F75" i="3"/>
  <c r="E75" i="3"/>
  <c r="D75" i="3"/>
  <c r="C75" i="3"/>
  <c r="A75" i="3"/>
  <c r="BV74" i="3"/>
  <c r="BU74" i="3"/>
  <c r="BT74" i="3"/>
  <c r="BS74" i="3"/>
  <c r="BR74" i="3"/>
  <c r="BQ74" i="3"/>
  <c r="BP74" i="3"/>
  <c r="BO74" i="3"/>
  <c r="BN74" i="3"/>
  <c r="BM74" i="3"/>
  <c r="BL74" i="3"/>
  <c r="BK74" i="3"/>
  <c r="BJ74" i="3"/>
  <c r="BI74" i="3"/>
  <c r="BH74" i="3"/>
  <c r="BG74" i="3"/>
  <c r="BF74" i="3"/>
  <c r="BE74" i="3"/>
  <c r="BD74" i="3"/>
  <c r="BC74" i="3"/>
  <c r="BB74" i="3"/>
  <c r="BA74" i="3"/>
  <c r="AZ74" i="3"/>
  <c r="AY74" i="3"/>
  <c r="AX74" i="3"/>
  <c r="AW74" i="3"/>
  <c r="AV74" i="3"/>
  <c r="AU74" i="3"/>
  <c r="AT74" i="3"/>
  <c r="AS74" i="3"/>
  <c r="AR74" i="3"/>
  <c r="AQ74" i="3"/>
  <c r="AP74" i="3"/>
  <c r="AO74" i="3"/>
  <c r="AN74" i="3"/>
  <c r="AM74" i="3"/>
  <c r="AL74" i="3"/>
  <c r="AK74" i="3"/>
  <c r="AJ74" i="3"/>
  <c r="AI74" i="3"/>
  <c r="AH74" i="3"/>
  <c r="AG74" i="3"/>
  <c r="AF74" i="3"/>
  <c r="AE74" i="3"/>
  <c r="AD74" i="3"/>
  <c r="AC74" i="3"/>
  <c r="AB74" i="3"/>
  <c r="AA74" i="3"/>
  <c r="Z74" i="3"/>
  <c r="Y74" i="3"/>
  <c r="X74" i="3"/>
  <c r="W74" i="3"/>
  <c r="V74" i="3"/>
  <c r="U74" i="3"/>
  <c r="T74" i="3"/>
  <c r="S74" i="3"/>
  <c r="I74" i="3"/>
  <c r="P73" i="5" s="1"/>
  <c r="H74" i="3"/>
  <c r="G74" i="3"/>
  <c r="F74" i="3"/>
  <c r="E74" i="3"/>
  <c r="E73" i="5" s="1"/>
  <c r="D74" i="3"/>
  <c r="C74" i="3"/>
  <c r="A74" i="3"/>
  <c r="A73" i="5" s="1"/>
  <c r="BV73" i="3"/>
  <c r="BU73" i="3"/>
  <c r="BT73" i="3"/>
  <c r="BS73" i="3"/>
  <c r="BR73" i="3"/>
  <c r="BQ73" i="3"/>
  <c r="BP73" i="3"/>
  <c r="BO73" i="3"/>
  <c r="BN73" i="3"/>
  <c r="BM73" i="3"/>
  <c r="BL73" i="3"/>
  <c r="BK73" i="3"/>
  <c r="BJ73" i="3"/>
  <c r="BI73" i="3"/>
  <c r="BH73" i="3"/>
  <c r="BG73" i="3"/>
  <c r="BF73" i="3"/>
  <c r="BE73" i="3"/>
  <c r="BD73" i="3"/>
  <c r="BC73" i="3"/>
  <c r="BB73" i="3"/>
  <c r="BA73" i="3"/>
  <c r="AZ73" i="3"/>
  <c r="AY73" i="3"/>
  <c r="AX73" i="3"/>
  <c r="AW73" i="3"/>
  <c r="AV73" i="3"/>
  <c r="AU73" i="3"/>
  <c r="AT73" i="3"/>
  <c r="AS73" i="3"/>
  <c r="AR73" i="3"/>
  <c r="AQ73" i="3"/>
  <c r="AP73" i="3"/>
  <c r="AO73" i="3"/>
  <c r="AN73" i="3"/>
  <c r="AM73" i="3"/>
  <c r="AL73" i="3"/>
  <c r="AK73" i="3"/>
  <c r="AJ73" i="3"/>
  <c r="AI73" i="3"/>
  <c r="AH73" i="3"/>
  <c r="AG73" i="3"/>
  <c r="AF73" i="3"/>
  <c r="O73" i="3" s="1"/>
  <c r="K58" i="5" s="1" a="1"/>
  <c r="K58" i="5" s="1"/>
  <c r="AE73" i="3"/>
  <c r="AD73" i="3"/>
  <c r="AC73" i="3"/>
  <c r="AB73" i="3"/>
  <c r="AA73" i="3"/>
  <c r="Z73" i="3"/>
  <c r="Y73" i="3"/>
  <c r="X73" i="3"/>
  <c r="W73" i="3"/>
  <c r="V73" i="3"/>
  <c r="U73" i="3"/>
  <c r="T73" i="3"/>
  <c r="S73" i="3"/>
  <c r="I73" i="3"/>
  <c r="P58" i="5" s="1"/>
  <c r="H73" i="3"/>
  <c r="G73" i="3"/>
  <c r="F73" i="3"/>
  <c r="E73" i="3"/>
  <c r="E58" i="5" s="1"/>
  <c r="D73" i="3"/>
  <c r="D58" i="5" s="1"/>
  <c r="C73" i="3"/>
  <c r="C58" i="5" s="1"/>
  <c r="A73" i="3"/>
  <c r="BV72" i="3"/>
  <c r="BU72" i="3"/>
  <c r="BT72" i="3"/>
  <c r="BS72" i="3"/>
  <c r="BR72" i="3"/>
  <c r="BQ72" i="3"/>
  <c r="BP72" i="3"/>
  <c r="BO72" i="3"/>
  <c r="BN72" i="3"/>
  <c r="BM72" i="3"/>
  <c r="BL72" i="3"/>
  <c r="BK72" i="3"/>
  <c r="BJ72" i="3"/>
  <c r="BI72" i="3"/>
  <c r="BH72" i="3"/>
  <c r="BG72" i="3"/>
  <c r="BF72" i="3"/>
  <c r="BE72" i="3"/>
  <c r="BD72" i="3"/>
  <c r="BC72" i="3"/>
  <c r="BB72" i="3"/>
  <c r="BA72" i="3"/>
  <c r="AZ72" i="3"/>
  <c r="AY72" i="3"/>
  <c r="AX72" i="3"/>
  <c r="AW72" i="3"/>
  <c r="AV72" i="3"/>
  <c r="AU72" i="3"/>
  <c r="AT72" i="3"/>
  <c r="AS72" i="3"/>
  <c r="AR72" i="3"/>
  <c r="AQ72" i="3"/>
  <c r="AP72" i="3"/>
  <c r="AO72" i="3"/>
  <c r="AN72" i="3"/>
  <c r="AM72" i="3"/>
  <c r="AL72" i="3"/>
  <c r="AK72" i="3"/>
  <c r="AJ72" i="3"/>
  <c r="AI72" i="3"/>
  <c r="AH72" i="3"/>
  <c r="AG72" i="3"/>
  <c r="L72" i="3" s="1"/>
  <c r="H69" i="5" s="1" a="1"/>
  <c r="H69" i="5" s="1"/>
  <c r="AF7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I72" i="3"/>
  <c r="H72" i="3"/>
  <c r="G72" i="3"/>
  <c r="F72" i="3"/>
  <c r="E72" i="3"/>
  <c r="E69" i="5" s="1"/>
  <c r="D72" i="3"/>
  <c r="D69" i="5" s="1"/>
  <c r="C72" i="3"/>
  <c r="C69" i="5" s="1"/>
  <c r="A72" i="3"/>
  <c r="A69" i="5" s="1"/>
  <c r="BV71" i="3"/>
  <c r="BU71" i="3"/>
  <c r="BT71" i="3"/>
  <c r="BS71" i="3"/>
  <c r="BR71" i="3"/>
  <c r="BQ71" i="3"/>
  <c r="BP71" i="3"/>
  <c r="BO71" i="3"/>
  <c r="BN71" i="3"/>
  <c r="BM71" i="3"/>
  <c r="BL71" i="3"/>
  <c r="BK71" i="3"/>
  <c r="BJ71" i="3"/>
  <c r="BI71" i="3"/>
  <c r="BH71" i="3"/>
  <c r="BG71" i="3"/>
  <c r="BF71" i="3"/>
  <c r="BE71" i="3"/>
  <c r="BD71" i="3"/>
  <c r="BC71" i="3"/>
  <c r="BB71" i="3"/>
  <c r="BA71" i="3"/>
  <c r="AZ71" i="3"/>
  <c r="AY71" i="3"/>
  <c r="AX71" i="3"/>
  <c r="AW71" i="3"/>
  <c r="AV71" i="3"/>
  <c r="AU71" i="3"/>
  <c r="AT71" i="3"/>
  <c r="AS71" i="3"/>
  <c r="AR71" i="3"/>
  <c r="AQ71" i="3"/>
  <c r="AP71" i="3"/>
  <c r="AO71" i="3"/>
  <c r="AN71" i="3"/>
  <c r="AM71" i="3"/>
  <c r="AL71" i="3"/>
  <c r="AK71" i="3"/>
  <c r="AJ71" i="3"/>
  <c r="AI71" i="3"/>
  <c r="AH71" i="3"/>
  <c r="AG71" i="3"/>
  <c r="AF71" i="3"/>
  <c r="AE71" i="3"/>
  <c r="AD71" i="3"/>
  <c r="AC71" i="3"/>
  <c r="AB71" i="3"/>
  <c r="AA71" i="3"/>
  <c r="Z71" i="3"/>
  <c r="Y71" i="3"/>
  <c r="X71" i="3"/>
  <c r="W71" i="3"/>
  <c r="V71" i="3"/>
  <c r="U71" i="3"/>
  <c r="T71" i="3"/>
  <c r="S71" i="3"/>
  <c r="I71" i="3"/>
  <c r="P65" i="5" s="1"/>
  <c r="H71" i="3"/>
  <c r="G71" i="3"/>
  <c r="F71" i="3"/>
  <c r="E71" i="3"/>
  <c r="D71" i="3"/>
  <c r="C71" i="3"/>
  <c r="C65" i="5" s="1"/>
  <c r="A71" i="3"/>
  <c r="BV70" i="3"/>
  <c r="BU70" i="3"/>
  <c r="BT70" i="3"/>
  <c r="BS70" i="3"/>
  <c r="BR70" i="3"/>
  <c r="BQ70" i="3"/>
  <c r="BP70" i="3"/>
  <c r="BO70" i="3"/>
  <c r="BN70" i="3"/>
  <c r="BM70" i="3"/>
  <c r="BL70" i="3"/>
  <c r="BK70" i="3"/>
  <c r="BJ70" i="3"/>
  <c r="BI70" i="3"/>
  <c r="BH70" i="3"/>
  <c r="BG70" i="3"/>
  <c r="BF70" i="3"/>
  <c r="BE70" i="3"/>
  <c r="BD70" i="3"/>
  <c r="BC70" i="3"/>
  <c r="BB70" i="3"/>
  <c r="BA70" i="3"/>
  <c r="AZ70" i="3"/>
  <c r="AY70" i="3"/>
  <c r="AX70" i="3"/>
  <c r="AW70" i="3"/>
  <c r="AV70" i="3"/>
  <c r="AU70" i="3"/>
  <c r="AT70" i="3"/>
  <c r="AS70" i="3"/>
  <c r="AR70" i="3"/>
  <c r="AQ70" i="3"/>
  <c r="AP70" i="3"/>
  <c r="AO70" i="3"/>
  <c r="AN70" i="3"/>
  <c r="AM70" i="3"/>
  <c r="AL70" i="3"/>
  <c r="AK70" i="3"/>
  <c r="AJ70" i="3"/>
  <c r="AI70" i="3"/>
  <c r="AH70" i="3"/>
  <c r="AG70" i="3"/>
  <c r="AF70" i="3"/>
  <c r="AE70" i="3"/>
  <c r="AD70" i="3"/>
  <c r="AC70" i="3"/>
  <c r="AB70" i="3"/>
  <c r="AA70" i="3"/>
  <c r="Z70" i="3"/>
  <c r="Y70" i="3"/>
  <c r="X70" i="3"/>
  <c r="W70" i="3"/>
  <c r="V70" i="3"/>
  <c r="U70" i="3"/>
  <c r="T70" i="3"/>
  <c r="S70" i="3"/>
  <c r="I70" i="3"/>
  <c r="P67" i="5" s="1"/>
  <c r="H70" i="3"/>
  <c r="G70" i="3"/>
  <c r="F70" i="3"/>
  <c r="E70" i="3"/>
  <c r="E67" i="5" s="1"/>
  <c r="D70" i="3"/>
  <c r="D67" i="5" s="1"/>
  <c r="C70" i="3"/>
  <c r="C67" i="5" s="1"/>
  <c r="A70" i="3"/>
  <c r="A67" i="5" s="1"/>
  <c r="BV69" i="3"/>
  <c r="BU69" i="3"/>
  <c r="BT69" i="3"/>
  <c r="BS69" i="3"/>
  <c r="BR69" i="3"/>
  <c r="BQ69" i="3"/>
  <c r="BP69" i="3"/>
  <c r="BO69" i="3"/>
  <c r="BN69" i="3"/>
  <c r="BM69" i="3"/>
  <c r="BL69" i="3"/>
  <c r="BK69" i="3"/>
  <c r="BJ69" i="3"/>
  <c r="BI69" i="3"/>
  <c r="BH69" i="3"/>
  <c r="BG69" i="3"/>
  <c r="BF69" i="3"/>
  <c r="BE69" i="3"/>
  <c r="BD69" i="3"/>
  <c r="BC69" i="3"/>
  <c r="BB69" i="3"/>
  <c r="BA69" i="3"/>
  <c r="AZ69" i="3"/>
  <c r="AY69" i="3"/>
  <c r="AX69" i="3"/>
  <c r="AW69" i="3"/>
  <c r="AV69" i="3"/>
  <c r="AU69" i="3"/>
  <c r="AT69" i="3"/>
  <c r="AS69" i="3"/>
  <c r="AR69" i="3"/>
  <c r="AQ69" i="3"/>
  <c r="AP69" i="3"/>
  <c r="AO69" i="3"/>
  <c r="AN69" i="3"/>
  <c r="AM69" i="3"/>
  <c r="AL69" i="3"/>
  <c r="AK69" i="3"/>
  <c r="AJ69" i="3"/>
  <c r="AI69" i="3"/>
  <c r="AH69" i="3"/>
  <c r="AG69" i="3"/>
  <c r="AF69" i="3"/>
  <c r="AE69" i="3"/>
  <c r="AD69" i="3"/>
  <c r="AC69" i="3"/>
  <c r="AB69" i="3"/>
  <c r="AA69" i="3"/>
  <c r="Z69" i="3"/>
  <c r="Y69" i="3"/>
  <c r="X69" i="3"/>
  <c r="W69" i="3"/>
  <c r="V69" i="3"/>
  <c r="U69" i="3"/>
  <c r="T69" i="3"/>
  <c r="S69" i="3"/>
  <c r="I69" i="3"/>
  <c r="P57" i="5" s="1"/>
  <c r="H69" i="3"/>
  <c r="G69" i="3"/>
  <c r="F69" i="3"/>
  <c r="E69" i="3"/>
  <c r="E57" i="5" s="1"/>
  <c r="D69" i="3"/>
  <c r="D57" i="5" s="1"/>
  <c r="C69" i="3"/>
  <c r="C57" i="5" s="1"/>
  <c r="A69" i="3"/>
  <c r="BV68" i="3"/>
  <c r="BU68" i="3"/>
  <c r="BT68" i="3"/>
  <c r="BS68" i="3"/>
  <c r="BR68" i="3"/>
  <c r="BQ68" i="3"/>
  <c r="BP68" i="3"/>
  <c r="BO68" i="3"/>
  <c r="BN68" i="3"/>
  <c r="BM68" i="3"/>
  <c r="BL68" i="3"/>
  <c r="BK68" i="3"/>
  <c r="BJ68" i="3"/>
  <c r="BI68" i="3"/>
  <c r="BH68" i="3"/>
  <c r="BG68" i="3"/>
  <c r="BF68" i="3"/>
  <c r="BE68" i="3"/>
  <c r="BD68" i="3"/>
  <c r="BC68" i="3"/>
  <c r="BB68" i="3"/>
  <c r="BA68" i="3"/>
  <c r="AZ68" i="3"/>
  <c r="AY68" i="3"/>
  <c r="AX68" i="3"/>
  <c r="AW68" i="3"/>
  <c r="AV68" i="3"/>
  <c r="AU68" i="3"/>
  <c r="AT68" i="3"/>
  <c r="AS68" i="3"/>
  <c r="AR68" i="3"/>
  <c r="AQ68" i="3"/>
  <c r="AP68" i="3"/>
  <c r="AO68" i="3"/>
  <c r="AN68" i="3"/>
  <c r="AM68" i="3"/>
  <c r="AL68" i="3"/>
  <c r="AK68" i="3"/>
  <c r="AJ68" i="3"/>
  <c r="AI68" i="3"/>
  <c r="AH68" i="3"/>
  <c r="AG68" i="3"/>
  <c r="AF68" i="3"/>
  <c r="AE68" i="3"/>
  <c r="AD68" i="3"/>
  <c r="AC68" i="3"/>
  <c r="AB68" i="3"/>
  <c r="AA68" i="3"/>
  <c r="Z68" i="3"/>
  <c r="Y68" i="3"/>
  <c r="X68" i="3"/>
  <c r="W68" i="3"/>
  <c r="V68" i="3"/>
  <c r="U68" i="3"/>
  <c r="T68" i="3"/>
  <c r="S68" i="3"/>
  <c r="I68" i="3"/>
  <c r="P59" i="5" s="1"/>
  <c r="H68" i="3"/>
  <c r="G68" i="3"/>
  <c r="F68" i="3"/>
  <c r="E68" i="3"/>
  <c r="D68" i="3"/>
  <c r="D59" i="5" s="1"/>
  <c r="C68" i="3"/>
  <c r="C59" i="5" s="1"/>
  <c r="A68" i="3"/>
  <c r="A59" i="5" s="1"/>
  <c r="BV67" i="3"/>
  <c r="BU67" i="3"/>
  <c r="BT67" i="3"/>
  <c r="BS67" i="3"/>
  <c r="BR67" i="3"/>
  <c r="BQ67" i="3"/>
  <c r="BP67" i="3"/>
  <c r="BO67" i="3"/>
  <c r="BN67" i="3"/>
  <c r="BM67" i="3"/>
  <c r="BL67" i="3"/>
  <c r="BK67" i="3"/>
  <c r="BJ67" i="3"/>
  <c r="BI67" i="3"/>
  <c r="BH67" i="3"/>
  <c r="BG67" i="3"/>
  <c r="BF67" i="3"/>
  <c r="BE67" i="3"/>
  <c r="BD67" i="3"/>
  <c r="BC67" i="3"/>
  <c r="BB67" i="3"/>
  <c r="BA67" i="3"/>
  <c r="AZ67" i="3"/>
  <c r="AY67" i="3"/>
  <c r="AX67" i="3"/>
  <c r="AW67" i="3"/>
  <c r="AV67" i="3"/>
  <c r="AU67" i="3"/>
  <c r="AT67" i="3"/>
  <c r="AS67" i="3"/>
  <c r="AR67" i="3"/>
  <c r="AQ67" i="3"/>
  <c r="AP67" i="3"/>
  <c r="AO67" i="3"/>
  <c r="AN67" i="3"/>
  <c r="AM67" i="3"/>
  <c r="AL67" i="3"/>
  <c r="AK67" i="3"/>
  <c r="AJ67" i="3"/>
  <c r="AI67" i="3"/>
  <c r="AH67" i="3"/>
  <c r="AG67" i="3"/>
  <c r="AF67" i="3"/>
  <c r="AE67" i="3"/>
  <c r="AD67" i="3"/>
  <c r="AC67" i="3"/>
  <c r="AB67" i="3"/>
  <c r="AA67" i="3"/>
  <c r="Z67" i="3"/>
  <c r="Y67" i="3"/>
  <c r="X67" i="3"/>
  <c r="W67" i="3"/>
  <c r="V67" i="3"/>
  <c r="U67" i="3"/>
  <c r="T67" i="3"/>
  <c r="S67" i="3"/>
  <c r="I67" i="3"/>
  <c r="H67" i="3"/>
  <c r="G67" i="3"/>
  <c r="F67" i="3"/>
  <c r="E67" i="3"/>
  <c r="E64" i="5" s="1"/>
  <c r="D67" i="3"/>
  <c r="D64" i="5" s="1"/>
  <c r="C67" i="3"/>
  <c r="C64" i="5" s="1"/>
  <c r="A67" i="3"/>
  <c r="A64" i="5" s="1"/>
  <c r="BV66" i="3"/>
  <c r="BU66" i="3"/>
  <c r="BT66" i="3"/>
  <c r="BS66" i="3"/>
  <c r="BR66" i="3"/>
  <c r="BQ66" i="3"/>
  <c r="BP66" i="3"/>
  <c r="BO66" i="3"/>
  <c r="BN66" i="3"/>
  <c r="BM66" i="3"/>
  <c r="BL66" i="3"/>
  <c r="BK66" i="3"/>
  <c r="BJ66" i="3"/>
  <c r="BI66" i="3"/>
  <c r="BH66" i="3"/>
  <c r="BG66" i="3"/>
  <c r="BF66" i="3"/>
  <c r="BE66" i="3"/>
  <c r="BD66" i="3"/>
  <c r="BC66" i="3"/>
  <c r="BB66" i="3"/>
  <c r="BA66" i="3"/>
  <c r="AZ66" i="3"/>
  <c r="AY66" i="3"/>
  <c r="AX66" i="3"/>
  <c r="AW66" i="3"/>
  <c r="AV66" i="3"/>
  <c r="AU66" i="3"/>
  <c r="AT66" i="3"/>
  <c r="AS66" i="3"/>
  <c r="AR66" i="3"/>
  <c r="AQ66" i="3"/>
  <c r="AP66" i="3"/>
  <c r="AO66" i="3"/>
  <c r="AN66" i="3"/>
  <c r="AM66" i="3"/>
  <c r="AL66" i="3"/>
  <c r="AK66" i="3"/>
  <c r="AJ66" i="3"/>
  <c r="AI66" i="3"/>
  <c r="AH66" i="3"/>
  <c r="L66" i="3" s="1"/>
  <c r="H68" i="5" s="1" a="1"/>
  <c r="H68" i="5" s="1"/>
  <c r="AG66" i="3"/>
  <c r="AF66" i="3"/>
  <c r="AE66" i="3"/>
  <c r="AD66" i="3"/>
  <c r="AC66" i="3"/>
  <c r="AB66" i="3"/>
  <c r="AA66" i="3"/>
  <c r="Z66" i="3"/>
  <c r="Y66" i="3"/>
  <c r="X66" i="3"/>
  <c r="W66" i="3"/>
  <c r="V66" i="3"/>
  <c r="U66" i="3"/>
  <c r="T66" i="3"/>
  <c r="S66" i="3"/>
  <c r="I66" i="3"/>
  <c r="P68" i="5" s="1"/>
  <c r="H66" i="3"/>
  <c r="G66" i="3"/>
  <c r="F66" i="3"/>
  <c r="E66" i="3"/>
  <c r="D66" i="3"/>
  <c r="C66" i="3"/>
  <c r="A66" i="3"/>
  <c r="BV65" i="3"/>
  <c r="BU65" i="3"/>
  <c r="BT65" i="3"/>
  <c r="BS65" i="3"/>
  <c r="BR65" i="3"/>
  <c r="BQ65" i="3"/>
  <c r="BP65" i="3"/>
  <c r="BO65" i="3"/>
  <c r="BN65" i="3"/>
  <c r="BM65" i="3"/>
  <c r="BL65" i="3"/>
  <c r="BK65" i="3"/>
  <c r="BJ65" i="3"/>
  <c r="BI65" i="3"/>
  <c r="BH65" i="3"/>
  <c r="BG65" i="3"/>
  <c r="BF65" i="3"/>
  <c r="BE65" i="3"/>
  <c r="BD65" i="3"/>
  <c r="BC65" i="3"/>
  <c r="BB65" i="3"/>
  <c r="BA65" i="3"/>
  <c r="AZ65" i="3"/>
  <c r="AY65" i="3"/>
  <c r="AX65" i="3"/>
  <c r="AW65" i="3"/>
  <c r="AV65" i="3"/>
  <c r="AU65" i="3"/>
  <c r="AT65" i="3"/>
  <c r="AS65" i="3"/>
  <c r="AR65" i="3"/>
  <c r="AQ65" i="3"/>
  <c r="AP65" i="3"/>
  <c r="AO65" i="3"/>
  <c r="AN65" i="3"/>
  <c r="AM65" i="3"/>
  <c r="AL65" i="3"/>
  <c r="AK65" i="3"/>
  <c r="AJ65" i="3"/>
  <c r="AI65" i="3"/>
  <c r="AH65" i="3"/>
  <c r="AG65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I65" i="3"/>
  <c r="P71" i="5" s="1"/>
  <c r="H65" i="3"/>
  <c r="G65" i="3"/>
  <c r="F65" i="3"/>
  <c r="E65" i="3"/>
  <c r="E71" i="5" s="1"/>
  <c r="D65" i="3"/>
  <c r="D71" i="5" s="1"/>
  <c r="C65" i="3"/>
  <c r="A65" i="3"/>
  <c r="BV64" i="3"/>
  <c r="BU64" i="3"/>
  <c r="BT64" i="3"/>
  <c r="BS64" i="3"/>
  <c r="BR64" i="3"/>
  <c r="BQ64" i="3"/>
  <c r="BP64" i="3"/>
  <c r="BO64" i="3"/>
  <c r="BN64" i="3"/>
  <c r="BM64" i="3"/>
  <c r="BL64" i="3"/>
  <c r="BK64" i="3"/>
  <c r="BJ64" i="3"/>
  <c r="BI64" i="3"/>
  <c r="BH64" i="3"/>
  <c r="BG64" i="3"/>
  <c r="BF64" i="3"/>
  <c r="BE64" i="3"/>
  <c r="BD64" i="3"/>
  <c r="BC64" i="3"/>
  <c r="BB64" i="3"/>
  <c r="BA64" i="3"/>
  <c r="AZ64" i="3"/>
  <c r="AY64" i="3"/>
  <c r="AX64" i="3"/>
  <c r="AW64" i="3"/>
  <c r="AV64" i="3"/>
  <c r="AU64" i="3"/>
  <c r="AT64" i="3"/>
  <c r="AS64" i="3"/>
  <c r="AR64" i="3"/>
  <c r="AQ64" i="3"/>
  <c r="AP64" i="3"/>
  <c r="AO64" i="3"/>
  <c r="AN64" i="3"/>
  <c r="AM64" i="3"/>
  <c r="AL64" i="3"/>
  <c r="AK64" i="3"/>
  <c r="AJ64" i="3"/>
  <c r="AI64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I64" i="3"/>
  <c r="P62" i="5" s="1"/>
  <c r="H64" i="3"/>
  <c r="G64" i="3"/>
  <c r="F64" i="3"/>
  <c r="E64" i="3"/>
  <c r="E62" i="5" s="1"/>
  <c r="D64" i="3"/>
  <c r="D62" i="5" s="1"/>
  <c r="C64" i="3"/>
  <c r="C62" i="5" s="1"/>
  <c r="A64" i="3"/>
  <c r="A62" i="5" s="1"/>
  <c r="BV63" i="3"/>
  <c r="BU63" i="3"/>
  <c r="BT63" i="3"/>
  <c r="BS63" i="3"/>
  <c r="BR63" i="3"/>
  <c r="BQ63" i="3"/>
  <c r="BP63" i="3"/>
  <c r="BO63" i="3"/>
  <c r="BN63" i="3"/>
  <c r="BM63" i="3"/>
  <c r="BL63" i="3"/>
  <c r="BK63" i="3"/>
  <c r="BJ63" i="3"/>
  <c r="BI63" i="3"/>
  <c r="BH63" i="3"/>
  <c r="BG63" i="3"/>
  <c r="BF63" i="3"/>
  <c r="BE63" i="3"/>
  <c r="BD63" i="3"/>
  <c r="BC63" i="3"/>
  <c r="BB63" i="3"/>
  <c r="BA63" i="3"/>
  <c r="AZ63" i="3"/>
  <c r="AY63" i="3"/>
  <c r="AX63" i="3"/>
  <c r="AW63" i="3"/>
  <c r="AV63" i="3"/>
  <c r="AU63" i="3"/>
  <c r="AT63" i="3"/>
  <c r="AS63" i="3"/>
  <c r="AR63" i="3"/>
  <c r="AQ63" i="3"/>
  <c r="AP63" i="3"/>
  <c r="AO63" i="3"/>
  <c r="AN63" i="3"/>
  <c r="AM63" i="3"/>
  <c r="AL63" i="3"/>
  <c r="AK63" i="3"/>
  <c r="AJ63" i="3"/>
  <c r="AI63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I63" i="3"/>
  <c r="P61" i="5" s="1"/>
  <c r="H63" i="3"/>
  <c r="G63" i="3"/>
  <c r="F63" i="3"/>
  <c r="E63" i="3"/>
  <c r="E61" i="5" s="1"/>
  <c r="D63" i="3"/>
  <c r="D61" i="5" s="1"/>
  <c r="C63" i="3"/>
  <c r="C61" i="5" s="1"/>
  <c r="A63" i="3"/>
  <c r="A61" i="5" s="1"/>
  <c r="BV62" i="3"/>
  <c r="BU62" i="3"/>
  <c r="BT62" i="3"/>
  <c r="BS62" i="3"/>
  <c r="BR62" i="3"/>
  <c r="BQ62" i="3"/>
  <c r="BP62" i="3"/>
  <c r="BO62" i="3"/>
  <c r="BN62" i="3"/>
  <c r="BM62" i="3"/>
  <c r="BL62" i="3"/>
  <c r="BK62" i="3"/>
  <c r="BJ62" i="3"/>
  <c r="BI62" i="3"/>
  <c r="BH62" i="3"/>
  <c r="BG62" i="3"/>
  <c r="BF62" i="3"/>
  <c r="BE62" i="3"/>
  <c r="BD62" i="3"/>
  <c r="BC62" i="3"/>
  <c r="BB62" i="3"/>
  <c r="BA62" i="3"/>
  <c r="AZ62" i="3"/>
  <c r="AY62" i="3"/>
  <c r="AX62" i="3"/>
  <c r="AW62" i="3"/>
  <c r="AV62" i="3"/>
  <c r="AU62" i="3"/>
  <c r="AT62" i="3"/>
  <c r="AS62" i="3"/>
  <c r="AR62" i="3"/>
  <c r="AQ62" i="3"/>
  <c r="AP62" i="3"/>
  <c r="AO62" i="3"/>
  <c r="AN62" i="3"/>
  <c r="AM62" i="3"/>
  <c r="AL62" i="3"/>
  <c r="AK62" i="3"/>
  <c r="AJ62" i="3"/>
  <c r="AI62" i="3"/>
  <c r="AH62" i="3"/>
  <c r="AG62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I62" i="3"/>
  <c r="P72" i="5" s="1"/>
  <c r="H62" i="3"/>
  <c r="G62" i="3"/>
  <c r="F62" i="3"/>
  <c r="E62" i="3"/>
  <c r="E72" i="5" s="1"/>
  <c r="D62" i="3"/>
  <c r="D72" i="5" s="1"/>
  <c r="C62" i="3"/>
  <c r="C72" i="5" s="1"/>
  <c r="A62" i="3"/>
  <c r="A72" i="5" s="1"/>
  <c r="BV61" i="3"/>
  <c r="BU61" i="3"/>
  <c r="BT61" i="3"/>
  <c r="BS61" i="3"/>
  <c r="BR61" i="3"/>
  <c r="BQ61" i="3"/>
  <c r="BP61" i="3"/>
  <c r="BO61" i="3"/>
  <c r="BN61" i="3"/>
  <c r="BM61" i="3"/>
  <c r="BL61" i="3"/>
  <c r="BK61" i="3"/>
  <c r="BJ61" i="3"/>
  <c r="BI61" i="3"/>
  <c r="BH61" i="3"/>
  <c r="BG61" i="3"/>
  <c r="BF61" i="3"/>
  <c r="BE61" i="3"/>
  <c r="BD61" i="3"/>
  <c r="BC61" i="3"/>
  <c r="BB61" i="3"/>
  <c r="BA61" i="3"/>
  <c r="AZ61" i="3"/>
  <c r="AY61" i="3"/>
  <c r="AX61" i="3"/>
  <c r="AW61" i="3"/>
  <c r="AV61" i="3"/>
  <c r="AU61" i="3"/>
  <c r="AT61" i="3"/>
  <c r="AS61" i="3"/>
  <c r="AR61" i="3"/>
  <c r="AQ61" i="3"/>
  <c r="AP61" i="3"/>
  <c r="AO61" i="3"/>
  <c r="AN61" i="3"/>
  <c r="AM61" i="3"/>
  <c r="AL61" i="3"/>
  <c r="AK61" i="3"/>
  <c r="AJ61" i="3"/>
  <c r="AI61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I61" i="3"/>
  <c r="P66" i="5" s="1"/>
  <c r="H61" i="3"/>
  <c r="G61" i="3"/>
  <c r="F61" i="3"/>
  <c r="E61" i="3"/>
  <c r="E66" i="5" s="1"/>
  <c r="D61" i="3"/>
  <c r="D66" i="5" s="1"/>
  <c r="C61" i="3"/>
  <c r="C66" i="5" s="1"/>
  <c r="A61" i="3"/>
  <c r="A66" i="5" s="1"/>
  <c r="BV60" i="3"/>
  <c r="BU60" i="3"/>
  <c r="BT60" i="3"/>
  <c r="BS60" i="3"/>
  <c r="BR60" i="3"/>
  <c r="BQ60" i="3"/>
  <c r="BP60" i="3"/>
  <c r="BO60" i="3"/>
  <c r="BN60" i="3"/>
  <c r="BM60" i="3"/>
  <c r="BL60" i="3"/>
  <c r="BK60" i="3"/>
  <c r="BJ60" i="3"/>
  <c r="BI60" i="3"/>
  <c r="BH60" i="3"/>
  <c r="BG60" i="3"/>
  <c r="BF60" i="3"/>
  <c r="BE60" i="3"/>
  <c r="BD60" i="3"/>
  <c r="BC60" i="3"/>
  <c r="BB60" i="3"/>
  <c r="BA60" i="3"/>
  <c r="AZ60" i="3"/>
  <c r="AY60" i="3"/>
  <c r="AX60" i="3"/>
  <c r="AW60" i="3"/>
  <c r="AV60" i="3"/>
  <c r="AU60" i="3"/>
  <c r="AT60" i="3"/>
  <c r="AS60" i="3"/>
  <c r="AR60" i="3"/>
  <c r="AQ60" i="3"/>
  <c r="AP60" i="3"/>
  <c r="AO60" i="3"/>
  <c r="AN60" i="3"/>
  <c r="AM60" i="3"/>
  <c r="AL60" i="3"/>
  <c r="AK60" i="3"/>
  <c r="AJ60" i="3"/>
  <c r="AI60" i="3"/>
  <c r="N60" i="3" s="1"/>
  <c r="J70" i="5" s="1" a="1"/>
  <c r="J70" i="5" s="1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I60" i="3"/>
  <c r="P70" i="5" s="1"/>
  <c r="H60" i="3"/>
  <c r="G60" i="3"/>
  <c r="F60" i="3"/>
  <c r="E60" i="3"/>
  <c r="D60" i="3"/>
  <c r="D70" i="5" s="1"/>
  <c r="C60" i="3"/>
  <c r="C70" i="5" s="1"/>
  <c r="B70" i="5" s="1"/>
  <c r="A60" i="3"/>
  <c r="A70" i="5" s="1"/>
  <c r="BV59" i="3"/>
  <c r="BU59" i="3"/>
  <c r="BT59" i="3"/>
  <c r="BS59" i="3"/>
  <c r="BR59" i="3"/>
  <c r="BQ59" i="3"/>
  <c r="BP59" i="3"/>
  <c r="BO59" i="3"/>
  <c r="BN59" i="3"/>
  <c r="BM59" i="3"/>
  <c r="BL59" i="3"/>
  <c r="BK59" i="3"/>
  <c r="BJ59" i="3"/>
  <c r="BI59" i="3"/>
  <c r="BH59" i="3"/>
  <c r="BG59" i="3"/>
  <c r="BF59" i="3"/>
  <c r="BE59" i="3"/>
  <c r="BD59" i="3"/>
  <c r="BC59" i="3"/>
  <c r="BB59" i="3"/>
  <c r="BA59" i="3"/>
  <c r="AZ59" i="3"/>
  <c r="AY59" i="3"/>
  <c r="AX59" i="3"/>
  <c r="AW59" i="3"/>
  <c r="AV59" i="3"/>
  <c r="AU59" i="3"/>
  <c r="AT59" i="3"/>
  <c r="AS59" i="3"/>
  <c r="AR59" i="3"/>
  <c r="AQ59" i="3"/>
  <c r="AP59" i="3"/>
  <c r="AO59" i="3"/>
  <c r="AN59" i="3"/>
  <c r="AM59" i="3"/>
  <c r="AL59" i="3"/>
  <c r="AK59" i="3"/>
  <c r="AJ59" i="3"/>
  <c r="AI59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I59" i="3"/>
  <c r="P63" i="5" s="1"/>
  <c r="H59" i="3"/>
  <c r="G59" i="3"/>
  <c r="F59" i="3"/>
  <c r="E59" i="3"/>
  <c r="E63" i="5" s="1"/>
  <c r="D59" i="3"/>
  <c r="D63" i="5" s="1"/>
  <c r="C59" i="3"/>
  <c r="C63" i="5" s="1"/>
  <c r="A59" i="3"/>
  <c r="A63" i="5" s="1"/>
  <c r="BV58" i="3"/>
  <c r="BU58" i="3"/>
  <c r="BT58" i="3"/>
  <c r="BS58" i="3"/>
  <c r="BR58" i="3"/>
  <c r="BQ58" i="3"/>
  <c r="BP58" i="3"/>
  <c r="BO58" i="3"/>
  <c r="BN58" i="3"/>
  <c r="BM58" i="3"/>
  <c r="BL58" i="3"/>
  <c r="BK58" i="3"/>
  <c r="BJ58" i="3"/>
  <c r="BI58" i="3"/>
  <c r="BH58" i="3"/>
  <c r="BG58" i="3"/>
  <c r="BF58" i="3"/>
  <c r="BE58" i="3"/>
  <c r="BD58" i="3"/>
  <c r="BC58" i="3"/>
  <c r="BB58" i="3"/>
  <c r="BA58" i="3"/>
  <c r="AZ58" i="3"/>
  <c r="AY58" i="3"/>
  <c r="AX58" i="3"/>
  <c r="AW58" i="3"/>
  <c r="AV58" i="3"/>
  <c r="AU58" i="3"/>
  <c r="AT58" i="3"/>
  <c r="AS58" i="3"/>
  <c r="AR58" i="3"/>
  <c r="AQ58" i="3"/>
  <c r="AP58" i="3"/>
  <c r="AO58" i="3"/>
  <c r="AN58" i="3"/>
  <c r="AM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I58" i="3"/>
  <c r="P60" i="5" s="1"/>
  <c r="H58" i="3"/>
  <c r="G58" i="3"/>
  <c r="F58" i="3"/>
  <c r="E58" i="3"/>
  <c r="E60" i="5" s="1"/>
  <c r="D58" i="3"/>
  <c r="D60" i="5" s="1"/>
  <c r="C58" i="3"/>
  <c r="C60" i="5" s="1"/>
  <c r="B60" i="5" s="1"/>
  <c r="A58" i="3"/>
  <c r="A60" i="5" s="1"/>
  <c r="BV57" i="3"/>
  <c r="BU57" i="3"/>
  <c r="BT57" i="3"/>
  <c r="BS57" i="3"/>
  <c r="BR57" i="3"/>
  <c r="BQ57" i="3"/>
  <c r="BP57" i="3"/>
  <c r="BO57" i="3"/>
  <c r="BN57" i="3"/>
  <c r="BM57" i="3"/>
  <c r="BL57" i="3"/>
  <c r="BK57" i="3"/>
  <c r="BJ57" i="3"/>
  <c r="BI57" i="3"/>
  <c r="BH57" i="3"/>
  <c r="BG57" i="3"/>
  <c r="BF57" i="3"/>
  <c r="BE57" i="3"/>
  <c r="BD57" i="3"/>
  <c r="BC57" i="3"/>
  <c r="BB57" i="3"/>
  <c r="BA57" i="3"/>
  <c r="AZ57" i="3"/>
  <c r="AY57" i="3"/>
  <c r="AX57" i="3"/>
  <c r="AW57" i="3"/>
  <c r="AV57" i="3"/>
  <c r="AU57" i="3"/>
  <c r="AT57" i="3"/>
  <c r="AS57" i="3"/>
  <c r="AR57" i="3"/>
  <c r="AQ57" i="3"/>
  <c r="AP57" i="3"/>
  <c r="AO57" i="3"/>
  <c r="AN57" i="3"/>
  <c r="AM57" i="3"/>
  <c r="AL57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J57" i="3" s="1"/>
  <c r="I57" i="3"/>
  <c r="P24" i="5" s="1"/>
  <c r="H57" i="3"/>
  <c r="G57" i="3"/>
  <c r="F57" i="3"/>
  <c r="E57" i="3"/>
  <c r="E24" i="5" s="1"/>
  <c r="D57" i="3"/>
  <c r="D24" i="5" s="1"/>
  <c r="C57" i="3"/>
  <c r="C24" i="5" s="1"/>
  <c r="B24" i="5" s="1"/>
  <c r="A57" i="3"/>
  <c r="A24" i="5" s="1"/>
  <c r="BV56" i="3"/>
  <c r="BU56" i="3"/>
  <c r="BT56" i="3"/>
  <c r="BS56" i="3"/>
  <c r="BR56" i="3"/>
  <c r="BQ56" i="3"/>
  <c r="BP56" i="3"/>
  <c r="BO56" i="3"/>
  <c r="BN56" i="3"/>
  <c r="BM56" i="3"/>
  <c r="BL56" i="3"/>
  <c r="BK56" i="3"/>
  <c r="BJ56" i="3"/>
  <c r="BI56" i="3"/>
  <c r="BH56" i="3"/>
  <c r="BG56" i="3"/>
  <c r="BF56" i="3"/>
  <c r="BE56" i="3"/>
  <c r="BD56" i="3"/>
  <c r="BC56" i="3"/>
  <c r="BB56" i="3"/>
  <c r="BA56" i="3"/>
  <c r="AZ56" i="3"/>
  <c r="AY56" i="3"/>
  <c r="AX56" i="3"/>
  <c r="AW56" i="3"/>
  <c r="AV56" i="3"/>
  <c r="AU56" i="3"/>
  <c r="AT56" i="3"/>
  <c r="AS56" i="3"/>
  <c r="AR56" i="3"/>
  <c r="AQ56" i="3"/>
  <c r="AP56" i="3"/>
  <c r="AO56" i="3"/>
  <c r="AN56" i="3"/>
  <c r="AM56" i="3"/>
  <c r="AL56" i="3"/>
  <c r="AK56" i="3"/>
  <c r="AJ56" i="3"/>
  <c r="AI56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I56" i="3"/>
  <c r="P20" i="5" s="1"/>
  <c r="H56" i="3"/>
  <c r="G56" i="3"/>
  <c r="F56" i="3"/>
  <c r="E56" i="3"/>
  <c r="E20" i="5" s="1"/>
  <c r="D56" i="3"/>
  <c r="D20" i="5" s="1"/>
  <c r="C56" i="3"/>
  <c r="C20" i="5" s="1"/>
  <c r="A56" i="3"/>
  <c r="A20" i="5" s="1"/>
  <c r="BV55" i="3"/>
  <c r="BU55" i="3"/>
  <c r="BT55" i="3"/>
  <c r="BS55" i="3"/>
  <c r="BR55" i="3"/>
  <c r="BQ55" i="3"/>
  <c r="BP55" i="3"/>
  <c r="BO55" i="3"/>
  <c r="BN55" i="3"/>
  <c r="BM55" i="3"/>
  <c r="BL55" i="3"/>
  <c r="BK55" i="3"/>
  <c r="BJ55" i="3"/>
  <c r="BI55" i="3"/>
  <c r="BH55" i="3"/>
  <c r="BG55" i="3"/>
  <c r="BF55" i="3"/>
  <c r="BE55" i="3"/>
  <c r="BD55" i="3"/>
  <c r="BC55" i="3"/>
  <c r="BB55" i="3"/>
  <c r="BA55" i="3"/>
  <c r="AZ55" i="3"/>
  <c r="AY55" i="3"/>
  <c r="AX55" i="3"/>
  <c r="AW55" i="3"/>
  <c r="AV55" i="3"/>
  <c r="AU55" i="3"/>
  <c r="AT55" i="3"/>
  <c r="AS55" i="3"/>
  <c r="AR55" i="3"/>
  <c r="AQ55" i="3"/>
  <c r="AP55" i="3"/>
  <c r="AO55" i="3"/>
  <c r="AN55" i="3"/>
  <c r="AM55" i="3"/>
  <c r="AL55" i="3"/>
  <c r="AK55" i="3"/>
  <c r="AJ55" i="3"/>
  <c r="AI55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I55" i="3"/>
  <c r="H55" i="3"/>
  <c r="G55" i="3"/>
  <c r="F55" i="3"/>
  <c r="E55" i="3"/>
  <c r="E43" i="5" s="1"/>
  <c r="D55" i="3"/>
  <c r="C55" i="3"/>
  <c r="C43" i="5" s="1"/>
  <c r="A55" i="3"/>
  <c r="A43" i="5" s="1"/>
  <c r="BV54" i="3"/>
  <c r="BU54" i="3"/>
  <c r="BT54" i="3"/>
  <c r="BS54" i="3"/>
  <c r="BR54" i="3"/>
  <c r="BQ54" i="3"/>
  <c r="BP54" i="3"/>
  <c r="BO54" i="3"/>
  <c r="BN54" i="3"/>
  <c r="BM54" i="3"/>
  <c r="BL54" i="3"/>
  <c r="BK54" i="3"/>
  <c r="BJ54" i="3"/>
  <c r="BI54" i="3"/>
  <c r="BH54" i="3"/>
  <c r="BG54" i="3"/>
  <c r="BF54" i="3"/>
  <c r="BE54" i="3"/>
  <c r="BD54" i="3"/>
  <c r="BC54" i="3"/>
  <c r="BB54" i="3"/>
  <c r="BA54" i="3"/>
  <c r="AZ54" i="3"/>
  <c r="AY54" i="3"/>
  <c r="AX54" i="3"/>
  <c r="AW54" i="3"/>
  <c r="AV54" i="3"/>
  <c r="AU54" i="3"/>
  <c r="AT54" i="3"/>
  <c r="AS54" i="3"/>
  <c r="AR54" i="3"/>
  <c r="AQ54" i="3"/>
  <c r="AP54" i="3"/>
  <c r="AO54" i="3"/>
  <c r="AN54" i="3"/>
  <c r="AM54" i="3"/>
  <c r="AL54" i="3"/>
  <c r="AK54" i="3"/>
  <c r="AJ54" i="3"/>
  <c r="AI54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I54" i="3"/>
  <c r="H54" i="3"/>
  <c r="G54" i="3"/>
  <c r="F54" i="3"/>
  <c r="E54" i="3"/>
  <c r="D54" i="3"/>
  <c r="D53" i="5" s="1"/>
  <c r="C54" i="3"/>
  <c r="C53" i="5" s="1"/>
  <c r="B53" i="5" s="1"/>
  <c r="A54" i="3"/>
  <c r="A53" i="5" s="1"/>
  <c r="BV53" i="3"/>
  <c r="BU53" i="3"/>
  <c r="BT53" i="3"/>
  <c r="BS53" i="3"/>
  <c r="BR53" i="3"/>
  <c r="BQ53" i="3"/>
  <c r="BP53" i="3"/>
  <c r="BO53" i="3"/>
  <c r="BN53" i="3"/>
  <c r="BM53" i="3"/>
  <c r="BL53" i="3"/>
  <c r="BK53" i="3"/>
  <c r="BJ53" i="3"/>
  <c r="BI53" i="3"/>
  <c r="BH53" i="3"/>
  <c r="BG53" i="3"/>
  <c r="BF53" i="3"/>
  <c r="BE53" i="3"/>
  <c r="BD53" i="3"/>
  <c r="BC53" i="3"/>
  <c r="BB53" i="3"/>
  <c r="BA53" i="3"/>
  <c r="AZ53" i="3"/>
  <c r="AY53" i="3"/>
  <c r="AX53" i="3"/>
  <c r="AW53" i="3"/>
  <c r="AV53" i="3"/>
  <c r="AU53" i="3"/>
  <c r="AT53" i="3"/>
  <c r="AS53" i="3"/>
  <c r="AR53" i="3"/>
  <c r="AQ53" i="3"/>
  <c r="AP53" i="3"/>
  <c r="AO53" i="3"/>
  <c r="AN53" i="3"/>
  <c r="AM53" i="3"/>
  <c r="AL53" i="3"/>
  <c r="AK53" i="3"/>
  <c r="AJ53" i="3"/>
  <c r="AI53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I53" i="3"/>
  <c r="P32" i="5" s="1"/>
  <c r="H53" i="3"/>
  <c r="G53" i="3"/>
  <c r="F53" i="3"/>
  <c r="E53" i="3"/>
  <c r="E32" i="5" s="1"/>
  <c r="D53" i="3"/>
  <c r="D32" i="5" s="1"/>
  <c r="C53" i="3"/>
  <c r="C32" i="5" s="1"/>
  <c r="B32" i="5" s="1"/>
  <c r="A53" i="3"/>
  <c r="A32" i="5" s="1"/>
  <c r="BV52" i="3"/>
  <c r="BU52" i="3"/>
  <c r="BT52" i="3"/>
  <c r="BS52" i="3"/>
  <c r="BR52" i="3"/>
  <c r="BQ52" i="3"/>
  <c r="BP52" i="3"/>
  <c r="BO52" i="3"/>
  <c r="BN52" i="3"/>
  <c r="BM52" i="3"/>
  <c r="BL52" i="3"/>
  <c r="BK52" i="3"/>
  <c r="BJ52" i="3"/>
  <c r="BI52" i="3"/>
  <c r="BH52" i="3"/>
  <c r="BG52" i="3"/>
  <c r="BF52" i="3"/>
  <c r="BE52" i="3"/>
  <c r="BD52" i="3"/>
  <c r="BC52" i="3"/>
  <c r="BB52" i="3"/>
  <c r="BA52" i="3"/>
  <c r="AZ52" i="3"/>
  <c r="AY52" i="3"/>
  <c r="AX52" i="3"/>
  <c r="AW52" i="3"/>
  <c r="AV52" i="3"/>
  <c r="AU52" i="3"/>
  <c r="AT52" i="3"/>
  <c r="AS52" i="3"/>
  <c r="AR52" i="3"/>
  <c r="AQ52" i="3"/>
  <c r="AP52" i="3"/>
  <c r="AO52" i="3"/>
  <c r="AN52" i="3"/>
  <c r="AM52" i="3"/>
  <c r="AL52" i="3"/>
  <c r="AK52" i="3"/>
  <c r="AJ52" i="3"/>
  <c r="AI52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I52" i="3"/>
  <c r="P44" i="5" s="1"/>
  <c r="H52" i="3"/>
  <c r="G52" i="3"/>
  <c r="F52" i="3"/>
  <c r="E52" i="3"/>
  <c r="E44" i="5" s="1"/>
  <c r="D52" i="3"/>
  <c r="D44" i="5" s="1"/>
  <c r="C52" i="3"/>
  <c r="C44" i="5" s="1"/>
  <c r="B44" i="5" s="1"/>
  <c r="A52" i="3"/>
  <c r="A44" i="5" s="1"/>
  <c r="BV51" i="3"/>
  <c r="BU51" i="3"/>
  <c r="BT51" i="3"/>
  <c r="BS51" i="3"/>
  <c r="BR51" i="3"/>
  <c r="BQ51" i="3"/>
  <c r="BP51" i="3"/>
  <c r="BO51" i="3"/>
  <c r="BN51" i="3"/>
  <c r="BM51" i="3"/>
  <c r="BL51" i="3"/>
  <c r="BK51" i="3"/>
  <c r="BJ51" i="3"/>
  <c r="BI51" i="3"/>
  <c r="BH51" i="3"/>
  <c r="BG51" i="3"/>
  <c r="BF51" i="3"/>
  <c r="BE51" i="3"/>
  <c r="BD51" i="3"/>
  <c r="BC51" i="3"/>
  <c r="BB51" i="3"/>
  <c r="BA51" i="3"/>
  <c r="AZ51" i="3"/>
  <c r="AY51" i="3"/>
  <c r="AX51" i="3"/>
  <c r="AW51" i="3"/>
  <c r="AV51" i="3"/>
  <c r="AU51" i="3"/>
  <c r="AT51" i="3"/>
  <c r="AS51" i="3"/>
  <c r="AR51" i="3"/>
  <c r="AQ51" i="3"/>
  <c r="AP51" i="3"/>
  <c r="AO51" i="3"/>
  <c r="AN51" i="3"/>
  <c r="AM51" i="3"/>
  <c r="AL51" i="3"/>
  <c r="AK51" i="3"/>
  <c r="AJ51" i="3"/>
  <c r="AI51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I51" i="3"/>
  <c r="P47" i="5" s="1"/>
  <c r="H51" i="3"/>
  <c r="G51" i="3"/>
  <c r="F51" i="3"/>
  <c r="E51" i="3"/>
  <c r="D51" i="3"/>
  <c r="C51" i="3"/>
  <c r="C47" i="5" s="1"/>
  <c r="A51" i="3"/>
  <c r="A47" i="5" s="1"/>
  <c r="BV50" i="3"/>
  <c r="BU50" i="3"/>
  <c r="BT50" i="3"/>
  <c r="BS50" i="3"/>
  <c r="BR50" i="3"/>
  <c r="BQ50" i="3"/>
  <c r="BP50" i="3"/>
  <c r="BO50" i="3"/>
  <c r="BN50" i="3"/>
  <c r="BM50" i="3"/>
  <c r="BL50" i="3"/>
  <c r="BK50" i="3"/>
  <c r="BJ50" i="3"/>
  <c r="BI50" i="3"/>
  <c r="BH50" i="3"/>
  <c r="BG50" i="3"/>
  <c r="BF50" i="3"/>
  <c r="BE50" i="3"/>
  <c r="BD50" i="3"/>
  <c r="BC50" i="3"/>
  <c r="BB50" i="3"/>
  <c r="BA50" i="3"/>
  <c r="AZ50" i="3"/>
  <c r="AY50" i="3"/>
  <c r="AX50" i="3"/>
  <c r="AW50" i="3"/>
  <c r="AV50" i="3"/>
  <c r="AU50" i="3"/>
  <c r="AT50" i="3"/>
  <c r="AS50" i="3"/>
  <c r="AR50" i="3"/>
  <c r="AQ50" i="3"/>
  <c r="AP50" i="3"/>
  <c r="AO50" i="3"/>
  <c r="AN50" i="3"/>
  <c r="AM50" i="3"/>
  <c r="AL50" i="3"/>
  <c r="AK50" i="3"/>
  <c r="AJ50" i="3"/>
  <c r="AI50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I50" i="3"/>
  <c r="P42" i="5" s="1"/>
  <c r="H50" i="3"/>
  <c r="G50" i="3"/>
  <c r="F50" i="3"/>
  <c r="E50" i="3"/>
  <c r="E42" i="5" s="1"/>
  <c r="D50" i="3"/>
  <c r="D42" i="5" s="1"/>
  <c r="C50" i="3"/>
  <c r="C42" i="5" s="1"/>
  <c r="A50" i="3"/>
  <c r="A42" i="5" s="1"/>
  <c r="BV49" i="3"/>
  <c r="BU49" i="3"/>
  <c r="BT49" i="3"/>
  <c r="BS49" i="3"/>
  <c r="BR49" i="3"/>
  <c r="BQ49" i="3"/>
  <c r="BP49" i="3"/>
  <c r="BO49" i="3"/>
  <c r="BN49" i="3"/>
  <c r="BM49" i="3"/>
  <c r="BL49" i="3"/>
  <c r="BK49" i="3"/>
  <c r="BJ49" i="3"/>
  <c r="BI49" i="3"/>
  <c r="BH49" i="3"/>
  <c r="BG49" i="3"/>
  <c r="BF49" i="3"/>
  <c r="BE49" i="3"/>
  <c r="BD49" i="3"/>
  <c r="BC49" i="3"/>
  <c r="BB49" i="3"/>
  <c r="BA49" i="3"/>
  <c r="AZ49" i="3"/>
  <c r="AY49" i="3"/>
  <c r="AX49" i="3"/>
  <c r="AW49" i="3"/>
  <c r="AV49" i="3"/>
  <c r="AU49" i="3"/>
  <c r="AT49" i="3"/>
  <c r="AS49" i="3"/>
  <c r="AR49" i="3"/>
  <c r="AQ49" i="3"/>
  <c r="AP49" i="3"/>
  <c r="AO49" i="3"/>
  <c r="AN49" i="3"/>
  <c r="AM49" i="3"/>
  <c r="AL49" i="3"/>
  <c r="AK49" i="3"/>
  <c r="AJ49" i="3"/>
  <c r="AI49" i="3"/>
  <c r="AH49" i="3"/>
  <c r="AG49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N49" i="3" s="1"/>
  <c r="J50" i="5" s="1" a="1"/>
  <c r="J50" i="5" s="1"/>
  <c r="S49" i="3"/>
  <c r="I49" i="3"/>
  <c r="H49" i="3"/>
  <c r="G49" i="3"/>
  <c r="F49" i="3"/>
  <c r="E49" i="3"/>
  <c r="E50" i="5" s="1"/>
  <c r="D49" i="3"/>
  <c r="D50" i="5" s="1"/>
  <c r="C49" i="3"/>
  <c r="C50" i="5" s="1"/>
  <c r="A49" i="3"/>
  <c r="A50" i="5" s="1"/>
  <c r="BV48" i="3"/>
  <c r="BU48" i="3"/>
  <c r="BT48" i="3"/>
  <c r="BS48" i="3"/>
  <c r="BR48" i="3"/>
  <c r="BQ48" i="3"/>
  <c r="BP48" i="3"/>
  <c r="BO48" i="3"/>
  <c r="BN48" i="3"/>
  <c r="BM48" i="3"/>
  <c r="BL48" i="3"/>
  <c r="BK48" i="3"/>
  <c r="BJ48" i="3"/>
  <c r="BI48" i="3"/>
  <c r="BH48" i="3"/>
  <c r="BG48" i="3"/>
  <c r="BF48" i="3"/>
  <c r="BE48" i="3"/>
  <c r="BD48" i="3"/>
  <c r="BC48" i="3"/>
  <c r="BB48" i="3"/>
  <c r="BA48" i="3"/>
  <c r="AZ48" i="3"/>
  <c r="AY48" i="3"/>
  <c r="AX48" i="3"/>
  <c r="AW48" i="3"/>
  <c r="AV48" i="3"/>
  <c r="AU48" i="3"/>
  <c r="AT48" i="3"/>
  <c r="AS48" i="3"/>
  <c r="AR48" i="3"/>
  <c r="AQ48" i="3"/>
  <c r="AP48" i="3"/>
  <c r="AO48" i="3"/>
  <c r="AN48" i="3"/>
  <c r="AM48" i="3"/>
  <c r="AL48" i="3"/>
  <c r="AK48" i="3"/>
  <c r="AJ48" i="3"/>
  <c r="AI48" i="3"/>
  <c r="AH48" i="3"/>
  <c r="AG48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I48" i="3"/>
  <c r="H48" i="3"/>
  <c r="G48" i="3"/>
  <c r="F48" i="3"/>
  <c r="E48" i="3"/>
  <c r="D48" i="3"/>
  <c r="D28" i="5" s="1"/>
  <c r="C48" i="3"/>
  <c r="C28" i="5" s="1"/>
  <c r="B28" i="5" s="1"/>
  <c r="A48" i="3"/>
  <c r="A28" i="5" s="1"/>
  <c r="BV47" i="3"/>
  <c r="BU47" i="3"/>
  <c r="BT47" i="3"/>
  <c r="BS47" i="3"/>
  <c r="BR47" i="3"/>
  <c r="BQ47" i="3"/>
  <c r="BP47" i="3"/>
  <c r="BO47" i="3"/>
  <c r="BN47" i="3"/>
  <c r="BM47" i="3"/>
  <c r="BL47" i="3"/>
  <c r="BK47" i="3"/>
  <c r="BJ47" i="3"/>
  <c r="BI47" i="3"/>
  <c r="BH47" i="3"/>
  <c r="BG47" i="3"/>
  <c r="BF47" i="3"/>
  <c r="BE47" i="3"/>
  <c r="BD47" i="3"/>
  <c r="BC47" i="3"/>
  <c r="BB47" i="3"/>
  <c r="BA47" i="3"/>
  <c r="AZ47" i="3"/>
  <c r="AY47" i="3"/>
  <c r="AX47" i="3"/>
  <c r="AW47" i="3"/>
  <c r="AV47" i="3"/>
  <c r="AU47" i="3"/>
  <c r="AT47" i="3"/>
  <c r="AS47" i="3"/>
  <c r="AR47" i="3"/>
  <c r="AQ47" i="3"/>
  <c r="AP47" i="3"/>
  <c r="AO47" i="3"/>
  <c r="AN47" i="3"/>
  <c r="AM47" i="3"/>
  <c r="AL47" i="3"/>
  <c r="AK47" i="3"/>
  <c r="AJ47" i="3"/>
  <c r="AI47" i="3"/>
  <c r="AH47" i="3"/>
  <c r="AG47" i="3"/>
  <c r="AF47" i="3"/>
  <c r="AE47" i="3"/>
  <c r="AD47" i="3"/>
  <c r="AC47" i="3"/>
  <c r="AB47" i="3"/>
  <c r="AA47" i="3"/>
  <c r="Z47" i="3"/>
  <c r="Y47" i="3"/>
  <c r="X47" i="3"/>
  <c r="W47" i="3"/>
  <c r="V47" i="3"/>
  <c r="U47" i="3"/>
  <c r="K47" i="3" s="1"/>
  <c r="G52" i="5" s="1" a="1"/>
  <c r="G52" i="5" s="1"/>
  <c r="T47" i="3"/>
  <c r="S47" i="3"/>
  <c r="I47" i="3"/>
  <c r="P52" i="5" s="1"/>
  <c r="H47" i="3"/>
  <c r="G47" i="3"/>
  <c r="F47" i="3"/>
  <c r="E47" i="3"/>
  <c r="E52" i="5" s="1"/>
  <c r="D47" i="3"/>
  <c r="D52" i="5" s="1"/>
  <c r="C47" i="3"/>
  <c r="C52" i="5" s="1"/>
  <c r="B52" i="5" s="1"/>
  <c r="A47" i="3"/>
  <c r="A52" i="5" s="1"/>
  <c r="BV46" i="3"/>
  <c r="BU46" i="3"/>
  <c r="BT46" i="3"/>
  <c r="BS46" i="3"/>
  <c r="BR46" i="3"/>
  <c r="BQ46" i="3"/>
  <c r="BP46" i="3"/>
  <c r="BO46" i="3"/>
  <c r="BN46" i="3"/>
  <c r="BM46" i="3"/>
  <c r="BL46" i="3"/>
  <c r="BK46" i="3"/>
  <c r="BJ46" i="3"/>
  <c r="BI46" i="3"/>
  <c r="BH46" i="3"/>
  <c r="BG46" i="3"/>
  <c r="BF46" i="3"/>
  <c r="BE46" i="3"/>
  <c r="BD46" i="3"/>
  <c r="BC46" i="3"/>
  <c r="BB46" i="3"/>
  <c r="BA46" i="3"/>
  <c r="AZ46" i="3"/>
  <c r="AY46" i="3"/>
  <c r="AX46" i="3"/>
  <c r="AW46" i="3"/>
  <c r="AV46" i="3"/>
  <c r="AU46" i="3"/>
  <c r="AT46" i="3"/>
  <c r="AS46" i="3"/>
  <c r="AR46" i="3"/>
  <c r="AQ46" i="3"/>
  <c r="AP46" i="3"/>
  <c r="AO46" i="3"/>
  <c r="AN46" i="3"/>
  <c r="AM46" i="3"/>
  <c r="AL46" i="3"/>
  <c r="AK46" i="3"/>
  <c r="AJ46" i="3"/>
  <c r="AI46" i="3"/>
  <c r="AH46" i="3"/>
  <c r="AG46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I46" i="3"/>
  <c r="P51" i="5" s="1"/>
  <c r="H46" i="3"/>
  <c r="G46" i="3"/>
  <c r="F46" i="3"/>
  <c r="E46" i="3"/>
  <c r="E51" i="5" s="1"/>
  <c r="D46" i="3"/>
  <c r="D51" i="5" s="1"/>
  <c r="C46" i="3"/>
  <c r="C51" i="5" s="1"/>
  <c r="B51" i="5" s="1"/>
  <c r="A46" i="3"/>
  <c r="A51" i="5" s="1"/>
  <c r="BV45" i="3"/>
  <c r="BU45" i="3"/>
  <c r="BT45" i="3"/>
  <c r="BS45" i="3"/>
  <c r="BR45" i="3"/>
  <c r="BQ45" i="3"/>
  <c r="BP45" i="3"/>
  <c r="BO45" i="3"/>
  <c r="BN45" i="3"/>
  <c r="BM45" i="3"/>
  <c r="BL45" i="3"/>
  <c r="BK45" i="3"/>
  <c r="BJ45" i="3"/>
  <c r="BI45" i="3"/>
  <c r="BH45" i="3"/>
  <c r="BG45" i="3"/>
  <c r="BF45" i="3"/>
  <c r="BE45" i="3"/>
  <c r="BD45" i="3"/>
  <c r="BC45" i="3"/>
  <c r="BB45" i="3"/>
  <c r="BA45" i="3"/>
  <c r="AZ45" i="3"/>
  <c r="AY45" i="3"/>
  <c r="AX45" i="3"/>
  <c r="AW45" i="3"/>
  <c r="AV45" i="3"/>
  <c r="AU45" i="3"/>
  <c r="AT45" i="3"/>
  <c r="AS45" i="3"/>
  <c r="AR45" i="3"/>
  <c r="AQ45" i="3"/>
  <c r="AP45" i="3"/>
  <c r="AO45" i="3"/>
  <c r="AN45" i="3"/>
  <c r="AM45" i="3"/>
  <c r="AL45" i="3"/>
  <c r="AK45" i="3"/>
  <c r="AJ45" i="3"/>
  <c r="AI45" i="3"/>
  <c r="AH45" i="3"/>
  <c r="AG45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I45" i="3"/>
  <c r="P45" i="5" s="1"/>
  <c r="H45" i="3"/>
  <c r="G45" i="3"/>
  <c r="F45" i="3"/>
  <c r="E45" i="3"/>
  <c r="E45" i="5" s="1"/>
  <c r="D45" i="3"/>
  <c r="D45" i="5" s="1"/>
  <c r="C45" i="3"/>
  <c r="C45" i="5" s="1"/>
  <c r="B45" i="5" s="1"/>
  <c r="A45" i="3"/>
  <c r="A45" i="5" s="1"/>
  <c r="BV44" i="3"/>
  <c r="BU44" i="3"/>
  <c r="BT44" i="3"/>
  <c r="BS44" i="3"/>
  <c r="BR44" i="3"/>
  <c r="BQ44" i="3"/>
  <c r="BP44" i="3"/>
  <c r="BO44" i="3"/>
  <c r="BN44" i="3"/>
  <c r="BM44" i="3"/>
  <c r="BL44" i="3"/>
  <c r="BK44" i="3"/>
  <c r="BJ44" i="3"/>
  <c r="BI44" i="3"/>
  <c r="BH44" i="3"/>
  <c r="BG44" i="3"/>
  <c r="BF44" i="3"/>
  <c r="BE44" i="3"/>
  <c r="BD44" i="3"/>
  <c r="BC44" i="3"/>
  <c r="BB44" i="3"/>
  <c r="BA44" i="3"/>
  <c r="AZ44" i="3"/>
  <c r="AY44" i="3"/>
  <c r="AX44" i="3"/>
  <c r="AW44" i="3"/>
  <c r="AV44" i="3"/>
  <c r="AU44" i="3"/>
  <c r="AT44" i="3"/>
  <c r="AS44" i="3"/>
  <c r="AR44" i="3"/>
  <c r="AQ44" i="3"/>
  <c r="AP44" i="3"/>
  <c r="AO44" i="3"/>
  <c r="AN44" i="3"/>
  <c r="AM44" i="3"/>
  <c r="AL44" i="3"/>
  <c r="AK44" i="3"/>
  <c r="AJ44" i="3"/>
  <c r="AI44" i="3"/>
  <c r="AH44" i="3"/>
  <c r="AG44" i="3"/>
  <c r="AF44" i="3"/>
  <c r="AE44" i="3"/>
  <c r="AD44" i="3"/>
  <c r="AC44" i="3"/>
  <c r="AB44" i="3"/>
  <c r="AA44" i="3"/>
  <c r="Z44" i="3"/>
  <c r="Y44" i="3"/>
  <c r="X44" i="3"/>
  <c r="W44" i="3"/>
  <c r="L44" i="3" s="1"/>
  <c r="H34" i="5" s="1" a="1"/>
  <c r="H34" i="5" s="1"/>
  <c r="V44" i="3"/>
  <c r="U44" i="3"/>
  <c r="T44" i="3"/>
  <c r="S44" i="3"/>
  <c r="I44" i="3"/>
  <c r="P34" i="5" s="1"/>
  <c r="H44" i="3"/>
  <c r="G44" i="3"/>
  <c r="F44" i="3"/>
  <c r="E44" i="3"/>
  <c r="E34" i="5" s="1"/>
  <c r="D44" i="3"/>
  <c r="D34" i="5" s="1"/>
  <c r="C44" i="3"/>
  <c r="C34" i="5" s="1"/>
  <c r="B34" i="5" s="1"/>
  <c r="A44" i="3"/>
  <c r="A34" i="5" s="1"/>
  <c r="BV43" i="3"/>
  <c r="BU43" i="3"/>
  <c r="BT43" i="3"/>
  <c r="BS43" i="3"/>
  <c r="BR43" i="3"/>
  <c r="BQ43" i="3"/>
  <c r="BP43" i="3"/>
  <c r="BO43" i="3"/>
  <c r="BN43" i="3"/>
  <c r="BM43" i="3"/>
  <c r="BL43" i="3"/>
  <c r="BK43" i="3"/>
  <c r="BJ43" i="3"/>
  <c r="BI43" i="3"/>
  <c r="BH43" i="3"/>
  <c r="BG43" i="3"/>
  <c r="BF43" i="3"/>
  <c r="BE43" i="3"/>
  <c r="BD43" i="3"/>
  <c r="BC43" i="3"/>
  <c r="BB43" i="3"/>
  <c r="BA43" i="3"/>
  <c r="AZ43" i="3"/>
  <c r="AY43" i="3"/>
  <c r="AX43" i="3"/>
  <c r="AW43" i="3"/>
  <c r="AV43" i="3"/>
  <c r="AU43" i="3"/>
  <c r="AT43" i="3"/>
  <c r="AS43" i="3"/>
  <c r="AR43" i="3"/>
  <c r="AQ43" i="3"/>
  <c r="AP43" i="3"/>
  <c r="AO43" i="3"/>
  <c r="AN43" i="3"/>
  <c r="AM43" i="3"/>
  <c r="AL43" i="3"/>
  <c r="AK43" i="3"/>
  <c r="AJ43" i="3"/>
  <c r="AI43" i="3"/>
  <c r="AH43" i="3"/>
  <c r="AG43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I43" i="3"/>
  <c r="H43" i="3"/>
  <c r="G43" i="3"/>
  <c r="F43" i="3"/>
  <c r="E43" i="3"/>
  <c r="E48" i="5" s="1"/>
  <c r="D43" i="3"/>
  <c r="D48" i="5" s="1"/>
  <c r="C43" i="3"/>
  <c r="C48" i="5" s="1"/>
  <c r="B48" i="5" s="1"/>
  <c r="A43" i="3"/>
  <c r="A48" i="5" s="1"/>
  <c r="BV42" i="3"/>
  <c r="BU42" i="3"/>
  <c r="BT42" i="3"/>
  <c r="BS42" i="3"/>
  <c r="BR42" i="3"/>
  <c r="BQ42" i="3"/>
  <c r="BP42" i="3"/>
  <c r="BO42" i="3"/>
  <c r="BN42" i="3"/>
  <c r="BM42" i="3"/>
  <c r="BL42" i="3"/>
  <c r="BK42" i="3"/>
  <c r="BJ42" i="3"/>
  <c r="BI42" i="3"/>
  <c r="BH42" i="3"/>
  <c r="BG42" i="3"/>
  <c r="BF42" i="3"/>
  <c r="BE42" i="3"/>
  <c r="BD42" i="3"/>
  <c r="BC42" i="3"/>
  <c r="BB42" i="3"/>
  <c r="BA42" i="3"/>
  <c r="AZ42" i="3"/>
  <c r="AY42" i="3"/>
  <c r="AX42" i="3"/>
  <c r="AW42" i="3"/>
  <c r="AV42" i="3"/>
  <c r="AU42" i="3"/>
  <c r="AT42" i="3"/>
  <c r="AS42" i="3"/>
  <c r="AR42" i="3"/>
  <c r="AQ42" i="3"/>
  <c r="AP42" i="3"/>
  <c r="AO42" i="3"/>
  <c r="AN42" i="3"/>
  <c r="AM42" i="3"/>
  <c r="AL42" i="3"/>
  <c r="AK42" i="3"/>
  <c r="AJ42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I42" i="3"/>
  <c r="P31" i="5" s="1"/>
  <c r="H42" i="3"/>
  <c r="G42" i="3"/>
  <c r="F42" i="3"/>
  <c r="E42" i="3"/>
  <c r="E31" i="5" s="1"/>
  <c r="D42" i="3"/>
  <c r="D31" i="5" s="1"/>
  <c r="C42" i="3"/>
  <c r="C31" i="5" s="1"/>
  <c r="B31" i="5" s="1"/>
  <c r="A42" i="3"/>
  <c r="A31" i="5" s="1"/>
  <c r="BV41" i="3"/>
  <c r="BU41" i="3"/>
  <c r="BT41" i="3"/>
  <c r="BS41" i="3"/>
  <c r="BR41" i="3"/>
  <c r="BQ41" i="3"/>
  <c r="BP41" i="3"/>
  <c r="BO41" i="3"/>
  <c r="BN41" i="3"/>
  <c r="BM41" i="3"/>
  <c r="BL41" i="3"/>
  <c r="BK41" i="3"/>
  <c r="BJ41" i="3"/>
  <c r="BI41" i="3"/>
  <c r="BH41" i="3"/>
  <c r="BG41" i="3"/>
  <c r="BF41" i="3"/>
  <c r="BE41" i="3"/>
  <c r="BD41" i="3"/>
  <c r="BC41" i="3"/>
  <c r="BB41" i="3"/>
  <c r="BA41" i="3"/>
  <c r="AZ41" i="3"/>
  <c r="AY41" i="3"/>
  <c r="AX41" i="3"/>
  <c r="AW41" i="3"/>
  <c r="AV41" i="3"/>
  <c r="AU41" i="3"/>
  <c r="AT41" i="3"/>
  <c r="AS41" i="3"/>
  <c r="AR41" i="3"/>
  <c r="AQ41" i="3"/>
  <c r="AP41" i="3"/>
  <c r="AO41" i="3"/>
  <c r="AN41" i="3"/>
  <c r="AM41" i="3"/>
  <c r="AL41" i="3"/>
  <c r="AK41" i="3"/>
  <c r="AJ41" i="3"/>
  <c r="AI41" i="3"/>
  <c r="AH41" i="3"/>
  <c r="AG41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I41" i="3"/>
  <c r="P55" i="5" s="1"/>
  <c r="H41" i="3"/>
  <c r="G41" i="3"/>
  <c r="F41" i="3"/>
  <c r="E41" i="3"/>
  <c r="E55" i="5" s="1"/>
  <c r="D41" i="3"/>
  <c r="D55" i="5" s="1"/>
  <c r="C41" i="3"/>
  <c r="C55" i="5" s="1"/>
  <c r="B55" i="5" s="1"/>
  <c r="A41" i="3"/>
  <c r="A55" i="5" s="1"/>
  <c r="BV40" i="3"/>
  <c r="BU40" i="3"/>
  <c r="BT40" i="3"/>
  <c r="BS40" i="3"/>
  <c r="BR40" i="3"/>
  <c r="BQ40" i="3"/>
  <c r="BP40" i="3"/>
  <c r="BO40" i="3"/>
  <c r="BN40" i="3"/>
  <c r="BM40" i="3"/>
  <c r="BL40" i="3"/>
  <c r="BK40" i="3"/>
  <c r="BJ40" i="3"/>
  <c r="BI40" i="3"/>
  <c r="BH40" i="3"/>
  <c r="BG40" i="3"/>
  <c r="BF40" i="3"/>
  <c r="BE40" i="3"/>
  <c r="BD40" i="3"/>
  <c r="BC40" i="3"/>
  <c r="BB40" i="3"/>
  <c r="BA40" i="3"/>
  <c r="AZ40" i="3"/>
  <c r="AY40" i="3"/>
  <c r="AX40" i="3"/>
  <c r="AW40" i="3"/>
  <c r="AV40" i="3"/>
  <c r="AU40" i="3"/>
  <c r="AT40" i="3"/>
  <c r="AS40" i="3"/>
  <c r="AR40" i="3"/>
  <c r="AQ40" i="3"/>
  <c r="AP40" i="3"/>
  <c r="AO40" i="3"/>
  <c r="AN40" i="3"/>
  <c r="AM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I40" i="3"/>
  <c r="P37" i="5" s="1"/>
  <c r="H40" i="3"/>
  <c r="G40" i="3"/>
  <c r="F40" i="3"/>
  <c r="E40" i="3"/>
  <c r="E37" i="5" s="1"/>
  <c r="D40" i="3"/>
  <c r="D37" i="5" s="1"/>
  <c r="C40" i="3"/>
  <c r="C37" i="5" s="1"/>
  <c r="B37" i="5" s="1"/>
  <c r="A40" i="3"/>
  <c r="A37" i="5" s="1"/>
  <c r="BV39" i="3"/>
  <c r="BU39" i="3"/>
  <c r="BT39" i="3"/>
  <c r="BS39" i="3"/>
  <c r="BR39" i="3"/>
  <c r="BQ39" i="3"/>
  <c r="BP39" i="3"/>
  <c r="BO39" i="3"/>
  <c r="BN39" i="3"/>
  <c r="BM39" i="3"/>
  <c r="BL39" i="3"/>
  <c r="BK39" i="3"/>
  <c r="BJ39" i="3"/>
  <c r="BI39" i="3"/>
  <c r="BH39" i="3"/>
  <c r="BG39" i="3"/>
  <c r="BF39" i="3"/>
  <c r="BE39" i="3"/>
  <c r="BD39" i="3"/>
  <c r="BC39" i="3"/>
  <c r="BB39" i="3"/>
  <c r="BA39" i="3"/>
  <c r="AZ39" i="3"/>
  <c r="AY39" i="3"/>
  <c r="AX39" i="3"/>
  <c r="AW39" i="3"/>
  <c r="AV39" i="3"/>
  <c r="AU39" i="3"/>
  <c r="AT39" i="3"/>
  <c r="AS39" i="3"/>
  <c r="AR39" i="3"/>
  <c r="AQ39" i="3"/>
  <c r="AP39" i="3"/>
  <c r="AO39" i="3"/>
  <c r="AN39" i="3"/>
  <c r="AM39" i="3"/>
  <c r="AL39" i="3"/>
  <c r="AK39" i="3"/>
  <c r="AJ39" i="3"/>
  <c r="AI39" i="3"/>
  <c r="AH39" i="3"/>
  <c r="AG39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I39" i="3"/>
  <c r="P19" i="5" s="1"/>
  <c r="H39" i="3"/>
  <c r="G39" i="3"/>
  <c r="F39" i="3"/>
  <c r="E39" i="3"/>
  <c r="E19" i="5" s="1"/>
  <c r="D39" i="3"/>
  <c r="D19" i="5" s="1"/>
  <c r="C39" i="3"/>
  <c r="C19" i="5" s="1"/>
  <c r="B19" i="5" s="1"/>
  <c r="A39" i="3"/>
  <c r="A19" i="5" s="1"/>
  <c r="BV38" i="3"/>
  <c r="BU38" i="3"/>
  <c r="BT38" i="3"/>
  <c r="BS38" i="3"/>
  <c r="BR38" i="3"/>
  <c r="BQ38" i="3"/>
  <c r="BP38" i="3"/>
  <c r="BO38" i="3"/>
  <c r="BN38" i="3"/>
  <c r="BM38" i="3"/>
  <c r="BL38" i="3"/>
  <c r="BK38" i="3"/>
  <c r="BJ38" i="3"/>
  <c r="BI38" i="3"/>
  <c r="BH38" i="3"/>
  <c r="BG38" i="3"/>
  <c r="BF38" i="3"/>
  <c r="BE38" i="3"/>
  <c r="BD38" i="3"/>
  <c r="BC38" i="3"/>
  <c r="BB38" i="3"/>
  <c r="BA38" i="3"/>
  <c r="AZ38" i="3"/>
  <c r="AY38" i="3"/>
  <c r="AX38" i="3"/>
  <c r="AW38" i="3"/>
  <c r="AV38" i="3"/>
  <c r="AU38" i="3"/>
  <c r="AT38" i="3"/>
  <c r="AS38" i="3"/>
  <c r="AR38" i="3"/>
  <c r="AQ38" i="3"/>
  <c r="AP38" i="3"/>
  <c r="AO38" i="3"/>
  <c r="AN38" i="3"/>
  <c r="AM38" i="3"/>
  <c r="AL38" i="3"/>
  <c r="AK38" i="3"/>
  <c r="AJ38" i="3"/>
  <c r="AI38" i="3"/>
  <c r="AH38" i="3"/>
  <c r="AG38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I38" i="3"/>
  <c r="P25" i="5" s="1"/>
  <c r="H38" i="3"/>
  <c r="G38" i="3"/>
  <c r="F38" i="3"/>
  <c r="E38" i="3"/>
  <c r="E25" i="5" s="1"/>
  <c r="D38" i="3"/>
  <c r="D25" i="5" s="1"/>
  <c r="C38" i="3"/>
  <c r="C25" i="5" s="1"/>
  <c r="B25" i="5" s="1"/>
  <c r="A38" i="3"/>
  <c r="A25" i="5" s="1"/>
  <c r="BV37" i="3"/>
  <c r="BU37" i="3"/>
  <c r="BT37" i="3"/>
  <c r="BS37" i="3"/>
  <c r="BR37" i="3"/>
  <c r="BQ37" i="3"/>
  <c r="BP37" i="3"/>
  <c r="BO37" i="3"/>
  <c r="BN37" i="3"/>
  <c r="BM37" i="3"/>
  <c r="BL37" i="3"/>
  <c r="BK37" i="3"/>
  <c r="BJ37" i="3"/>
  <c r="BI37" i="3"/>
  <c r="BH37" i="3"/>
  <c r="BG37" i="3"/>
  <c r="BF37" i="3"/>
  <c r="BE37" i="3"/>
  <c r="BD37" i="3"/>
  <c r="BC37" i="3"/>
  <c r="BB37" i="3"/>
  <c r="BA37" i="3"/>
  <c r="AZ37" i="3"/>
  <c r="AY37" i="3"/>
  <c r="AX37" i="3"/>
  <c r="AW37" i="3"/>
  <c r="AV37" i="3"/>
  <c r="AU37" i="3"/>
  <c r="AT37" i="3"/>
  <c r="AS37" i="3"/>
  <c r="AR37" i="3"/>
  <c r="AQ37" i="3"/>
  <c r="AP37" i="3"/>
  <c r="AO37" i="3"/>
  <c r="AN37" i="3"/>
  <c r="AM37" i="3"/>
  <c r="AL37" i="3"/>
  <c r="AK37" i="3"/>
  <c r="AJ37" i="3"/>
  <c r="AI37" i="3"/>
  <c r="AH37" i="3"/>
  <c r="AG37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I37" i="3"/>
  <c r="H37" i="3"/>
  <c r="G37" i="3"/>
  <c r="F37" i="3"/>
  <c r="E37" i="3"/>
  <c r="E54" i="5" s="1"/>
  <c r="D37" i="3"/>
  <c r="D54" i="5" s="1"/>
  <c r="C37" i="3"/>
  <c r="C54" i="5" s="1"/>
  <c r="B54" i="5" s="1"/>
  <c r="A37" i="3"/>
  <c r="A54" i="5" s="1"/>
  <c r="BV36" i="3"/>
  <c r="BU36" i="3"/>
  <c r="BT36" i="3"/>
  <c r="BS36" i="3"/>
  <c r="BR36" i="3"/>
  <c r="BQ36" i="3"/>
  <c r="BP36" i="3"/>
  <c r="BO36" i="3"/>
  <c r="BN36" i="3"/>
  <c r="BM36" i="3"/>
  <c r="BL36" i="3"/>
  <c r="BK36" i="3"/>
  <c r="BJ36" i="3"/>
  <c r="BI36" i="3"/>
  <c r="BH36" i="3"/>
  <c r="BG36" i="3"/>
  <c r="BF36" i="3"/>
  <c r="BE36" i="3"/>
  <c r="BD36" i="3"/>
  <c r="BC36" i="3"/>
  <c r="BB36" i="3"/>
  <c r="BA36" i="3"/>
  <c r="AZ36" i="3"/>
  <c r="AY36" i="3"/>
  <c r="AX36" i="3"/>
  <c r="AW36" i="3"/>
  <c r="AV36" i="3"/>
  <c r="AU36" i="3"/>
  <c r="AT36" i="3"/>
  <c r="AS36" i="3"/>
  <c r="AR36" i="3"/>
  <c r="AQ36" i="3"/>
  <c r="AP36" i="3"/>
  <c r="AO36" i="3"/>
  <c r="AN36" i="3"/>
  <c r="AM36" i="3"/>
  <c r="AL36" i="3"/>
  <c r="AK36" i="3"/>
  <c r="AJ36" i="3"/>
  <c r="AI36" i="3"/>
  <c r="AH36" i="3"/>
  <c r="AG36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I36" i="3"/>
  <c r="H36" i="3"/>
  <c r="G36" i="3"/>
  <c r="F36" i="3"/>
  <c r="E36" i="3"/>
  <c r="D36" i="3"/>
  <c r="D27" i="5" s="1"/>
  <c r="C36" i="3"/>
  <c r="C27" i="5" s="1"/>
  <c r="A36" i="3"/>
  <c r="A27" i="5" s="1"/>
  <c r="BV35" i="3"/>
  <c r="BU35" i="3"/>
  <c r="BT35" i="3"/>
  <c r="BS35" i="3"/>
  <c r="BR35" i="3"/>
  <c r="BQ35" i="3"/>
  <c r="BP35" i="3"/>
  <c r="BO35" i="3"/>
  <c r="BN35" i="3"/>
  <c r="BM35" i="3"/>
  <c r="BL35" i="3"/>
  <c r="BK35" i="3"/>
  <c r="BJ35" i="3"/>
  <c r="BI35" i="3"/>
  <c r="BH35" i="3"/>
  <c r="BG35" i="3"/>
  <c r="BF35" i="3"/>
  <c r="BE35" i="3"/>
  <c r="BD35" i="3"/>
  <c r="BC35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I35" i="3"/>
  <c r="P33" i="5" s="1"/>
  <c r="H35" i="3"/>
  <c r="G35" i="3"/>
  <c r="F35" i="3"/>
  <c r="E35" i="3"/>
  <c r="E33" i="5" s="1"/>
  <c r="D35" i="3"/>
  <c r="D33" i="5" s="1"/>
  <c r="C35" i="3"/>
  <c r="C33" i="5" s="1"/>
  <c r="B33" i="5" s="1"/>
  <c r="A35" i="3"/>
  <c r="A33" i="5" s="1"/>
  <c r="BV34" i="3"/>
  <c r="BU34" i="3"/>
  <c r="BT34" i="3"/>
  <c r="BS34" i="3"/>
  <c r="BR34" i="3"/>
  <c r="BQ34" i="3"/>
  <c r="BP34" i="3"/>
  <c r="BO34" i="3"/>
  <c r="BN34" i="3"/>
  <c r="BM34" i="3"/>
  <c r="BL34" i="3"/>
  <c r="BK34" i="3"/>
  <c r="BJ34" i="3"/>
  <c r="BI34" i="3"/>
  <c r="BH34" i="3"/>
  <c r="BG34" i="3"/>
  <c r="BF34" i="3"/>
  <c r="BE34" i="3"/>
  <c r="BD34" i="3"/>
  <c r="BC34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I34" i="3"/>
  <c r="P46" i="5" s="1"/>
  <c r="H34" i="3"/>
  <c r="G34" i="3"/>
  <c r="F34" i="3"/>
  <c r="E34" i="3"/>
  <c r="E46" i="5" s="1"/>
  <c r="D34" i="3"/>
  <c r="D46" i="5" s="1"/>
  <c r="C34" i="3"/>
  <c r="C46" i="5" s="1"/>
  <c r="B46" i="5" s="1"/>
  <c r="A34" i="3"/>
  <c r="A46" i="5" s="1"/>
  <c r="BV33" i="3"/>
  <c r="BU33" i="3"/>
  <c r="BT33" i="3"/>
  <c r="BS33" i="3"/>
  <c r="BR33" i="3"/>
  <c r="BQ33" i="3"/>
  <c r="BP33" i="3"/>
  <c r="BO33" i="3"/>
  <c r="BN33" i="3"/>
  <c r="BM33" i="3"/>
  <c r="BL33" i="3"/>
  <c r="BK33" i="3"/>
  <c r="BJ33" i="3"/>
  <c r="BI33" i="3"/>
  <c r="BH33" i="3"/>
  <c r="BG33" i="3"/>
  <c r="BF33" i="3"/>
  <c r="BE33" i="3"/>
  <c r="BD33" i="3"/>
  <c r="BC33" i="3"/>
  <c r="BB33" i="3"/>
  <c r="BA33" i="3"/>
  <c r="AZ33" i="3"/>
  <c r="AY33" i="3"/>
  <c r="AX33" i="3"/>
  <c r="AW33" i="3"/>
  <c r="AV33" i="3"/>
  <c r="AU33" i="3"/>
  <c r="AT33" i="3"/>
  <c r="AS33" i="3"/>
  <c r="AR33" i="3"/>
  <c r="AQ33" i="3"/>
  <c r="AP33" i="3"/>
  <c r="AO33" i="3"/>
  <c r="AN33" i="3"/>
  <c r="AM33" i="3"/>
  <c r="AL33" i="3"/>
  <c r="AK33" i="3"/>
  <c r="AJ33" i="3"/>
  <c r="AI33" i="3"/>
  <c r="AH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I33" i="3"/>
  <c r="H33" i="3"/>
  <c r="G33" i="3"/>
  <c r="F33" i="3"/>
  <c r="E33" i="3"/>
  <c r="E39" i="5" s="1"/>
  <c r="D33" i="3"/>
  <c r="D39" i="5" s="1"/>
  <c r="C33" i="3"/>
  <c r="C39" i="5" s="1"/>
  <c r="A33" i="3"/>
  <c r="A39" i="5" s="1"/>
  <c r="BV32" i="3"/>
  <c r="BU32" i="3"/>
  <c r="BT32" i="3"/>
  <c r="BS32" i="3"/>
  <c r="BR32" i="3"/>
  <c r="BQ32" i="3"/>
  <c r="BP32" i="3"/>
  <c r="BO32" i="3"/>
  <c r="BN32" i="3"/>
  <c r="BM32" i="3"/>
  <c r="BL32" i="3"/>
  <c r="BK32" i="3"/>
  <c r="BJ32" i="3"/>
  <c r="BI32" i="3"/>
  <c r="BH32" i="3"/>
  <c r="BG32" i="3"/>
  <c r="BF32" i="3"/>
  <c r="BE32" i="3"/>
  <c r="BD32" i="3"/>
  <c r="BC32" i="3"/>
  <c r="BB32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AH32" i="3"/>
  <c r="AG32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I32" i="3"/>
  <c r="P49" i="5" s="1"/>
  <c r="H32" i="3"/>
  <c r="G32" i="3"/>
  <c r="F32" i="3"/>
  <c r="E32" i="3"/>
  <c r="E49" i="5" s="1"/>
  <c r="D32" i="3"/>
  <c r="D49" i="5" s="1"/>
  <c r="C32" i="3"/>
  <c r="C49" i="5" s="1"/>
  <c r="B49" i="5" s="1"/>
  <c r="A32" i="3"/>
  <c r="A49" i="5" s="1"/>
  <c r="BV31" i="3"/>
  <c r="BU31" i="3"/>
  <c r="BT31" i="3"/>
  <c r="BS31" i="3"/>
  <c r="BR31" i="3"/>
  <c r="BQ31" i="3"/>
  <c r="BP31" i="3"/>
  <c r="BO31" i="3"/>
  <c r="BN31" i="3"/>
  <c r="BM31" i="3"/>
  <c r="BL31" i="3"/>
  <c r="BK31" i="3"/>
  <c r="BJ31" i="3"/>
  <c r="BI31" i="3"/>
  <c r="BH31" i="3"/>
  <c r="BG31" i="3"/>
  <c r="BF31" i="3"/>
  <c r="BE31" i="3"/>
  <c r="BD31" i="3"/>
  <c r="BC31" i="3"/>
  <c r="BB31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AH31" i="3"/>
  <c r="AG31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I31" i="3"/>
  <c r="P35" i="5" s="1"/>
  <c r="H31" i="3"/>
  <c r="G31" i="3"/>
  <c r="F31" i="3"/>
  <c r="E31" i="3"/>
  <c r="E35" i="5" s="1"/>
  <c r="D31" i="3"/>
  <c r="D35" i="5" s="1"/>
  <c r="C31" i="3"/>
  <c r="C35" i="5" s="1"/>
  <c r="B35" i="5" s="1"/>
  <c r="A31" i="3"/>
  <c r="A35" i="5" s="1"/>
  <c r="BV30" i="3"/>
  <c r="BU30" i="3"/>
  <c r="BT30" i="3"/>
  <c r="BS30" i="3"/>
  <c r="BR30" i="3"/>
  <c r="BQ30" i="3"/>
  <c r="BP30" i="3"/>
  <c r="BO30" i="3"/>
  <c r="BN30" i="3"/>
  <c r="BM30" i="3"/>
  <c r="BL30" i="3"/>
  <c r="BK30" i="3"/>
  <c r="BJ30" i="3"/>
  <c r="BI30" i="3"/>
  <c r="BH30" i="3"/>
  <c r="BG30" i="3"/>
  <c r="BF30" i="3"/>
  <c r="BE30" i="3"/>
  <c r="BD30" i="3"/>
  <c r="BC30" i="3"/>
  <c r="BB30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K30" i="3" s="1"/>
  <c r="G16" i="5" s="1" a="1"/>
  <c r="G16" i="5" s="1"/>
  <c r="Y30" i="3"/>
  <c r="X30" i="3"/>
  <c r="W30" i="3"/>
  <c r="V30" i="3"/>
  <c r="U30" i="3"/>
  <c r="T30" i="3"/>
  <c r="S30" i="3"/>
  <c r="I30" i="3"/>
  <c r="P16" i="5" s="1"/>
  <c r="H30" i="3"/>
  <c r="G30" i="3"/>
  <c r="F30" i="3"/>
  <c r="E30" i="3"/>
  <c r="E16" i="5" s="1"/>
  <c r="D30" i="3"/>
  <c r="D16" i="5" s="1"/>
  <c r="C30" i="3"/>
  <c r="C16" i="5" s="1"/>
  <c r="A30" i="3"/>
  <c r="BV29" i="3"/>
  <c r="BU29" i="3"/>
  <c r="BT29" i="3"/>
  <c r="BS29" i="3"/>
  <c r="BR29" i="3"/>
  <c r="BQ29" i="3"/>
  <c r="BP29" i="3"/>
  <c r="BO29" i="3"/>
  <c r="BN29" i="3"/>
  <c r="BM29" i="3"/>
  <c r="BL29" i="3"/>
  <c r="BK29" i="3"/>
  <c r="BJ29" i="3"/>
  <c r="BI29" i="3"/>
  <c r="BH29" i="3"/>
  <c r="BG29" i="3"/>
  <c r="BF29" i="3"/>
  <c r="BE29" i="3"/>
  <c r="BD29" i="3"/>
  <c r="BC29" i="3"/>
  <c r="BB29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I29" i="3"/>
  <c r="P21" i="5" s="1"/>
  <c r="H29" i="3"/>
  <c r="G29" i="3"/>
  <c r="F29" i="3"/>
  <c r="E29" i="3"/>
  <c r="E21" i="5" s="1"/>
  <c r="D29" i="3"/>
  <c r="D21" i="5" s="1"/>
  <c r="C29" i="3"/>
  <c r="A29" i="3"/>
  <c r="A21" i="5" s="1"/>
  <c r="BV28" i="3"/>
  <c r="BU28" i="3"/>
  <c r="BT28" i="3"/>
  <c r="BS28" i="3"/>
  <c r="BR28" i="3"/>
  <c r="BQ28" i="3"/>
  <c r="BP28" i="3"/>
  <c r="BO28" i="3"/>
  <c r="BN28" i="3"/>
  <c r="BM28" i="3"/>
  <c r="BL28" i="3"/>
  <c r="BK28" i="3"/>
  <c r="BJ28" i="3"/>
  <c r="BI28" i="3"/>
  <c r="BH28" i="3"/>
  <c r="BG28" i="3"/>
  <c r="BF28" i="3"/>
  <c r="BE28" i="3"/>
  <c r="BD28" i="3"/>
  <c r="BC28" i="3"/>
  <c r="BB28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I28" i="3"/>
  <c r="P40" i="5" s="1"/>
  <c r="H28" i="3"/>
  <c r="G28" i="3"/>
  <c r="F28" i="3"/>
  <c r="E28" i="3"/>
  <c r="E40" i="5" s="1"/>
  <c r="D28" i="3"/>
  <c r="D40" i="5" s="1"/>
  <c r="C28" i="3"/>
  <c r="A28" i="3"/>
  <c r="A40" i="5" s="1"/>
  <c r="BV27" i="3"/>
  <c r="BU27" i="3"/>
  <c r="BT27" i="3"/>
  <c r="BS27" i="3"/>
  <c r="BR27" i="3"/>
  <c r="BQ27" i="3"/>
  <c r="BP27" i="3"/>
  <c r="BO27" i="3"/>
  <c r="BN27" i="3"/>
  <c r="BM27" i="3"/>
  <c r="BL27" i="3"/>
  <c r="BK27" i="3"/>
  <c r="BJ27" i="3"/>
  <c r="BI27" i="3"/>
  <c r="BH27" i="3"/>
  <c r="BG27" i="3"/>
  <c r="BF27" i="3"/>
  <c r="BE27" i="3"/>
  <c r="BD27" i="3"/>
  <c r="BC27" i="3"/>
  <c r="BB27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I27" i="3"/>
  <c r="P41" i="5" s="1"/>
  <c r="H27" i="3"/>
  <c r="G27" i="3"/>
  <c r="F27" i="3"/>
  <c r="E27" i="3"/>
  <c r="E41" i="5" s="1"/>
  <c r="D27" i="3"/>
  <c r="D41" i="5" s="1"/>
  <c r="C27" i="3"/>
  <c r="C41" i="5" s="1"/>
  <c r="A27" i="3"/>
  <c r="BV26" i="3"/>
  <c r="BU26" i="3"/>
  <c r="BT26" i="3"/>
  <c r="BS26" i="3"/>
  <c r="BR26" i="3"/>
  <c r="BQ26" i="3"/>
  <c r="BP26" i="3"/>
  <c r="BO26" i="3"/>
  <c r="BN26" i="3"/>
  <c r="BM26" i="3"/>
  <c r="BL26" i="3"/>
  <c r="BK26" i="3"/>
  <c r="BJ26" i="3"/>
  <c r="BI26" i="3"/>
  <c r="BH26" i="3"/>
  <c r="BG26" i="3"/>
  <c r="BF26" i="3"/>
  <c r="BE26" i="3"/>
  <c r="BD26" i="3"/>
  <c r="BC26" i="3"/>
  <c r="BB26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I26" i="3"/>
  <c r="P22" i="5" s="1"/>
  <c r="H26" i="3"/>
  <c r="G26" i="3"/>
  <c r="F26" i="3"/>
  <c r="E26" i="3"/>
  <c r="E22" i="5" s="1"/>
  <c r="D26" i="3"/>
  <c r="D22" i="5" s="1"/>
  <c r="C26" i="3"/>
  <c r="A26" i="3"/>
  <c r="A22" i="5" s="1"/>
  <c r="BV25" i="3"/>
  <c r="BU25" i="3"/>
  <c r="BT25" i="3"/>
  <c r="BS25" i="3"/>
  <c r="BR25" i="3"/>
  <c r="BQ25" i="3"/>
  <c r="BP25" i="3"/>
  <c r="BO25" i="3"/>
  <c r="BN25" i="3"/>
  <c r="BM25" i="3"/>
  <c r="BL25" i="3"/>
  <c r="BK25" i="3"/>
  <c r="BJ25" i="3"/>
  <c r="BI25" i="3"/>
  <c r="BH25" i="3"/>
  <c r="BG25" i="3"/>
  <c r="BF25" i="3"/>
  <c r="BE25" i="3"/>
  <c r="BD25" i="3"/>
  <c r="BC25" i="3"/>
  <c r="BB25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I25" i="3"/>
  <c r="P30" i="5" s="1"/>
  <c r="H25" i="3"/>
  <c r="G25" i="3"/>
  <c r="F25" i="3"/>
  <c r="E25" i="3"/>
  <c r="E30" i="5" s="1"/>
  <c r="D25" i="3"/>
  <c r="D30" i="5" s="1"/>
  <c r="C25" i="3"/>
  <c r="A25" i="3"/>
  <c r="A30" i="5" s="1"/>
  <c r="BV24" i="3"/>
  <c r="BU24" i="3"/>
  <c r="BT24" i="3"/>
  <c r="BS24" i="3"/>
  <c r="BR24" i="3"/>
  <c r="BQ24" i="3"/>
  <c r="BP24" i="3"/>
  <c r="BO24" i="3"/>
  <c r="BN24" i="3"/>
  <c r="BM24" i="3"/>
  <c r="BL24" i="3"/>
  <c r="BK24" i="3"/>
  <c r="BJ24" i="3"/>
  <c r="BI24" i="3"/>
  <c r="BH24" i="3"/>
  <c r="BG24" i="3"/>
  <c r="BF24" i="3"/>
  <c r="BE24" i="3"/>
  <c r="BD24" i="3"/>
  <c r="BC24" i="3"/>
  <c r="BB24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I24" i="3"/>
  <c r="P56" i="5" s="1"/>
  <c r="H24" i="3"/>
  <c r="G24" i="3"/>
  <c r="F24" i="3"/>
  <c r="E24" i="3"/>
  <c r="E56" i="5" s="1"/>
  <c r="D24" i="3"/>
  <c r="D56" i="5" s="1"/>
  <c r="C24" i="3"/>
  <c r="C56" i="5" s="1"/>
  <c r="A24" i="3"/>
  <c r="A56" i="5" s="1"/>
  <c r="BV23" i="3"/>
  <c r="BU23" i="3"/>
  <c r="BT23" i="3"/>
  <c r="BS23" i="3"/>
  <c r="BR23" i="3"/>
  <c r="BQ23" i="3"/>
  <c r="BP23" i="3"/>
  <c r="BO23" i="3"/>
  <c r="BN23" i="3"/>
  <c r="BM23" i="3"/>
  <c r="BL23" i="3"/>
  <c r="BK23" i="3"/>
  <c r="BJ23" i="3"/>
  <c r="BI23" i="3"/>
  <c r="BH23" i="3"/>
  <c r="BG23" i="3"/>
  <c r="BF23" i="3"/>
  <c r="BE23" i="3"/>
  <c r="BD23" i="3"/>
  <c r="BC23" i="3"/>
  <c r="BB23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I23" i="3"/>
  <c r="P29" i="5" s="1"/>
  <c r="H23" i="3"/>
  <c r="G23" i="3"/>
  <c r="F23" i="3"/>
  <c r="E23" i="3"/>
  <c r="E29" i="5" s="1"/>
  <c r="D23" i="3"/>
  <c r="D29" i="5" s="1"/>
  <c r="C23" i="3"/>
  <c r="C29" i="5" s="1"/>
  <c r="A23" i="3"/>
  <c r="A29" i="5" s="1"/>
  <c r="BV22" i="3"/>
  <c r="BU22" i="3"/>
  <c r="BT22" i="3"/>
  <c r="BS22" i="3"/>
  <c r="BR22" i="3"/>
  <c r="BQ22" i="3"/>
  <c r="BP22" i="3"/>
  <c r="BO22" i="3"/>
  <c r="BN22" i="3"/>
  <c r="BM22" i="3"/>
  <c r="BL22" i="3"/>
  <c r="BK22" i="3"/>
  <c r="BJ22" i="3"/>
  <c r="BI22" i="3"/>
  <c r="BH22" i="3"/>
  <c r="BG22" i="3"/>
  <c r="BF22" i="3"/>
  <c r="BE22" i="3"/>
  <c r="BD22" i="3"/>
  <c r="BC22" i="3"/>
  <c r="BB22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I22" i="3"/>
  <c r="P11" i="5" s="1"/>
  <c r="H22" i="3"/>
  <c r="G22" i="3"/>
  <c r="F22" i="3"/>
  <c r="E22" i="3"/>
  <c r="E11" i="5" s="1"/>
  <c r="D22" i="3"/>
  <c r="D11" i="5" s="1"/>
  <c r="C22" i="3"/>
  <c r="C11" i="5" s="1"/>
  <c r="A22" i="3"/>
  <c r="A11" i="5" s="1"/>
  <c r="BV21" i="3"/>
  <c r="BU21" i="3"/>
  <c r="BT21" i="3"/>
  <c r="BS21" i="3"/>
  <c r="BR21" i="3"/>
  <c r="BQ21" i="3"/>
  <c r="BP21" i="3"/>
  <c r="BO21" i="3"/>
  <c r="BN21" i="3"/>
  <c r="BM21" i="3"/>
  <c r="BL21" i="3"/>
  <c r="BK21" i="3"/>
  <c r="BJ21" i="3"/>
  <c r="BI21" i="3"/>
  <c r="BH21" i="3"/>
  <c r="BG21" i="3"/>
  <c r="BF21" i="3"/>
  <c r="BE21" i="3"/>
  <c r="BD21" i="3"/>
  <c r="BC21" i="3"/>
  <c r="BB21" i="3"/>
  <c r="BA21" i="3"/>
  <c r="AZ21" i="3"/>
  <c r="AY21" i="3"/>
  <c r="AX21" i="3"/>
  <c r="AW21" i="3"/>
  <c r="AV21" i="3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I21" i="3"/>
  <c r="P26" i="5" s="1"/>
  <c r="H21" i="3"/>
  <c r="G21" i="3"/>
  <c r="F21" i="3"/>
  <c r="E21" i="3"/>
  <c r="E26" i="5" s="1"/>
  <c r="D21" i="3"/>
  <c r="D26" i="5" s="1"/>
  <c r="C21" i="3"/>
  <c r="C26" i="5" s="1"/>
  <c r="A21" i="3"/>
  <c r="A26" i="5" s="1"/>
  <c r="BV20" i="3"/>
  <c r="BU20" i="3"/>
  <c r="BT20" i="3"/>
  <c r="BS20" i="3"/>
  <c r="BR20" i="3"/>
  <c r="BQ20" i="3"/>
  <c r="BP20" i="3"/>
  <c r="BO20" i="3"/>
  <c r="BN20" i="3"/>
  <c r="BM20" i="3"/>
  <c r="BL20" i="3"/>
  <c r="BK20" i="3"/>
  <c r="BJ20" i="3"/>
  <c r="BI20" i="3"/>
  <c r="BH20" i="3"/>
  <c r="BG20" i="3"/>
  <c r="BF20" i="3"/>
  <c r="BE20" i="3"/>
  <c r="BD20" i="3"/>
  <c r="BC20" i="3"/>
  <c r="BB20" i="3"/>
  <c r="BA20" i="3"/>
  <c r="AZ20" i="3"/>
  <c r="AY20" i="3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M20" i="3" s="1"/>
  <c r="I10" i="5" s="1" a="1"/>
  <c r="I10" i="5" s="1"/>
  <c r="AA20" i="3"/>
  <c r="Z20" i="3"/>
  <c r="Y20" i="3"/>
  <c r="X20" i="3"/>
  <c r="W20" i="3"/>
  <c r="V20" i="3"/>
  <c r="U20" i="3"/>
  <c r="T20" i="3"/>
  <c r="S20" i="3"/>
  <c r="I20" i="3"/>
  <c r="P10" i="5" s="1"/>
  <c r="H20" i="3"/>
  <c r="G20" i="3"/>
  <c r="F20" i="3"/>
  <c r="E20" i="3"/>
  <c r="E10" i="5" s="1"/>
  <c r="D20" i="3"/>
  <c r="D10" i="5" s="1"/>
  <c r="C20" i="3"/>
  <c r="C10" i="5" s="1"/>
  <c r="A20" i="3"/>
  <c r="A10" i="5" s="1"/>
  <c r="BV19" i="3"/>
  <c r="BU19" i="3"/>
  <c r="BT19" i="3"/>
  <c r="BS19" i="3"/>
  <c r="BR19" i="3"/>
  <c r="BQ19" i="3"/>
  <c r="BP19" i="3"/>
  <c r="BO19" i="3"/>
  <c r="BN19" i="3"/>
  <c r="BM19" i="3"/>
  <c r="BL19" i="3"/>
  <c r="BK19" i="3"/>
  <c r="BJ19" i="3"/>
  <c r="BI19" i="3"/>
  <c r="BH19" i="3"/>
  <c r="BG19" i="3"/>
  <c r="BF19" i="3"/>
  <c r="BE19" i="3"/>
  <c r="BD19" i="3"/>
  <c r="BC19" i="3"/>
  <c r="BB19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I19" i="3"/>
  <c r="P23" i="5" s="1"/>
  <c r="H19" i="3"/>
  <c r="G19" i="3"/>
  <c r="F19" i="3"/>
  <c r="E19" i="3"/>
  <c r="E23" i="5" s="1"/>
  <c r="D19" i="3"/>
  <c r="D23" i="5" s="1"/>
  <c r="C19" i="3"/>
  <c r="C23" i="5" s="1"/>
  <c r="A19" i="3"/>
  <c r="A23" i="5" s="1"/>
  <c r="BV18" i="3"/>
  <c r="BU18" i="3"/>
  <c r="BT18" i="3"/>
  <c r="BS18" i="3"/>
  <c r="BR18" i="3"/>
  <c r="BQ18" i="3"/>
  <c r="BP18" i="3"/>
  <c r="BO18" i="3"/>
  <c r="BN18" i="3"/>
  <c r="BM18" i="3"/>
  <c r="BL18" i="3"/>
  <c r="BK18" i="3"/>
  <c r="BJ18" i="3"/>
  <c r="BI18" i="3"/>
  <c r="BH18" i="3"/>
  <c r="BG18" i="3"/>
  <c r="BF18" i="3"/>
  <c r="BE18" i="3"/>
  <c r="BD18" i="3"/>
  <c r="BC18" i="3"/>
  <c r="BB18" i="3"/>
  <c r="BA18" i="3"/>
  <c r="AZ18" i="3"/>
  <c r="AY18" i="3"/>
  <c r="AX18" i="3"/>
  <c r="AW18" i="3"/>
  <c r="AV18" i="3"/>
  <c r="AU18" i="3"/>
  <c r="J18" i="3" s="1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I18" i="3"/>
  <c r="H18" i="3"/>
  <c r="G18" i="3"/>
  <c r="F18" i="3"/>
  <c r="E18" i="3"/>
  <c r="D18" i="3"/>
  <c r="C18" i="3"/>
  <c r="C13" i="5" s="1"/>
  <c r="A18" i="3"/>
  <c r="A13" i="5" s="1"/>
  <c r="BV17" i="3"/>
  <c r="BU17" i="3"/>
  <c r="BT17" i="3"/>
  <c r="BS17" i="3"/>
  <c r="BR17" i="3"/>
  <c r="BQ17" i="3"/>
  <c r="BP17" i="3"/>
  <c r="BO17" i="3"/>
  <c r="BN17" i="3"/>
  <c r="BM17" i="3"/>
  <c r="BL17" i="3"/>
  <c r="BK17" i="3"/>
  <c r="BJ17" i="3"/>
  <c r="BI17" i="3"/>
  <c r="BH17" i="3"/>
  <c r="BG17" i="3"/>
  <c r="BF17" i="3"/>
  <c r="BE17" i="3"/>
  <c r="BD17" i="3"/>
  <c r="BC17" i="3"/>
  <c r="BB17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I17" i="3"/>
  <c r="P8" i="5" s="1"/>
  <c r="H17" i="3"/>
  <c r="G17" i="3"/>
  <c r="F17" i="3"/>
  <c r="E17" i="3"/>
  <c r="E8" i="5" s="1"/>
  <c r="D17" i="3"/>
  <c r="D8" i="5" s="1"/>
  <c r="C17" i="3"/>
  <c r="C8" i="5" s="1"/>
  <c r="A17" i="3"/>
  <c r="A8" i="5" s="1"/>
  <c r="BV16" i="3"/>
  <c r="BU16" i="3"/>
  <c r="BT16" i="3"/>
  <c r="BS16" i="3"/>
  <c r="BR16" i="3"/>
  <c r="BQ16" i="3"/>
  <c r="BP16" i="3"/>
  <c r="BO16" i="3"/>
  <c r="BN16" i="3"/>
  <c r="BM16" i="3"/>
  <c r="BL16" i="3"/>
  <c r="BK16" i="3"/>
  <c r="BJ16" i="3"/>
  <c r="BI16" i="3"/>
  <c r="BH16" i="3"/>
  <c r="BG16" i="3"/>
  <c r="BF16" i="3"/>
  <c r="BE16" i="3"/>
  <c r="BD16" i="3"/>
  <c r="BC16" i="3"/>
  <c r="BB16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I16" i="3"/>
  <c r="P2" i="5" s="1"/>
  <c r="H16" i="3"/>
  <c r="G16" i="3"/>
  <c r="F16" i="3"/>
  <c r="E16" i="3"/>
  <c r="E2" i="5" s="1"/>
  <c r="D16" i="3"/>
  <c r="D2" i="5" s="1"/>
  <c r="C16" i="3"/>
  <c r="C2" i="5" s="1"/>
  <c r="A16" i="3"/>
  <c r="A2" i="5" s="1"/>
  <c r="BV15" i="3"/>
  <c r="BU15" i="3"/>
  <c r="BT15" i="3"/>
  <c r="BS15" i="3"/>
  <c r="BR15" i="3"/>
  <c r="BQ15" i="3"/>
  <c r="BP15" i="3"/>
  <c r="BO15" i="3"/>
  <c r="BN15" i="3"/>
  <c r="BM15" i="3"/>
  <c r="BL15" i="3"/>
  <c r="BK15" i="3"/>
  <c r="BJ15" i="3"/>
  <c r="BI15" i="3"/>
  <c r="BH15" i="3"/>
  <c r="BG15" i="3"/>
  <c r="BF15" i="3"/>
  <c r="BE15" i="3"/>
  <c r="BD15" i="3"/>
  <c r="BC15" i="3"/>
  <c r="BB15" i="3"/>
  <c r="BA15" i="3"/>
  <c r="AZ15" i="3"/>
  <c r="AY15" i="3"/>
  <c r="AX15" i="3"/>
  <c r="AW15" i="3"/>
  <c r="AV15" i="3"/>
  <c r="AU15" i="3"/>
  <c r="AT15" i="3"/>
  <c r="AS15" i="3"/>
  <c r="AR15" i="3"/>
  <c r="AQ15" i="3"/>
  <c r="AP15" i="3"/>
  <c r="AO15" i="3"/>
  <c r="AN15" i="3"/>
  <c r="AM15" i="3"/>
  <c r="AL15" i="3"/>
  <c r="AK15" i="3"/>
  <c r="AJ15" i="3"/>
  <c r="AI15" i="3"/>
  <c r="AH15" i="3"/>
  <c r="AG15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I15" i="3"/>
  <c r="P14" i="5" s="1"/>
  <c r="H15" i="3"/>
  <c r="G15" i="3"/>
  <c r="F15" i="3"/>
  <c r="E15" i="3"/>
  <c r="E14" i="5" s="1"/>
  <c r="D15" i="3"/>
  <c r="D14" i="5" s="1"/>
  <c r="C15" i="3"/>
  <c r="C14" i="5" s="1"/>
  <c r="A15" i="3"/>
  <c r="A14" i="5" s="1"/>
  <c r="BV14" i="3"/>
  <c r="BU14" i="3"/>
  <c r="BT14" i="3"/>
  <c r="BS14" i="3"/>
  <c r="BR14" i="3"/>
  <c r="BQ14" i="3"/>
  <c r="BP14" i="3"/>
  <c r="BO14" i="3"/>
  <c r="BN14" i="3"/>
  <c r="BM14" i="3"/>
  <c r="BL14" i="3"/>
  <c r="BK14" i="3"/>
  <c r="BJ14" i="3"/>
  <c r="BI14" i="3"/>
  <c r="BH14" i="3"/>
  <c r="BG14" i="3"/>
  <c r="BF14" i="3"/>
  <c r="BE14" i="3"/>
  <c r="BD14" i="3"/>
  <c r="BC14" i="3"/>
  <c r="BB14" i="3"/>
  <c r="BA14" i="3"/>
  <c r="AZ14" i="3"/>
  <c r="AY14" i="3"/>
  <c r="AX14" i="3"/>
  <c r="AW14" i="3"/>
  <c r="AV14" i="3"/>
  <c r="AU14" i="3"/>
  <c r="AT14" i="3"/>
  <c r="AS14" i="3"/>
  <c r="AR14" i="3"/>
  <c r="AQ14" i="3"/>
  <c r="AP14" i="3"/>
  <c r="AO14" i="3"/>
  <c r="AN14" i="3"/>
  <c r="AM14" i="3"/>
  <c r="AL14" i="3"/>
  <c r="AK14" i="3"/>
  <c r="AJ14" i="3"/>
  <c r="AI14" i="3"/>
  <c r="AH14" i="3"/>
  <c r="AG14" i="3"/>
  <c r="AF14" i="3"/>
  <c r="AE14" i="3"/>
  <c r="AD14" i="3"/>
  <c r="AC14" i="3"/>
  <c r="AB14" i="3"/>
  <c r="AA14" i="3"/>
  <c r="Z14" i="3"/>
  <c r="Y14" i="3"/>
  <c r="X14" i="3"/>
  <c r="W14" i="3"/>
  <c r="V14" i="3"/>
  <c r="U14" i="3"/>
  <c r="T14" i="3"/>
  <c r="S14" i="3"/>
  <c r="I14" i="3"/>
  <c r="P7" i="5" s="1"/>
  <c r="H14" i="3"/>
  <c r="G14" i="3"/>
  <c r="F14" i="3"/>
  <c r="E14" i="3"/>
  <c r="E7" i="5" s="1"/>
  <c r="D14" i="3"/>
  <c r="C14" i="3"/>
  <c r="C7" i="5" s="1"/>
  <c r="A14" i="3"/>
  <c r="A7" i="5" s="1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I13" i="3"/>
  <c r="BH13" i="3"/>
  <c r="BG13" i="3"/>
  <c r="BF13" i="3"/>
  <c r="BE13" i="3"/>
  <c r="BD13" i="3"/>
  <c r="BC13" i="3"/>
  <c r="BB13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AH13" i="3"/>
  <c r="AG13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I13" i="3"/>
  <c r="P15" i="5" s="1"/>
  <c r="H13" i="3"/>
  <c r="G13" i="3"/>
  <c r="F13" i="3"/>
  <c r="E13" i="3"/>
  <c r="E15" i="5" s="1"/>
  <c r="D13" i="3"/>
  <c r="D15" i="5" s="1"/>
  <c r="C13" i="3"/>
  <c r="C15" i="5" s="1"/>
  <c r="A13" i="3"/>
  <c r="A15" i="5" s="1"/>
  <c r="BV12" i="3"/>
  <c r="BU12" i="3"/>
  <c r="BT12" i="3"/>
  <c r="BS12" i="3"/>
  <c r="BR12" i="3"/>
  <c r="BQ12" i="3"/>
  <c r="BP12" i="3"/>
  <c r="BO12" i="3"/>
  <c r="BN12" i="3"/>
  <c r="BM12" i="3"/>
  <c r="BL12" i="3"/>
  <c r="BK12" i="3"/>
  <c r="BJ12" i="3"/>
  <c r="BI12" i="3"/>
  <c r="BH12" i="3"/>
  <c r="BG12" i="3"/>
  <c r="BF12" i="3"/>
  <c r="BE12" i="3"/>
  <c r="BD12" i="3"/>
  <c r="BC12" i="3"/>
  <c r="BB12" i="3"/>
  <c r="BA12" i="3"/>
  <c r="AZ12" i="3"/>
  <c r="AY12" i="3"/>
  <c r="AX12" i="3"/>
  <c r="AW12" i="3"/>
  <c r="AV12" i="3"/>
  <c r="L12" i="3" s="1"/>
  <c r="H6" i="5" s="1" a="1"/>
  <c r="H6" i="5" s="1"/>
  <c r="AU12" i="3"/>
  <c r="AT12" i="3"/>
  <c r="AS12" i="3"/>
  <c r="AR12" i="3"/>
  <c r="AQ12" i="3"/>
  <c r="AP12" i="3"/>
  <c r="AO12" i="3"/>
  <c r="AN12" i="3"/>
  <c r="AM12" i="3"/>
  <c r="AL12" i="3"/>
  <c r="AK12" i="3"/>
  <c r="AJ12" i="3"/>
  <c r="AI12" i="3"/>
  <c r="AH12" i="3"/>
  <c r="AG12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I12" i="3"/>
  <c r="P6" i="5" s="1"/>
  <c r="H12" i="3"/>
  <c r="G12" i="3"/>
  <c r="F12" i="3"/>
  <c r="E12" i="3"/>
  <c r="E6" i="5" s="1"/>
  <c r="D12" i="3"/>
  <c r="D6" i="5" s="1"/>
  <c r="C12" i="3"/>
  <c r="A12" i="3"/>
  <c r="BV11" i="3"/>
  <c r="BU11" i="3"/>
  <c r="BT11" i="3"/>
  <c r="BS11" i="3"/>
  <c r="BR11" i="3"/>
  <c r="BQ11" i="3"/>
  <c r="BP11" i="3"/>
  <c r="BO11" i="3"/>
  <c r="BN11" i="3"/>
  <c r="BM11" i="3"/>
  <c r="BL11" i="3"/>
  <c r="BK11" i="3"/>
  <c r="BJ11" i="3"/>
  <c r="BI11" i="3"/>
  <c r="BH11" i="3"/>
  <c r="BG11" i="3"/>
  <c r="BF11" i="3"/>
  <c r="BE11" i="3"/>
  <c r="BD11" i="3"/>
  <c r="BC11" i="3"/>
  <c r="BB11" i="3"/>
  <c r="BA11" i="3"/>
  <c r="AZ11" i="3"/>
  <c r="AY11" i="3"/>
  <c r="AX11" i="3"/>
  <c r="AW11" i="3"/>
  <c r="AV11" i="3"/>
  <c r="AU11" i="3"/>
  <c r="AT11" i="3"/>
  <c r="AS11" i="3"/>
  <c r="AR11" i="3"/>
  <c r="AQ11" i="3"/>
  <c r="AP11" i="3"/>
  <c r="AO11" i="3"/>
  <c r="AN11" i="3"/>
  <c r="AM11" i="3"/>
  <c r="AL11" i="3"/>
  <c r="AK11" i="3"/>
  <c r="AJ11" i="3"/>
  <c r="AI11" i="3"/>
  <c r="AH11" i="3"/>
  <c r="AG11" i="3"/>
  <c r="AF11" i="3"/>
  <c r="AE11" i="3"/>
  <c r="AD11" i="3"/>
  <c r="AC11" i="3"/>
  <c r="AB11" i="3"/>
  <c r="AA11" i="3"/>
  <c r="Z11" i="3"/>
  <c r="Y11" i="3"/>
  <c r="X11" i="3"/>
  <c r="W11" i="3"/>
  <c r="V11" i="3"/>
  <c r="U11" i="3"/>
  <c r="T11" i="3"/>
  <c r="S11" i="3"/>
  <c r="I11" i="3"/>
  <c r="P38" i="5" s="1"/>
  <c r="H11" i="3"/>
  <c r="G11" i="3"/>
  <c r="F11" i="3"/>
  <c r="E11" i="3"/>
  <c r="E38" i="5" s="1"/>
  <c r="D11" i="3"/>
  <c r="D38" i="5" s="1"/>
  <c r="C11" i="3"/>
  <c r="C38" i="5" s="1"/>
  <c r="A11" i="3"/>
  <c r="A38" i="5" s="1"/>
  <c r="BV10" i="3"/>
  <c r="BU10" i="3"/>
  <c r="BT10" i="3"/>
  <c r="BS10" i="3"/>
  <c r="BR10" i="3"/>
  <c r="BQ10" i="3"/>
  <c r="BP10" i="3"/>
  <c r="BO10" i="3"/>
  <c r="BN10" i="3"/>
  <c r="BM10" i="3"/>
  <c r="BL10" i="3"/>
  <c r="BK10" i="3"/>
  <c r="BJ10" i="3"/>
  <c r="BI10" i="3"/>
  <c r="BH10" i="3"/>
  <c r="BG10" i="3"/>
  <c r="BF10" i="3"/>
  <c r="BE10" i="3"/>
  <c r="BD10" i="3"/>
  <c r="BC10" i="3"/>
  <c r="BB10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L10" i="3"/>
  <c r="AK10" i="3"/>
  <c r="AJ10" i="3"/>
  <c r="AI10" i="3"/>
  <c r="AH10" i="3"/>
  <c r="AG10" i="3"/>
  <c r="AF10" i="3"/>
  <c r="AE10" i="3"/>
  <c r="AD10" i="3"/>
  <c r="AC10" i="3"/>
  <c r="AB10" i="3"/>
  <c r="AA10" i="3"/>
  <c r="Z10" i="3"/>
  <c r="Y10" i="3"/>
  <c r="X10" i="3"/>
  <c r="W10" i="3"/>
  <c r="V10" i="3"/>
  <c r="U10" i="3"/>
  <c r="T10" i="3"/>
  <c r="S10" i="3"/>
  <c r="I10" i="3"/>
  <c r="P5" i="5" s="1"/>
  <c r="H10" i="3"/>
  <c r="G10" i="3"/>
  <c r="F10" i="3"/>
  <c r="E10" i="3"/>
  <c r="E5" i="5" s="1"/>
  <c r="D10" i="3"/>
  <c r="D5" i="5" s="1"/>
  <c r="C10" i="3"/>
  <c r="C5" i="5" s="1"/>
  <c r="A10" i="3"/>
  <c r="A5" i="5" s="1"/>
  <c r="BV9" i="3"/>
  <c r="BU9" i="3"/>
  <c r="BT9" i="3"/>
  <c r="BS9" i="3"/>
  <c r="BR9" i="3"/>
  <c r="BQ9" i="3"/>
  <c r="BP9" i="3"/>
  <c r="BO9" i="3"/>
  <c r="BN9" i="3"/>
  <c r="BM9" i="3"/>
  <c r="BL9" i="3"/>
  <c r="BK9" i="3"/>
  <c r="BJ9" i="3"/>
  <c r="BI9" i="3"/>
  <c r="BH9" i="3"/>
  <c r="BG9" i="3"/>
  <c r="BF9" i="3"/>
  <c r="BE9" i="3"/>
  <c r="BD9" i="3"/>
  <c r="BC9" i="3"/>
  <c r="BB9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I9" i="3"/>
  <c r="P17" i="5" s="1"/>
  <c r="H9" i="3"/>
  <c r="G9" i="3"/>
  <c r="F9" i="3"/>
  <c r="E9" i="3"/>
  <c r="E17" i="5" s="1"/>
  <c r="D9" i="3"/>
  <c r="D17" i="5" s="1"/>
  <c r="C9" i="3"/>
  <c r="A9" i="3"/>
  <c r="A17" i="5" s="1"/>
  <c r="BV8" i="3"/>
  <c r="BU8" i="3"/>
  <c r="BT8" i="3"/>
  <c r="BS8" i="3"/>
  <c r="BR8" i="3"/>
  <c r="BQ8" i="3"/>
  <c r="BP8" i="3"/>
  <c r="BO8" i="3"/>
  <c r="BN8" i="3"/>
  <c r="BM8" i="3"/>
  <c r="BL8" i="3"/>
  <c r="BK8" i="3"/>
  <c r="BJ8" i="3"/>
  <c r="BI8" i="3"/>
  <c r="BH8" i="3"/>
  <c r="BG8" i="3"/>
  <c r="BF8" i="3"/>
  <c r="BE8" i="3"/>
  <c r="BD8" i="3"/>
  <c r="BC8" i="3"/>
  <c r="BB8" i="3"/>
  <c r="BA8" i="3"/>
  <c r="AZ8" i="3"/>
  <c r="AY8" i="3"/>
  <c r="AX8" i="3"/>
  <c r="AW8" i="3"/>
  <c r="Q8" i="3" s="1"/>
  <c r="M18" i="5" s="1" a="1"/>
  <c r="M18" i="5" s="1"/>
  <c r="AV8" i="3"/>
  <c r="AU8" i="3"/>
  <c r="AT8" i="3"/>
  <c r="AS8" i="3"/>
  <c r="AR8" i="3"/>
  <c r="AQ8" i="3"/>
  <c r="AP8" i="3"/>
  <c r="AO8" i="3"/>
  <c r="AN8" i="3"/>
  <c r="AM8" i="3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I8" i="3"/>
  <c r="P18" i="5" s="1"/>
  <c r="H8" i="3"/>
  <c r="G8" i="3"/>
  <c r="F8" i="3"/>
  <c r="E8" i="3"/>
  <c r="E18" i="5" s="1"/>
  <c r="D8" i="3"/>
  <c r="D18" i="5" s="1"/>
  <c r="C8" i="3"/>
  <c r="C18" i="5" s="1"/>
  <c r="A8" i="3"/>
  <c r="A18" i="5" s="1"/>
  <c r="BV7" i="3"/>
  <c r="BU7" i="3"/>
  <c r="BT7" i="3"/>
  <c r="BS7" i="3"/>
  <c r="BR7" i="3"/>
  <c r="BQ7" i="3"/>
  <c r="BP7" i="3"/>
  <c r="BO7" i="3"/>
  <c r="BN7" i="3"/>
  <c r="BM7" i="3"/>
  <c r="BL7" i="3"/>
  <c r="BK7" i="3"/>
  <c r="BJ7" i="3"/>
  <c r="BI7" i="3"/>
  <c r="BH7" i="3"/>
  <c r="BG7" i="3"/>
  <c r="BF7" i="3"/>
  <c r="BE7" i="3"/>
  <c r="BD7" i="3"/>
  <c r="BC7" i="3"/>
  <c r="BB7" i="3"/>
  <c r="BA7" i="3"/>
  <c r="AZ7" i="3"/>
  <c r="AY7" i="3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I7" i="3"/>
  <c r="P4" i="5" s="1"/>
  <c r="H7" i="3"/>
  <c r="G7" i="3"/>
  <c r="F7" i="3"/>
  <c r="E7" i="3"/>
  <c r="E4" i="5" s="1"/>
  <c r="D7" i="3"/>
  <c r="D4" i="5" s="1"/>
  <c r="C7" i="3"/>
  <c r="C4" i="5" s="1"/>
  <c r="A7" i="3"/>
  <c r="A4" i="5" s="1"/>
  <c r="BV6" i="3"/>
  <c r="BU6" i="3"/>
  <c r="BT6" i="3"/>
  <c r="BS6" i="3"/>
  <c r="BR6" i="3"/>
  <c r="BQ6" i="3"/>
  <c r="BP6" i="3"/>
  <c r="BO6" i="3"/>
  <c r="BN6" i="3"/>
  <c r="BM6" i="3"/>
  <c r="BL6" i="3"/>
  <c r="BK6" i="3"/>
  <c r="BJ6" i="3"/>
  <c r="BI6" i="3"/>
  <c r="BH6" i="3"/>
  <c r="BG6" i="3"/>
  <c r="BF6" i="3"/>
  <c r="BE6" i="3"/>
  <c r="BD6" i="3"/>
  <c r="BC6" i="3"/>
  <c r="BB6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I6" i="3"/>
  <c r="P9" i="5" s="1"/>
  <c r="H6" i="3"/>
  <c r="G6" i="3"/>
  <c r="F6" i="3"/>
  <c r="E6" i="3"/>
  <c r="E9" i="5" s="1"/>
  <c r="D6" i="3"/>
  <c r="D9" i="5" s="1"/>
  <c r="C6" i="3"/>
  <c r="C9" i="5" s="1"/>
  <c r="A6" i="3"/>
  <c r="BV5" i="3"/>
  <c r="BU5" i="3"/>
  <c r="BT5" i="3"/>
  <c r="BS5" i="3"/>
  <c r="BR5" i="3"/>
  <c r="BQ5" i="3"/>
  <c r="BP5" i="3"/>
  <c r="BO5" i="3"/>
  <c r="BN5" i="3"/>
  <c r="BM5" i="3"/>
  <c r="BL5" i="3"/>
  <c r="BK5" i="3"/>
  <c r="BJ5" i="3"/>
  <c r="BI5" i="3"/>
  <c r="BH5" i="3"/>
  <c r="BG5" i="3"/>
  <c r="BF5" i="3"/>
  <c r="BE5" i="3"/>
  <c r="BD5" i="3"/>
  <c r="BC5" i="3"/>
  <c r="BB5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L5" i="3"/>
  <c r="H12" i="5" s="1" a="1"/>
  <c r="H12" i="5" s="1"/>
  <c r="I5" i="3"/>
  <c r="P12" i="5" s="1"/>
  <c r="H5" i="3"/>
  <c r="G5" i="3"/>
  <c r="F5" i="3"/>
  <c r="E5" i="3"/>
  <c r="E12" i="5" s="1"/>
  <c r="D5" i="3"/>
  <c r="D12" i="5" s="1"/>
  <c r="C5" i="3"/>
  <c r="C12" i="5" s="1"/>
  <c r="B12" i="5" s="1"/>
  <c r="A5" i="3"/>
  <c r="A12" i="5" s="1"/>
  <c r="BV4" i="3"/>
  <c r="BU4" i="3"/>
  <c r="BT4" i="3"/>
  <c r="BS4" i="3"/>
  <c r="BR4" i="3"/>
  <c r="BQ4" i="3"/>
  <c r="BP4" i="3"/>
  <c r="BO4" i="3"/>
  <c r="BN4" i="3"/>
  <c r="BM4" i="3"/>
  <c r="BL4" i="3"/>
  <c r="BK4" i="3"/>
  <c r="BJ4" i="3"/>
  <c r="BI4" i="3"/>
  <c r="BH4" i="3"/>
  <c r="BG4" i="3"/>
  <c r="BF4" i="3"/>
  <c r="BE4" i="3"/>
  <c r="BD4" i="3"/>
  <c r="BC4" i="3"/>
  <c r="BB4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I4" i="3"/>
  <c r="P3" i="5" s="1"/>
  <c r="H4" i="3"/>
  <c r="G4" i="3"/>
  <c r="F4" i="3"/>
  <c r="E4" i="3"/>
  <c r="E3" i="5" s="1"/>
  <c r="D4" i="3"/>
  <c r="D3" i="5" s="1"/>
  <c r="C4" i="3"/>
  <c r="C3" i="5" s="1"/>
  <c r="B3" i="5" s="1"/>
  <c r="A4" i="3"/>
  <c r="A3" i="5" s="1"/>
  <c r="BV3" i="3"/>
  <c r="BU3" i="3"/>
  <c r="BT3" i="3"/>
  <c r="BS3" i="3"/>
  <c r="BR3" i="3"/>
  <c r="BQ3" i="3"/>
  <c r="BP3" i="3"/>
  <c r="BO3" i="3"/>
  <c r="BN3" i="3"/>
  <c r="BM3" i="3"/>
  <c r="BL3" i="3"/>
  <c r="BK3" i="3"/>
  <c r="BJ3" i="3"/>
  <c r="BI3" i="3"/>
  <c r="BH3" i="3"/>
  <c r="BG3" i="3"/>
  <c r="BF3" i="3"/>
  <c r="BE3" i="3"/>
  <c r="BD3" i="3"/>
  <c r="BC3" i="3"/>
  <c r="BB3" i="3"/>
  <c r="BA3" i="3"/>
  <c r="AZ3" i="3"/>
  <c r="AY3" i="3"/>
  <c r="AX3" i="3"/>
  <c r="AW3" i="3"/>
  <c r="AV3" i="3"/>
  <c r="AU3" i="3"/>
  <c r="AT3" i="3"/>
  <c r="AS3" i="3"/>
  <c r="AR3" i="3"/>
  <c r="AQ3" i="3"/>
  <c r="AP3" i="3"/>
  <c r="AO3" i="3"/>
  <c r="AN3" i="3"/>
  <c r="AM3" i="3"/>
  <c r="AL3" i="3"/>
  <c r="AK3" i="3"/>
  <c r="AJ3" i="3"/>
  <c r="AI3" i="3"/>
  <c r="AH3" i="3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I3" i="3"/>
  <c r="P36" i="5" s="1"/>
  <c r="H3" i="3"/>
  <c r="G3" i="3"/>
  <c r="F3" i="3"/>
  <c r="E3" i="3"/>
  <c r="E36" i="5" s="1"/>
  <c r="D3" i="3"/>
  <c r="D36" i="5" s="1"/>
  <c r="C3" i="3"/>
  <c r="C36" i="5" s="1"/>
  <c r="B36" i="5" s="1"/>
  <c r="A3" i="3"/>
  <c r="BV2" i="3"/>
  <c r="BU2" i="3"/>
  <c r="BT2" i="3"/>
  <c r="BS2" i="3"/>
  <c r="BR2" i="3"/>
  <c r="BQ2" i="3"/>
  <c r="BP2" i="3"/>
  <c r="BO2" i="3"/>
  <c r="BN2" i="3"/>
  <c r="BM2" i="3"/>
  <c r="BL2" i="3"/>
  <c r="BK2" i="3"/>
  <c r="BJ2" i="3"/>
  <c r="BI2" i="3"/>
  <c r="BH2" i="3"/>
  <c r="BG2" i="3"/>
  <c r="BF2" i="3"/>
  <c r="BE2" i="3"/>
  <c r="BD2" i="3"/>
  <c r="BC2" i="3"/>
  <c r="BB2" i="3"/>
  <c r="BA2" i="3"/>
  <c r="AZ2" i="3"/>
  <c r="AY2" i="3"/>
  <c r="AX2" i="3"/>
  <c r="AW2" i="3"/>
  <c r="AV2" i="3"/>
  <c r="AU2" i="3"/>
  <c r="AT2" i="3"/>
  <c r="AS2" i="3"/>
  <c r="AR2" i="3"/>
  <c r="AQ2" i="3"/>
  <c r="AP2" i="3"/>
  <c r="AO2" i="3"/>
  <c r="AN2" i="3"/>
  <c r="AM2" i="3"/>
  <c r="AL2" i="3"/>
  <c r="AK2" i="3"/>
  <c r="AJ2" i="3"/>
  <c r="AI2" i="3"/>
  <c r="AH2" i="3"/>
  <c r="AG2" i="3"/>
  <c r="AF2" i="3"/>
  <c r="AE2" i="3"/>
  <c r="AD2" i="3"/>
  <c r="AC2" i="3"/>
  <c r="AB2" i="3"/>
  <c r="AA2" i="3"/>
  <c r="Z2" i="3"/>
  <c r="Y2" i="3"/>
  <c r="X2" i="3"/>
  <c r="W2" i="3"/>
  <c r="V2" i="3"/>
  <c r="U2" i="3"/>
  <c r="T2" i="3"/>
  <c r="S2" i="3"/>
  <c r="J2" i="3" s="1"/>
  <c r="I2" i="3"/>
  <c r="H2" i="3"/>
  <c r="G2" i="3"/>
  <c r="F2" i="3"/>
  <c r="E2" i="3"/>
  <c r="D2" i="3"/>
  <c r="C2" i="3"/>
  <c r="A2" i="3"/>
  <c r="O40" i="3" l="1"/>
  <c r="K37" i="5" s="1" a="1"/>
  <c r="K37" i="5" s="1"/>
  <c r="Q36" i="3"/>
  <c r="M27" i="5" s="1" a="1"/>
  <c r="M27" i="5" s="1"/>
  <c r="O56" i="3"/>
  <c r="K20" i="5" s="1" a="1"/>
  <c r="K20" i="5" s="1"/>
  <c r="Q9" i="3"/>
  <c r="M17" i="5" s="1" a="1"/>
  <c r="M17" i="5" s="1"/>
  <c r="P24" i="3"/>
  <c r="L56" i="5" s="1" a="1"/>
  <c r="L56" i="5" s="1"/>
  <c r="R80" i="3"/>
  <c r="N79" i="5" s="1" a="1"/>
  <c r="N79" i="5" s="1"/>
  <c r="P8" i="3"/>
  <c r="L18" i="5" s="1" a="1"/>
  <c r="L18" i="5" s="1"/>
  <c r="N29" i="3"/>
  <c r="J21" i="5" s="1" a="1"/>
  <c r="J21" i="5" s="1"/>
  <c r="L26" i="3"/>
  <c r="H22" i="5" s="1" a="1"/>
  <c r="H22" i="5" s="1"/>
  <c r="N20" i="3"/>
  <c r="J10" i="5" s="1" a="1"/>
  <c r="J10" i="5" s="1"/>
  <c r="L76" i="3"/>
  <c r="H75" i="5" s="1" a="1"/>
  <c r="H75" i="5" s="1"/>
  <c r="R29" i="3"/>
  <c r="N21" i="5" s="1" a="1"/>
  <c r="N21" i="5" s="1"/>
  <c r="N34" i="3"/>
  <c r="J46" i="5" s="1" a="1"/>
  <c r="J46" i="5" s="1"/>
  <c r="K72" i="3"/>
  <c r="G69" i="5" s="1" a="1"/>
  <c r="G69" i="5" s="1"/>
  <c r="B40" i="5"/>
  <c r="B79" i="5"/>
  <c r="K51" i="3"/>
  <c r="G47" i="5" s="1" a="1"/>
  <c r="G47" i="5" s="1"/>
  <c r="B87" i="5"/>
  <c r="B22" i="5"/>
  <c r="M5" i="3"/>
  <c r="I12" i="5" s="1" a="1"/>
  <c r="I12" i="5" s="1"/>
  <c r="B18" i="5"/>
  <c r="Q50" i="3"/>
  <c r="M42" i="5" s="1" a="1"/>
  <c r="M42" i="5" s="1"/>
  <c r="L2" i="3"/>
  <c r="B38" i="5"/>
  <c r="B7" i="5"/>
  <c r="B14" i="5"/>
  <c r="J81" i="3"/>
  <c r="F80" i="5" s="1" a="1"/>
  <c r="F80" i="5" s="1"/>
  <c r="K21" i="3"/>
  <c r="G26" i="5" s="1" a="1"/>
  <c r="G26" i="5" s="1"/>
  <c r="O48" i="3"/>
  <c r="K28" i="5" s="1" a="1"/>
  <c r="K28" i="5" s="1"/>
  <c r="O12" i="3"/>
  <c r="K6" i="5" s="1" a="1"/>
  <c r="K6" i="5" s="1"/>
  <c r="L73" i="3"/>
  <c r="H58" i="5" s="1" a="1"/>
  <c r="H58" i="5" s="1"/>
  <c r="K67" i="3"/>
  <c r="G64" i="5" s="1" a="1"/>
  <c r="G64" i="5" s="1"/>
  <c r="AB39" i="5"/>
  <c r="Q86" i="3"/>
  <c r="M85" i="5" s="1" a="1"/>
  <c r="M85" i="5" s="1"/>
  <c r="L94" i="3"/>
  <c r="H93" i="5" s="1" a="1"/>
  <c r="H93" i="5" s="1"/>
  <c r="B68" i="5"/>
  <c r="P70" i="3"/>
  <c r="L67" i="5" s="1" a="1"/>
  <c r="L67" i="5" s="1"/>
  <c r="L88" i="3"/>
  <c r="H87" i="5" s="1" a="1"/>
  <c r="H87" i="5" s="1"/>
  <c r="R89" i="3"/>
  <c r="N88" i="5" s="1" a="1"/>
  <c r="N88" i="5" s="1"/>
  <c r="B21" i="5"/>
  <c r="B9" i="5"/>
  <c r="B4" i="5"/>
  <c r="B15" i="5"/>
  <c r="B2" i="5"/>
  <c r="B8" i="5"/>
  <c r="N61" i="3"/>
  <c r="J66" i="5" s="1" a="1"/>
  <c r="J66" i="5" s="1"/>
  <c r="K10" i="3"/>
  <c r="G5" i="5" s="1" a="1"/>
  <c r="G5" i="5" s="1"/>
  <c r="P60" i="3"/>
  <c r="L70" i="5" s="1" a="1"/>
  <c r="L70" i="5" s="1"/>
  <c r="B41" i="5"/>
  <c r="N12" i="3"/>
  <c r="J6" i="5" s="1" a="1"/>
  <c r="J6" i="5" s="1"/>
  <c r="B26" i="5"/>
  <c r="B11" i="5"/>
  <c r="B56" i="5"/>
  <c r="B6" i="5"/>
  <c r="L20" i="3"/>
  <c r="H10" i="5" s="1" a="1"/>
  <c r="H10" i="5" s="1"/>
  <c r="J30" i="3"/>
  <c r="F16" i="5" s="1" a="1"/>
  <c r="F16" i="5" s="1"/>
  <c r="P99" i="3"/>
  <c r="L98" i="5" s="1" a="1"/>
  <c r="L98" i="5" s="1"/>
  <c r="M3" i="3"/>
  <c r="I36" i="5" s="1" a="1"/>
  <c r="I36" i="5" s="1"/>
  <c r="Q49" i="3"/>
  <c r="M50" i="5" s="1" a="1"/>
  <c r="M50" i="5" s="1"/>
  <c r="R62" i="3"/>
  <c r="N72" i="5" s="1" a="1"/>
  <c r="N72" i="5" s="1"/>
  <c r="M44" i="3"/>
  <c r="I34" i="5" s="1" a="1"/>
  <c r="I34" i="5" s="1"/>
  <c r="B57" i="5"/>
  <c r="O5" i="3"/>
  <c r="K12" i="5" s="1" a="1"/>
  <c r="K12" i="5" s="1"/>
  <c r="M29" i="3"/>
  <c r="I21" i="5" s="1" a="1"/>
  <c r="I21" i="5" s="1"/>
  <c r="B74" i="5"/>
  <c r="K44" i="3"/>
  <c r="G34" i="5" s="1" a="1"/>
  <c r="G34" i="5" s="1"/>
  <c r="B66" i="5"/>
  <c r="B72" i="5"/>
  <c r="B62" i="5"/>
  <c r="B64" i="5"/>
  <c r="B59" i="5"/>
  <c r="B67" i="5"/>
  <c r="J47" i="3"/>
  <c r="K57" i="3"/>
  <c r="G24" i="5" s="1" a="1"/>
  <c r="G24" i="5" s="1"/>
  <c r="O24" i="5" s="1"/>
  <c r="N42" i="3"/>
  <c r="J31" i="5" s="1" a="1"/>
  <c r="J31" i="5" s="1"/>
  <c r="P72" i="3"/>
  <c r="L69" i="5" s="1" a="1"/>
  <c r="L69" i="5" s="1"/>
  <c r="O99" i="3"/>
  <c r="K98" i="5" s="1" a="1"/>
  <c r="K98" i="5" s="1"/>
  <c r="AC40" i="5"/>
  <c r="Q16" i="3"/>
  <c r="M2" i="5" s="1" a="1"/>
  <c r="M2" i="5" s="1"/>
  <c r="R16" i="3"/>
  <c r="N2" i="5" s="1" a="1"/>
  <c r="N2" i="5" s="1"/>
  <c r="P16" i="3"/>
  <c r="L2" i="5" s="1" a="1"/>
  <c r="L2" i="5" s="1"/>
  <c r="O16" i="3"/>
  <c r="K2" i="5" s="1" a="1"/>
  <c r="K2" i="5" s="1"/>
  <c r="N16" i="3"/>
  <c r="J2" i="5" s="1" a="1"/>
  <c r="J2" i="5" s="1"/>
  <c r="J16" i="3"/>
  <c r="P17" i="3"/>
  <c r="L8" i="5" s="1" a="1"/>
  <c r="L8" i="5" s="1"/>
  <c r="O17" i="3"/>
  <c r="K8" i="5" s="1" a="1"/>
  <c r="K8" i="5" s="1"/>
  <c r="N17" i="3"/>
  <c r="J8" i="5" s="1" a="1"/>
  <c r="J8" i="5" s="1"/>
  <c r="M17" i="3"/>
  <c r="I8" i="5" s="1" a="1"/>
  <c r="I8" i="5" s="1"/>
  <c r="L17" i="3"/>
  <c r="H8" i="5" s="1" a="1"/>
  <c r="H8" i="5" s="1"/>
  <c r="Q17" i="3"/>
  <c r="M8" i="5" s="1" a="1"/>
  <c r="M8" i="5" s="1"/>
  <c r="J17" i="3"/>
  <c r="R18" i="3"/>
  <c r="N13" i="5" s="1" a="1"/>
  <c r="N13" i="5" s="1"/>
  <c r="O18" i="3"/>
  <c r="K13" i="5" s="1" a="1"/>
  <c r="K13" i="5" s="1"/>
  <c r="Q18" i="3"/>
  <c r="M13" i="5" s="1" a="1"/>
  <c r="M13" i="5" s="1"/>
  <c r="P18" i="3"/>
  <c r="L13" i="5" s="1" a="1"/>
  <c r="L13" i="5" s="1"/>
  <c r="N18" i="3"/>
  <c r="J13" i="5" s="1" a="1"/>
  <c r="J13" i="5" s="1"/>
  <c r="M18" i="3"/>
  <c r="I13" i="5" s="1" a="1"/>
  <c r="I13" i="5" s="1"/>
  <c r="L18" i="3"/>
  <c r="H13" i="5" s="1" a="1"/>
  <c r="H13" i="5" s="1"/>
  <c r="K18" i="3"/>
  <c r="G13" i="5" s="1" a="1"/>
  <c r="G13" i="5" s="1"/>
  <c r="L69" i="3"/>
  <c r="H57" i="5" s="1" a="1"/>
  <c r="H57" i="5" s="1"/>
  <c r="J69" i="3"/>
  <c r="M2" i="3"/>
  <c r="Q46" i="3"/>
  <c r="M51" i="5" s="1" a="1"/>
  <c r="M51" i="5" s="1"/>
  <c r="P46" i="3"/>
  <c r="L51" i="5" s="1" a="1"/>
  <c r="L51" i="5" s="1"/>
  <c r="O46" i="3"/>
  <c r="K51" i="5" s="1" a="1"/>
  <c r="K51" i="5" s="1"/>
  <c r="N46" i="3"/>
  <c r="J51" i="5" s="1" a="1"/>
  <c r="J51" i="5" s="1"/>
  <c r="M46" i="3"/>
  <c r="I51" i="5" s="1" a="1"/>
  <c r="I51" i="5" s="1"/>
  <c r="L46" i="3"/>
  <c r="H51" i="5" s="1" a="1"/>
  <c r="H51" i="5" s="1"/>
  <c r="R46" i="3"/>
  <c r="N51" i="5" s="1" a="1"/>
  <c r="N51" i="5" s="1"/>
  <c r="K46" i="3"/>
  <c r="G51" i="5" s="1" a="1"/>
  <c r="G51" i="5" s="1"/>
  <c r="J46" i="3"/>
  <c r="Q2" i="3"/>
  <c r="Q20" i="3"/>
  <c r="M10" i="5" s="1" a="1"/>
  <c r="M10" i="5" s="1"/>
  <c r="R20" i="3"/>
  <c r="N10" i="5" s="1" a="1"/>
  <c r="N10" i="5" s="1"/>
  <c r="P20" i="3"/>
  <c r="L10" i="5" s="1" a="1"/>
  <c r="L10" i="5" s="1"/>
  <c r="O20" i="3"/>
  <c r="K10" i="5" s="1" a="1"/>
  <c r="K10" i="5" s="1"/>
  <c r="K20" i="3"/>
  <c r="G10" i="5" s="1" a="1"/>
  <c r="G10" i="5" s="1"/>
  <c r="J20" i="3"/>
  <c r="P80" i="3"/>
  <c r="L79" i="5" s="1" a="1"/>
  <c r="L79" i="5" s="1"/>
  <c r="V27" i="5"/>
  <c r="O49" i="3"/>
  <c r="K50" i="5" s="1" a="1"/>
  <c r="K50" i="5" s="1"/>
  <c r="O24" i="3"/>
  <c r="K56" i="5" s="1" a="1"/>
  <c r="K56" i="5" s="1"/>
  <c r="J80" i="3"/>
  <c r="M80" i="3"/>
  <c r="I79" i="5" s="1" a="1"/>
  <c r="I79" i="5" s="1"/>
  <c r="K80" i="3"/>
  <c r="G79" i="5" s="1" a="1"/>
  <c r="G79" i="5" s="1"/>
  <c r="L80" i="3"/>
  <c r="H79" i="5" s="1" a="1"/>
  <c r="H79" i="5" s="1"/>
  <c r="N80" i="3"/>
  <c r="J79" i="5" s="1" a="1"/>
  <c r="J79" i="5" s="1"/>
  <c r="R49" i="3"/>
  <c r="N50" i="5" s="1" a="1"/>
  <c r="N50" i="5" s="1"/>
  <c r="AI39" i="5"/>
  <c r="AH39" i="5"/>
  <c r="AG39" i="5"/>
  <c r="L49" i="3"/>
  <c r="H50" i="5" s="1" a="1"/>
  <c r="H50" i="5" s="1"/>
  <c r="M49" i="3"/>
  <c r="I50" i="5" s="1" a="1"/>
  <c r="I50" i="5" s="1"/>
  <c r="K49" i="3"/>
  <c r="G50" i="5" s="1" a="1"/>
  <c r="G50" i="5" s="1"/>
  <c r="J49" i="3"/>
  <c r="O52" i="3"/>
  <c r="K44" i="5" s="1" a="1"/>
  <c r="K44" i="5" s="1"/>
  <c r="N52" i="3"/>
  <c r="J44" i="5" s="1" a="1"/>
  <c r="J44" i="5" s="1"/>
  <c r="P52" i="3"/>
  <c r="L44" i="5" s="1" a="1"/>
  <c r="L44" i="5" s="1"/>
  <c r="K2" i="3"/>
  <c r="F52" i="5" a="1"/>
  <c r="F52" i="5" s="1"/>
  <c r="N19" i="3"/>
  <c r="J23" i="5" s="1" a="1"/>
  <c r="J23" i="5" s="1"/>
  <c r="L19" i="3"/>
  <c r="H23" i="5" s="1" a="1"/>
  <c r="H23" i="5" s="1"/>
  <c r="R19" i="3"/>
  <c r="N23" i="5" s="1" a="1"/>
  <c r="N23" i="5" s="1"/>
  <c r="Q80" i="3"/>
  <c r="M79" i="5" s="1" a="1"/>
  <c r="M79" i="5" s="1"/>
  <c r="U34" i="5"/>
  <c r="AA39" i="5"/>
  <c r="P49" i="3"/>
  <c r="L50" i="5" s="1" a="1"/>
  <c r="L50" i="5" s="1"/>
  <c r="N5" i="3"/>
  <c r="J12" i="5" s="1" a="1"/>
  <c r="J12" i="5" s="1"/>
  <c r="AC39" i="5"/>
  <c r="K4" i="3"/>
  <c r="G3" i="5" s="1" a="1"/>
  <c r="G3" i="5" s="1"/>
  <c r="J4" i="3"/>
  <c r="P5" i="3"/>
  <c r="L12" i="5" s="1" a="1"/>
  <c r="L12" i="5" s="1"/>
  <c r="Q5" i="3"/>
  <c r="M12" i="5" s="1" a="1"/>
  <c r="M12" i="5" s="1"/>
  <c r="M26" i="3"/>
  <c r="I22" i="5" s="1" a="1"/>
  <c r="I22" i="5" s="1"/>
  <c r="P47" i="3"/>
  <c r="L52" i="5" s="1" a="1"/>
  <c r="L52" i="5" s="1"/>
  <c r="N47" i="3"/>
  <c r="J52" i="5" s="1" a="1"/>
  <c r="J52" i="5" s="1"/>
  <c r="L47" i="3"/>
  <c r="H52" i="5" s="1" a="1"/>
  <c r="H52" i="5" s="1"/>
  <c r="R47" i="3"/>
  <c r="N52" i="5" s="1" a="1"/>
  <c r="N52" i="5" s="1"/>
  <c r="Q47" i="3"/>
  <c r="M52" i="5" s="1" a="1"/>
  <c r="M52" i="5" s="1"/>
  <c r="O47" i="3"/>
  <c r="K52" i="5" s="1" a="1"/>
  <c r="K52" i="5" s="1"/>
  <c r="M47" i="3"/>
  <c r="I52" i="5" s="1" a="1"/>
  <c r="I52" i="5" s="1"/>
  <c r="R50" i="3"/>
  <c r="N42" i="5" s="1" a="1"/>
  <c r="N42" i="5" s="1"/>
  <c r="B20" i="5"/>
  <c r="R5" i="3"/>
  <c r="N12" i="5" s="1" a="1"/>
  <c r="N12" i="5" s="1"/>
  <c r="R55" i="3"/>
  <c r="N43" i="5" s="1" a="1"/>
  <c r="N43" i="5" s="1"/>
  <c r="Q55" i="3"/>
  <c r="M43" i="5" s="1" a="1"/>
  <c r="M43" i="5" s="1"/>
  <c r="O55" i="3"/>
  <c r="K43" i="5" s="1" a="1"/>
  <c r="K43" i="5" s="1"/>
  <c r="K55" i="3"/>
  <c r="G43" i="5" s="1" a="1"/>
  <c r="G43" i="5" s="1"/>
  <c r="P55" i="3"/>
  <c r="L43" i="5" s="1" a="1"/>
  <c r="L43" i="5" s="1"/>
  <c r="N55" i="3"/>
  <c r="J43" i="5" s="1" a="1"/>
  <c r="J43" i="5" s="1"/>
  <c r="L55" i="3"/>
  <c r="H43" i="5" s="1" a="1"/>
  <c r="H43" i="5" s="1"/>
  <c r="M55" i="3"/>
  <c r="I43" i="5" s="1" a="1"/>
  <c r="I43" i="5" s="1"/>
  <c r="J55" i="3"/>
  <c r="J56" i="3"/>
  <c r="O85" i="3"/>
  <c r="K84" i="5" s="1" a="1"/>
  <c r="K84" i="5" s="1"/>
  <c r="N85" i="3"/>
  <c r="J84" i="5" s="1" a="1"/>
  <c r="J84" i="5" s="1"/>
  <c r="M85" i="3"/>
  <c r="I84" i="5" s="1" a="1"/>
  <c r="I84" i="5" s="1"/>
  <c r="L85" i="3"/>
  <c r="H84" i="5" s="1" a="1"/>
  <c r="H84" i="5" s="1"/>
  <c r="K85" i="3"/>
  <c r="G84" i="5" s="1" a="1"/>
  <c r="G84" i="5" s="1"/>
  <c r="Q85" i="3"/>
  <c r="M84" i="5" s="1" a="1"/>
  <c r="M84" i="5" s="1"/>
  <c r="P85" i="3"/>
  <c r="L84" i="5" s="1" a="1"/>
  <c r="L84" i="5" s="1"/>
  <c r="J85" i="3"/>
  <c r="J86" i="3"/>
  <c r="M97" i="3"/>
  <c r="I96" i="5" s="1" a="1"/>
  <c r="I96" i="5" s="1"/>
  <c r="M43" i="3"/>
  <c r="I48" i="5" s="1" a="1"/>
  <c r="I48" i="5" s="1"/>
  <c r="N43" i="3"/>
  <c r="J48" i="5" s="1" a="1"/>
  <c r="J48" i="5" s="1"/>
  <c r="L43" i="3"/>
  <c r="H48" i="5" s="1" a="1"/>
  <c r="H48" i="5" s="1"/>
  <c r="R43" i="3"/>
  <c r="N48" i="5" s="1" a="1"/>
  <c r="N48" i="5" s="1"/>
  <c r="Q43" i="3"/>
  <c r="M48" i="5" s="1" a="1"/>
  <c r="M48" i="5" s="1"/>
  <c r="K43" i="3"/>
  <c r="G48" i="5" s="1" a="1"/>
  <c r="G48" i="5" s="1"/>
  <c r="J6" i="3"/>
  <c r="R6" i="3"/>
  <c r="N9" i="5" s="1" a="1"/>
  <c r="N9" i="5" s="1"/>
  <c r="M13" i="3"/>
  <c r="I15" i="5" s="1" a="1"/>
  <c r="I15" i="5" s="1"/>
  <c r="P13" i="3"/>
  <c r="L15" i="5" s="1" a="1"/>
  <c r="L15" i="5" s="1"/>
  <c r="O13" i="3"/>
  <c r="K15" i="5" s="1" a="1"/>
  <c r="K15" i="5" s="1"/>
  <c r="J21" i="3"/>
  <c r="U27" i="5"/>
  <c r="P37" i="3"/>
  <c r="L54" i="5" s="1" a="1"/>
  <c r="L54" i="5" s="1"/>
  <c r="Q68" i="3"/>
  <c r="M59" i="5" s="1" a="1"/>
  <c r="M59" i="5" s="1"/>
  <c r="R68" i="3"/>
  <c r="N59" i="5" s="1" a="1"/>
  <c r="N59" i="5" s="1"/>
  <c r="P68" i="3"/>
  <c r="L59" i="5" s="1" a="1"/>
  <c r="L59" i="5" s="1"/>
  <c r="R22" i="3"/>
  <c r="N11" i="5" s="1" a="1"/>
  <c r="N11" i="5" s="1"/>
  <c r="O79" i="3"/>
  <c r="K78" i="5" s="1" a="1"/>
  <c r="K78" i="5" s="1"/>
  <c r="N79" i="3"/>
  <c r="J78" i="5" s="1" a="1"/>
  <c r="J78" i="5" s="1"/>
  <c r="L79" i="3"/>
  <c r="H78" i="5" s="1" a="1"/>
  <c r="H78" i="5" s="1"/>
  <c r="M79" i="3"/>
  <c r="I78" i="5" s="1" a="1"/>
  <c r="I78" i="5" s="1"/>
  <c r="K79" i="3"/>
  <c r="G78" i="5" s="1" a="1"/>
  <c r="G78" i="5" s="1"/>
  <c r="P79" i="3"/>
  <c r="L78" i="5" s="1" a="1"/>
  <c r="L78" i="5" s="1"/>
  <c r="J79" i="3"/>
  <c r="K26" i="3"/>
  <c r="G22" i="5" s="1" a="1"/>
  <c r="G22" i="5" s="1"/>
  <c r="M41" i="3"/>
  <c r="I55" i="5" s="1" a="1"/>
  <c r="I55" i="5" s="1"/>
  <c r="J41" i="3"/>
  <c r="N41" i="3"/>
  <c r="J55" i="5" s="1" a="1"/>
  <c r="J55" i="5" s="1"/>
  <c r="N23" i="3"/>
  <c r="J29" i="5" s="1" a="1"/>
  <c r="J29" i="5" s="1"/>
  <c r="M23" i="3"/>
  <c r="I29" i="5" s="1" a="1"/>
  <c r="I29" i="5" s="1"/>
  <c r="Q23" i="3"/>
  <c r="M29" i="5" s="1" a="1"/>
  <c r="M29" i="5" s="1"/>
  <c r="L23" i="3"/>
  <c r="H29" i="5" s="1" a="1"/>
  <c r="H29" i="5" s="1"/>
  <c r="J23" i="3"/>
  <c r="K23" i="3"/>
  <c r="G29" i="5" s="1" a="1"/>
  <c r="G29" i="5" s="1"/>
  <c r="P23" i="3"/>
  <c r="L29" i="5" s="1" a="1"/>
  <c r="L29" i="5" s="1"/>
  <c r="O23" i="3"/>
  <c r="K29" i="5" s="1" a="1"/>
  <c r="K29" i="5" s="1"/>
  <c r="O25" i="3"/>
  <c r="K30" i="5" s="1" a="1"/>
  <c r="K30" i="5" s="1"/>
  <c r="N25" i="3"/>
  <c r="J30" i="5" s="1" a="1"/>
  <c r="J30" i="5" s="1"/>
  <c r="L25" i="3"/>
  <c r="H30" i="5" s="1" a="1"/>
  <c r="H30" i="5" s="1"/>
  <c r="K25" i="3"/>
  <c r="G30" i="5" s="1" a="1"/>
  <c r="G30" i="5" s="1"/>
  <c r="J25" i="3"/>
  <c r="P85" i="5"/>
  <c r="B85" i="5"/>
  <c r="P88" i="3"/>
  <c r="L87" i="5" s="1" a="1"/>
  <c r="L87" i="5" s="1"/>
  <c r="O86" i="3"/>
  <c r="K85" i="5" s="1" a="1"/>
  <c r="K85" i="5" s="1"/>
  <c r="Q73" i="3"/>
  <c r="M58" i="5" s="1" a="1"/>
  <c r="M58" i="5" s="1"/>
  <c r="AB40" i="5"/>
  <c r="K27" i="3"/>
  <c r="G41" i="5" s="1" a="1"/>
  <c r="G41" i="5" s="1"/>
  <c r="J27" i="3"/>
  <c r="O60" i="3"/>
  <c r="K70" i="5" s="1" a="1"/>
  <c r="K70" i="5" s="1"/>
  <c r="R9" i="3"/>
  <c r="N17" i="5" s="1" a="1"/>
  <c r="N17" i="5" s="1"/>
  <c r="K9" i="3"/>
  <c r="G17" i="5" s="1" a="1"/>
  <c r="G17" i="5" s="1"/>
  <c r="J9" i="3"/>
  <c r="P9" i="3"/>
  <c r="L17" i="5" s="1" a="1"/>
  <c r="L17" i="5" s="1"/>
  <c r="O9" i="3"/>
  <c r="K17" i="5" s="1" a="1"/>
  <c r="K17" i="5" s="1"/>
  <c r="N9" i="3"/>
  <c r="J17" i="5" s="1" a="1"/>
  <c r="J17" i="5" s="1"/>
  <c r="M9" i="3"/>
  <c r="I17" i="5" s="1" a="1"/>
  <c r="I17" i="5" s="1"/>
  <c r="L9" i="3"/>
  <c r="H17" i="5" s="1" a="1"/>
  <c r="H17" i="5" s="1"/>
  <c r="L37" i="3"/>
  <c r="H54" i="5" s="1" a="1"/>
  <c r="H54" i="5" s="1"/>
  <c r="K37" i="3"/>
  <c r="G54" i="5" s="1" a="1"/>
  <c r="G54" i="5" s="1"/>
  <c r="J37" i="3"/>
  <c r="AI40" i="5"/>
  <c r="L29" i="3"/>
  <c r="H21" i="5" s="1" a="1"/>
  <c r="H21" i="5" s="1"/>
  <c r="K29" i="3"/>
  <c r="G21" i="5" s="1" a="1"/>
  <c r="G21" i="5" s="1"/>
  <c r="J29" i="3"/>
  <c r="Q29" i="3"/>
  <c r="M21" i="5" s="1" a="1"/>
  <c r="M21" i="5" s="1"/>
  <c r="AI36" i="5"/>
  <c r="AH36" i="5"/>
  <c r="AG36" i="5"/>
  <c r="M61" i="3"/>
  <c r="I66" i="5" s="1" a="1"/>
  <c r="I66" i="5" s="1"/>
  <c r="R60" i="3"/>
  <c r="N70" i="5" s="1" a="1"/>
  <c r="N70" i="5" s="1"/>
  <c r="O8" i="3"/>
  <c r="K18" i="5" s="1" a="1"/>
  <c r="K18" i="5" s="1"/>
  <c r="O34" i="3"/>
  <c r="K46" i="5" s="1" a="1"/>
  <c r="K46" i="5" s="1"/>
  <c r="O94" i="3"/>
  <c r="K93" i="5" s="1" a="1"/>
  <c r="K93" i="5" s="1"/>
  <c r="P33" i="3"/>
  <c r="L39" i="5" s="1" a="1"/>
  <c r="L39" i="5" s="1"/>
  <c r="J33" i="3"/>
  <c r="R33" i="3"/>
  <c r="N39" i="5" s="1" a="1"/>
  <c r="N39" i="5" s="1"/>
  <c r="O33" i="3"/>
  <c r="K39" i="5" s="1" a="1"/>
  <c r="K39" i="5" s="1"/>
  <c r="K33" i="3"/>
  <c r="G39" i="5" s="1" a="1"/>
  <c r="G39" i="5" s="1"/>
  <c r="M68" i="3"/>
  <c r="I59" i="5" s="1" a="1"/>
  <c r="I59" i="5" s="1"/>
  <c r="M92" i="3"/>
  <c r="I91" i="5" s="1" a="1"/>
  <c r="I91" i="5" s="1"/>
  <c r="L92" i="3"/>
  <c r="H91" i="5" s="1" a="1"/>
  <c r="H91" i="5" s="1"/>
  <c r="K92" i="3"/>
  <c r="G91" i="5" s="1" a="1"/>
  <c r="G91" i="5" s="1"/>
  <c r="J92" i="3"/>
  <c r="N68" i="3"/>
  <c r="J59" i="5" s="1" a="1"/>
  <c r="J59" i="5" s="1"/>
  <c r="L13" i="3"/>
  <c r="H15" i="5" s="1" a="1"/>
  <c r="H15" i="5" s="1"/>
  <c r="K40" i="3"/>
  <c r="G37" i="5" s="1" a="1"/>
  <c r="G37" i="5" s="1"/>
  <c r="K90" i="3"/>
  <c r="G89" i="5" s="1" a="1"/>
  <c r="G89" i="5" s="1"/>
  <c r="F24" i="5" a="1"/>
  <c r="F24" i="5" s="1"/>
  <c r="K98" i="3"/>
  <c r="G97" i="5" s="1" a="1"/>
  <c r="G97" i="5" s="1"/>
  <c r="L98" i="3"/>
  <c r="H97" i="5" s="1" a="1"/>
  <c r="H97" i="5" s="1"/>
  <c r="J98" i="3"/>
  <c r="R21" i="3"/>
  <c r="N26" i="5" s="1" a="1"/>
  <c r="N26" i="5" s="1"/>
  <c r="W39" i="5" s="1"/>
  <c r="L21" i="3"/>
  <c r="H26" i="5" s="1" a="1"/>
  <c r="H26" i="5" s="1"/>
  <c r="P29" i="3"/>
  <c r="L21" i="5" s="1" a="1"/>
  <c r="L21" i="5" s="1"/>
  <c r="J10" i="3"/>
  <c r="Q60" i="3"/>
  <c r="M70" i="5" s="1" a="1"/>
  <c r="M70" i="5" s="1"/>
  <c r="M12" i="3"/>
  <c r="I6" i="5" s="1" a="1"/>
  <c r="I6" i="5" s="1"/>
  <c r="M34" i="3"/>
  <c r="I46" i="5" s="1" a="1"/>
  <c r="I46" i="5" s="1"/>
  <c r="R51" i="3"/>
  <c r="N47" i="5" s="1" a="1"/>
  <c r="N47" i="5" s="1"/>
  <c r="Q51" i="3"/>
  <c r="M47" i="5" s="1" a="1"/>
  <c r="M47" i="5" s="1"/>
  <c r="M94" i="3"/>
  <c r="I93" i="5" s="1" a="1"/>
  <c r="I93" i="5" s="1"/>
  <c r="N94" i="3"/>
  <c r="J93" i="5" s="1" a="1"/>
  <c r="J93" i="5" s="1"/>
  <c r="W42" i="5"/>
  <c r="J13" i="3"/>
  <c r="K13" i="3"/>
  <c r="G15" i="5" s="1" a="1"/>
  <c r="G15" i="5" s="1"/>
  <c r="J40" i="3"/>
  <c r="L40" i="3"/>
  <c r="H37" i="5" s="1" a="1"/>
  <c r="H37" i="5" s="1"/>
  <c r="N57" i="3"/>
  <c r="J24" i="5" s="1" a="1"/>
  <c r="J24" i="5" s="1"/>
  <c r="AA20" i="5"/>
  <c r="AC19" i="5"/>
  <c r="V32" i="5"/>
  <c r="U35" i="5"/>
  <c r="AC33" i="5"/>
  <c r="AC36" i="5"/>
  <c r="AC22" i="5"/>
  <c r="U22" i="5"/>
  <c r="AB36" i="5"/>
  <c r="AB19" i="5"/>
  <c r="V26" i="5"/>
  <c r="U26" i="5"/>
  <c r="AA36" i="5"/>
  <c r="AB26" i="5"/>
  <c r="W26" i="5"/>
  <c r="AH32" i="5"/>
  <c r="W28" i="5"/>
  <c r="AI37" i="5"/>
  <c r="V28" i="5"/>
  <c r="U28" i="5"/>
  <c r="AC34" i="5"/>
  <c r="W38" i="5"/>
  <c r="V39" i="5"/>
  <c r="V35" i="5"/>
  <c r="W35" i="5"/>
  <c r="AB18" i="5"/>
  <c r="AC18" i="5"/>
  <c r="U37" i="5"/>
  <c r="N10" i="3"/>
  <c r="J5" i="5" s="1" a="1"/>
  <c r="J5" i="5" s="1"/>
  <c r="M10" i="3"/>
  <c r="I5" i="5" s="1" a="1"/>
  <c r="I5" i="5" s="1"/>
  <c r="L10" i="3"/>
  <c r="H5" i="5" s="1" a="1"/>
  <c r="H5" i="5" s="1"/>
  <c r="O15" i="3"/>
  <c r="K14" i="5" s="1" a="1"/>
  <c r="K14" i="5" s="1"/>
  <c r="N15" i="3"/>
  <c r="J14" i="5" s="1" a="1"/>
  <c r="J14" i="5" s="1"/>
  <c r="J15" i="3"/>
  <c r="R15" i="3"/>
  <c r="N14" i="5" s="1" a="1"/>
  <c r="N14" i="5" s="1"/>
  <c r="AC20" i="5" s="1"/>
  <c r="M15" i="3"/>
  <c r="I14" i="5" s="1" a="1"/>
  <c r="I14" i="5" s="1"/>
  <c r="K15" i="3"/>
  <c r="G14" i="5" s="1" a="1"/>
  <c r="G14" i="5" s="1"/>
  <c r="M16" i="3"/>
  <c r="I2" i="5" s="1" a="1"/>
  <c r="I2" i="5" s="1"/>
  <c r="M40" i="3"/>
  <c r="I37" i="5" s="1" a="1"/>
  <c r="I37" i="5" s="1"/>
  <c r="R63" i="3"/>
  <c r="N61" i="5" s="1" a="1"/>
  <c r="N61" i="5" s="1"/>
  <c r="M63" i="3"/>
  <c r="I61" i="5" s="1" a="1"/>
  <c r="I61" i="5" s="1"/>
  <c r="L63" i="3"/>
  <c r="H61" i="5" s="1" a="1"/>
  <c r="H61" i="5" s="1"/>
  <c r="K63" i="3"/>
  <c r="G61" i="5" s="1" a="1"/>
  <c r="G61" i="5" s="1"/>
  <c r="J63" i="3"/>
  <c r="Q63" i="3"/>
  <c r="M61" i="5" s="1" a="1"/>
  <c r="M61" i="5" s="1"/>
  <c r="P63" i="3"/>
  <c r="L61" i="5" s="1" a="1"/>
  <c r="L61" i="5" s="1"/>
  <c r="O63" i="3"/>
  <c r="K61" i="5" s="1" a="1"/>
  <c r="K61" i="5" s="1"/>
  <c r="N63" i="3"/>
  <c r="J61" i="5" s="1" a="1"/>
  <c r="J61" i="5" s="1"/>
  <c r="N72" i="3"/>
  <c r="J69" i="5" s="1" a="1"/>
  <c r="J69" i="5" s="1"/>
  <c r="M84" i="3"/>
  <c r="I83" i="5" s="1" a="1"/>
  <c r="I83" i="5" s="1"/>
  <c r="K84" i="3"/>
  <c r="G83" i="5" s="1" a="1"/>
  <c r="G83" i="5" s="1"/>
  <c r="L84" i="3"/>
  <c r="H83" i="5" s="1" a="1"/>
  <c r="H83" i="5" s="1"/>
  <c r="F13" i="5" a="1"/>
  <c r="F13" i="5" s="1"/>
  <c r="B94" i="5"/>
  <c r="N40" i="3"/>
  <c r="J37" i="5" s="1" a="1"/>
  <c r="J37" i="5" s="1"/>
  <c r="R71" i="3"/>
  <c r="N65" i="5" s="1" a="1"/>
  <c r="N65" i="5" s="1"/>
  <c r="O72" i="3"/>
  <c r="K69" i="5" s="1" a="1"/>
  <c r="K69" i="5" s="1"/>
  <c r="J22" i="3"/>
  <c r="Q22" i="3"/>
  <c r="M11" i="5" s="1" a="1"/>
  <c r="M11" i="5" s="1"/>
  <c r="P22" i="3"/>
  <c r="L11" i="5" s="1" a="1"/>
  <c r="L11" i="5" s="1"/>
  <c r="R28" i="3"/>
  <c r="N40" i="5" s="1" a="1"/>
  <c r="N40" i="5" s="1"/>
  <c r="O28" i="3"/>
  <c r="K40" i="5" s="1" a="1"/>
  <c r="K40" i="5" s="1"/>
  <c r="L28" i="3"/>
  <c r="H40" i="5" s="1" a="1"/>
  <c r="H40" i="5" s="1"/>
  <c r="K28" i="3"/>
  <c r="G40" i="5" s="1" a="1"/>
  <c r="G40" i="5" s="1"/>
  <c r="J28" i="3"/>
  <c r="P28" i="3"/>
  <c r="L40" i="5" s="1" a="1"/>
  <c r="L40" i="5" s="1"/>
  <c r="N28" i="3"/>
  <c r="J40" i="5" s="1" a="1"/>
  <c r="J40" i="5" s="1"/>
  <c r="M28" i="3"/>
  <c r="I40" i="5" s="1" a="1"/>
  <c r="I40" i="5" s="1"/>
  <c r="Q28" i="3"/>
  <c r="M40" i="5" s="1" a="1"/>
  <c r="M40" i="5" s="1"/>
  <c r="O29" i="3"/>
  <c r="K21" i="5" s="1" a="1"/>
  <c r="K21" i="5" s="1"/>
  <c r="R56" i="3"/>
  <c r="N20" i="5" s="1" a="1"/>
  <c r="N20" i="5" s="1"/>
  <c r="Q56" i="3"/>
  <c r="M20" i="5" s="1" a="1"/>
  <c r="M20" i="5" s="1"/>
  <c r="P56" i="3"/>
  <c r="L20" i="5" s="1" a="1"/>
  <c r="L20" i="5" s="1"/>
  <c r="N56" i="3"/>
  <c r="J20" i="5" s="1" a="1"/>
  <c r="J20" i="5" s="1"/>
  <c r="L56" i="3"/>
  <c r="H20" i="5" s="1" a="1"/>
  <c r="H20" i="5" s="1"/>
  <c r="K56" i="3"/>
  <c r="G20" i="5" s="1" a="1"/>
  <c r="G20" i="5" s="1"/>
  <c r="M56" i="3"/>
  <c r="I20" i="5" s="1" a="1"/>
  <c r="I20" i="5" s="1"/>
  <c r="L82" i="3"/>
  <c r="H81" i="5" s="1" a="1"/>
  <c r="H81" i="5" s="1"/>
  <c r="K59" i="3"/>
  <c r="G63" i="5" s="1" a="1"/>
  <c r="G63" i="5" s="1"/>
  <c r="P59" i="3"/>
  <c r="L63" i="5" s="1" a="1"/>
  <c r="L63" i="5" s="1"/>
  <c r="O59" i="3"/>
  <c r="K63" i="5" s="1" a="1"/>
  <c r="K63" i="5" s="1"/>
  <c r="J59" i="3"/>
  <c r="M7" i="3"/>
  <c r="I4" i="5" s="1" a="1"/>
  <c r="I4" i="5" s="1"/>
  <c r="L7" i="3"/>
  <c r="H4" i="5" s="1" a="1"/>
  <c r="H4" i="5" s="1"/>
  <c r="K7" i="3"/>
  <c r="G4" i="5" s="1" a="1"/>
  <c r="G4" i="5" s="1"/>
  <c r="N7" i="3"/>
  <c r="J4" i="5" s="1" a="1"/>
  <c r="J4" i="5" s="1"/>
  <c r="M11" i="3"/>
  <c r="I38" i="5" s="1" a="1"/>
  <c r="I38" i="5" s="1"/>
  <c r="Q11" i="3"/>
  <c r="M38" i="5" s="1" a="1"/>
  <c r="M38" i="5" s="1"/>
  <c r="R11" i="3"/>
  <c r="N38" i="5" s="1" a="1"/>
  <c r="N38" i="5" s="1"/>
  <c r="P11" i="3"/>
  <c r="L38" i="5" s="1" a="1"/>
  <c r="L38" i="5" s="1"/>
  <c r="O11" i="3"/>
  <c r="K38" i="5" s="1" a="1"/>
  <c r="K38" i="5" s="1"/>
  <c r="L11" i="3"/>
  <c r="H38" i="5" s="1" a="1"/>
  <c r="H38" i="5" s="1"/>
  <c r="N11" i="3"/>
  <c r="J38" i="5" s="1" a="1"/>
  <c r="J38" i="5" s="1"/>
  <c r="R26" i="3"/>
  <c r="N22" i="5" s="1" a="1"/>
  <c r="N22" i="5" s="1"/>
  <c r="Q26" i="3"/>
  <c r="M22" i="5" s="1" a="1"/>
  <c r="M22" i="5" s="1"/>
  <c r="P26" i="3"/>
  <c r="L22" i="5" s="1" a="1"/>
  <c r="L22" i="5" s="1"/>
  <c r="O26" i="3"/>
  <c r="K22" i="5" s="1" a="1"/>
  <c r="K22" i="5" s="1"/>
  <c r="N26" i="3"/>
  <c r="J22" i="5" s="1" a="1"/>
  <c r="J22" i="5" s="1"/>
  <c r="Q62" i="3"/>
  <c r="M72" i="5" s="1" a="1"/>
  <c r="M72" i="5" s="1"/>
  <c r="M81" i="3"/>
  <c r="I80" i="5" s="1" a="1"/>
  <c r="I80" i="5" s="1"/>
  <c r="L81" i="3"/>
  <c r="H80" i="5" s="1" a="1"/>
  <c r="H80" i="5" s="1"/>
  <c r="K81" i="3"/>
  <c r="G80" i="5" s="1" a="1"/>
  <c r="G80" i="5" s="1"/>
  <c r="R58" i="3"/>
  <c r="N60" i="5" s="1" a="1"/>
  <c r="N60" i="5" s="1"/>
  <c r="Q58" i="3"/>
  <c r="M60" i="5" s="1" a="1"/>
  <c r="M60" i="5" s="1"/>
  <c r="P58" i="3"/>
  <c r="L60" i="5" s="1" a="1"/>
  <c r="L60" i="5" s="1"/>
  <c r="O58" i="3"/>
  <c r="K60" i="5" s="1" a="1"/>
  <c r="K60" i="5" s="1"/>
  <c r="N36" i="3"/>
  <c r="J27" i="5" s="1" a="1"/>
  <c r="J27" i="5" s="1"/>
  <c r="R12" i="3"/>
  <c r="N6" i="5" s="1" a="1"/>
  <c r="N6" i="5" s="1"/>
  <c r="P12" i="3"/>
  <c r="L6" i="5" s="1" a="1"/>
  <c r="L6" i="5" s="1"/>
  <c r="Q12" i="3"/>
  <c r="M6" i="5" s="1" a="1"/>
  <c r="M6" i="5" s="1"/>
  <c r="K12" i="3"/>
  <c r="G6" i="5" s="1" a="1"/>
  <c r="G6" i="5" s="1"/>
  <c r="O36" i="3"/>
  <c r="K27" i="5" s="1" a="1"/>
  <c r="K27" i="5" s="1"/>
  <c r="K65" i="3"/>
  <c r="G71" i="5" s="1" a="1"/>
  <c r="G71" i="5" s="1"/>
  <c r="M65" i="3"/>
  <c r="I71" i="5" s="1" a="1"/>
  <c r="I71" i="5" s="1"/>
  <c r="J65" i="3"/>
  <c r="N39" i="3"/>
  <c r="J19" i="5" s="1" a="1"/>
  <c r="J19" i="5" s="1"/>
  <c r="M39" i="3"/>
  <c r="I19" i="5" s="1" a="1"/>
  <c r="I19" i="5" s="1"/>
  <c r="L39" i="3"/>
  <c r="H19" i="5" s="1" a="1"/>
  <c r="H19" i="5" s="1"/>
  <c r="K39" i="3"/>
  <c r="G19" i="5" s="1" a="1"/>
  <c r="G19" i="5" s="1"/>
  <c r="J39" i="3"/>
  <c r="R39" i="3"/>
  <c r="N19" i="5" s="1" a="1"/>
  <c r="N19" i="5" s="1"/>
  <c r="Q39" i="3"/>
  <c r="M19" i="5" s="1" a="1"/>
  <c r="M19" i="5" s="1"/>
  <c r="P39" i="3"/>
  <c r="L19" i="5" s="1" a="1"/>
  <c r="L19" i="5" s="1"/>
  <c r="O39" i="3"/>
  <c r="K19" i="5" s="1" a="1"/>
  <c r="K19" i="5" s="1"/>
  <c r="O68" i="3"/>
  <c r="K59" i="5" s="1" a="1"/>
  <c r="K59" i="5" s="1"/>
  <c r="L16" i="3"/>
  <c r="H2" i="5" s="1" a="1"/>
  <c r="H2" i="5" s="1"/>
  <c r="R30" i="3"/>
  <c r="N16" i="5" s="1" a="1"/>
  <c r="N16" i="5" s="1"/>
  <c r="Q30" i="3"/>
  <c r="M16" i="5" s="1" a="1"/>
  <c r="M16" i="5" s="1"/>
  <c r="L30" i="3"/>
  <c r="H16" i="5" s="1" a="1"/>
  <c r="H16" i="5" s="1"/>
  <c r="R31" i="3"/>
  <c r="N35" i="5" s="1" a="1"/>
  <c r="N35" i="5" s="1"/>
  <c r="O31" i="3"/>
  <c r="K35" i="5" s="1" a="1"/>
  <c r="K35" i="5" s="1"/>
  <c r="P31" i="3"/>
  <c r="L35" i="5" s="1" a="1"/>
  <c r="L35" i="5" s="1"/>
  <c r="N31" i="3"/>
  <c r="J35" i="5" s="1" a="1"/>
  <c r="J35" i="5" s="1"/>
  <c r="K17" i="3"/>
  <c r="G8" i="5" s="1" a="1"/>
  <c r="G8" i="5" s="1"/>
  <c r="R2" i="3"/>
  <c r="R17" i="3"/>
  <c r="N8" i="5" s="1" a="1"/>
  <c r="N8" i="5" s="1"/>
  <c r="P13" i="5"/>
  <c r="B13" i="5"/>
  <c r="AC38" i="5"/>
  <c r="M57" i="3"/>
  <c r="I24" i="5" s="1" a="1"/>
  <c r="I24" i="5" s="1"/>
  <c r="P2" i="3"/>
  <c r="K3" i="3"/>
  <c r="G36" i="5" s="1" a="1"/>
  <c r="G36" i="5" s="1"/>
  <c r="B23" i="5"/>
  <c r="R35" i="3"/>
  <c r="N33" i="5" s="1" a="1"/>
  <c r="N33" i="5" s="1"/>
  <c r="Q35" i="3"/>
  <c r="M33" i="5" s="1" a="1"/>
  <c r="M33" i="5" s="1"/>
  <c r="R36" i="3"/>
  <c r="N27" i="5" s="1" a="1"/>
  <c r="N27" i="5" s="1"/>
  <c r="P36" i="3"/>
  <c r="L27" i="5" s="1" a="1"/>
  <c r="L27" i="5" s="1"/>
  <c r="M36" i="3"/>
  <c r="I27" i="5" s="1" a="1"/>
  <c r="I27" i="5" s="1"/>
  <c r="L36" i="3"/>
  <c r="H27" i="5" s="1" a="1"/>
  <c r="H27" i="5" s="1"/>
  <c r="J36" i="3"/>
  <c r="K36" i="3"/>
  <c r="G27" i="5" s="1" a="1"/>
  <c r="G27" i="5" s="1"/>
  <c r="L53" i="3"/>
  <c r="H32" i="5" s="1" a="1"/>
  <c r="H32" i="5" s="1"/>
  <c r="K53" i="3"/>
  <c r="G32" i="5" s="1" a="1"/>
  <c r="G32" i="5" s="1"/>
  <c r="Q91" i="3"/>
  <c r="M90" i="5" s="1" a="1"/>
  <c r="M90" i="5" s="1"/>
  <c r="P91" i="3"/>
  <c r="L90" i="5" s="1" a="1"/>
  <c r="L90" i="5" s="1"/>
  <c r="L3" i="3"/>
  <c r="H36" i="5" s="1" a="1"/>
  <c r="H36" i="5" s="1"/>
  <c r="Q10" i="3"/>
  <c r="M5" i="5" s="1" a="1"/>
  <c r="M5" i="5" s="1"/>
  <c r="O66" i="3"/>
  <c r="K68" i="5" s="1" a="1"/>
  <c r="K68" i="5" s="1"/>
  <c r="N66" i="3"/>
  <c r="J68" i="5" s="1" a="1"/>
  <c r="J68" i="5" s="1"/>
  <c r="Q66" i="3"/>
  <c r="M68" i="5" s="1" a="1"/>
  <c r="M68" i="5" s="1"/>
  <c r="P66" i="3"/>
  <c r="L68" i="5" s="1" a="1"/>
  <c r="L68" i="5" s="1"/>
  <c r="M66" i="3"/>
  <c r="I68" i="5" s="1" a="1"/>
  <c r="I68" i="5" s="1"/>
  <c r="N3" i="3"/>
  <c r="J36" i="5" s="1" a="1"/>
  <c r="J36" i="5" s="1"/>
  <c r="J26" i="3"/>
  <c r="K34" i="3"/>
  <c r="G46" i="5" s="1" a="1"/>
  <c r="G46" i="5" s="1"/>
  <c r="P34" i="3"/>
  <c r="L46" i="5" s="1" a="1"/>
  <c r="L46" i="5" s="1"/>
  <c r="R83" i="3"/>
  <c r="N82" i="5" s="1" a="1"/>
  <c r="N82" i="5" s="1"/>
  <c r="P10" i="3"/>
  <c r="L5" i="5" s="1" a="1"/>
  <c r="L5" i="5" s="1"/>
  <c r="O10" i="3"/>
  <c r="K5" i="5" s="1" a="1"/>
  <c r="K5" i="5" s="1"/>
  <c r="B16" i="5"/>
  <c r="O37" i="3"/>
  <c r="K54" i="5" s="1" a="1"/>
  <c r="K54" i="5" s="1"/>
  <c r="R45" i="3"/>
  <c r="N45" i="5" s="1" a="1"/>
  <c r="N45" i="5" s="1"/>
  <c r="O45" i="3"/>
  <c r="K45" i="5" s="1" a="1"/>
  <c r="K45" i="5" s="1"/>
  <c r="M45" i="3"/>
  <c r="I45" i="5" s="1" a="1"/>
  <c r="I45" i="5" s="1"/>
  <c r="J58" i="3"/>
  <c r="N58" i="3"/>
  <c r="J60" i="5" s="1" a="1"/>
  <c r="J60" i="5" s="1"/>
  <c r="M58" i="3"/>
  <c r="I60" i="5" s="1" a="1"/>
  <c r="I60" i="5" s="1"/>
  <c r="L58" i="3"/>
  <c r="H60" i="5" s="1" a="1"/>
  <c r="H60" i="5" s="1"/>
  <c r="K58" i="3"/>
  <c r="G60" i="5" s="1" a="1"/>
  <c r="G60" i="5" s="1"/>
  <c r="O71" i="3"/>
  <c r="K65" i="5" s="1" a="1"/>
  <c r="K65" i="5" s="1"/>
  <c r="N71" i="3"/>
  <c r="J65" i="5" s="1" a="1"/>
  <c r="J65" i="5" s="1"/>
  <c r="M71" i="3"/>
  <c r="I65" i="5" s="1" a="1"/>
  <c r="I65" i="5" s="1"/>
  <c r="L71" i="3"/>
  <c r="H65" i="5" s="1" a="1"/>
  <c r="H65" i="5" s="1"/>
  <c r="K71" i="3"/>
  <c r="G65" i="5" s="1" a="1"/>
  <c r="G65" i="5" s="1"/>
  <c r="Q71" i="3"/>
  <c r="M65" i="5" s="1" a="1"/>
  <c r="M65" i="5" s="1"/>
  <c r="J71" i="3"/>
  <c r="P71" i="3"/>
  <c r="L65" i="5" s="1" a="1"/>
  <c r="L65" i="5" s="1"/>
  <c r="J72" i="3"/>
  <c r="Q83" i="3"/>
  <c r="M82" i="5" s="1" a="1"/>
  <c r="M82" i="5" s="1"/>
  <c r="P83" i="3"/>
  <c r="L82" i="5" s="1" a="1"/>
  <c r="L82" i="5" s="1"/>
  <c r="O83" i="3"/>
  <c r="K82" i="5" s="1" a="1"/>
  <c r="K82" i="5" s="1"/>
  <c r="N83" i="3"/>
  <c r="J82" i="5" s="1" a="1"/>
  <c r="J82" i="5" s="1"/>
  <c r="M83" i="3"/>
  <c r="I82" i="5" s="1" a="1"/>
  <c r="I82" i="5" s="1"/>
  <c r="Q99" i="3"/>
  <c r="M98" i="5" s="1" a="1"/>
  <c r="M98" i="5" s="1"/>
  <c r="R94" i="3"/>
  <c r="N93" i="5" s="1" a="1"/>
  <c r="N93" i="5" s="1"/>
  <c r="Q94" i="3"/>
  <c r="M93" i="5" s="1" a="1"/>
  <c r="M93" i="5" s="1"/>
  <c r="P94" i="3"/>
  <c r="L93" i="5" s="1" a="1"/>
  <c r="L93" i="5" s="1"/>
  <c r="R77" i="3"/>
  <c r="N76" i="5" s="1" a="1"/>
  <c r="N76" i="5" s="1"/>
  <c r="K77" i="3"/>
  <c r="G76" i="5" s="1" a="1"/>
  <c r="G76" i="5" s="1"/>
  <c r="J3" i="3"/>
  <c r="J97" i="3"/>
  <c r="L97" i="3"/>
  <c r="H96" i="5" s="1" a="1"/>
  <c r="H96" i="5" s="1"/>
  <c r="K97" i="3"/>
  <c r="G96" i="5" s="1" a="1"/>
  <c r="G96" i="5" s="1"/>
  <c r="R97" i="3"/>
  <c r="N96" i="5" s="1" a="1"/>
  <c r="N96" i="5" s="1"/>
  <c r="O97" i="3"/>
  <c r="K96" i="5" s="1" a="1"/>
  <c r="K96" i="5" s="1"/>
  <c r="N97" i="3"/>
  <c r="J96" i="5" s="1" a="1"/>
  <c r="J96" i="5" s="1"/>
  <c r="Q97" i="3"/>
  <c r="M96" i="5" s="1" a="1"/>
  <c r="M96" i="5" s="1"/>
  <c r="P97" i="3"/>
  <c r="L96" i="5" s="1" a="1"/>
  <c r="L96" i="5" s="1"/>
  <c r="N2" i="3"/>
  <c r="K68" i="3"/>
  <c r="G59" i="5" s="1" a="1"/>
  <c r="G59" i="5" s="1"/>
  <c r="J68" i="3"/>
  <c r="L68" i="3"/>
  <c r="H59" i="5" s="1" a="1"/>
  <c r="H59" i="5" s="1"/>
  <c r="K88" i="3"/>
  <c r="G87" i="5" s="1" a="1"/>
  <c r="G87" i="5" s="1"/>
  <c r="R10" i="3"/>
  <c r="N5" i="5" s="1" a="1"/>
  <c r="N5" i="5" s="1"/>
  <c r="M37" i="3"/>
  <c r="I54" i="5" s="1" a="1"/>
  <c r="I54" i="5" s="1"/>
  <c r="O44" i="3"/>
  <c r="K34" i="5" s="1" a="1"/>
  <c r="K34" i="5" s="1"/>
  <c r="Q44" i="3"/>
  <c r="M34" i="5" s="1" a="1"/>
  <c r="M34" i="5" s="1"/>
  <c r="P44" i="3"/>
  <c r="L34" i="5" s="1" a="1"/>
  <c r="L34" i="5" s="1"/>
  <c r="N44" i="3"/>
  <c r="J34" i="5" s="1" a="1"/>
  <c r="J34" i="5" s="1"/>
  <c r="O81" i="3"/>
  <c r="K80" i="5" s="1" a="1"/>
  <c r="K80" i="5" s="1"/>
  <c r="P98" i="3"/>
  <c r="L97" i="5" s="1" a="1"/>
  <c r="L97" i="5" s="1"/>
  <c r="R98" i="3"/>
  <c r="N97" i="5" s="1" a="1"/>
  <c r="N97" i="5" s="1"/>
  <c r="Q98" i="3"/>
  <c r="M97" i="5" s="1" a="1"/>
  <c r="M97" i="5" s="1"/>
  <c r="N98" i="3"/>
  <c r="J97" i="5" s="1" a="1"/>
  <c r="J97" i="5" s="1"/>
  <c r="M98" i="3"/>
  <c r="I97" i="5" s="1" a="1"/>
  <c r="I97" i="5" s="1"/>
  <c r="O98" i="3"/>
  <c r="K97" i="5" s="1" a="1"/>
  <c r="K97" i="5" s="1"/>
  <c r="R24" i="3"/>
  <c r="N56" i="5" s="1" a="1"/>
  <c r="N56" i="5" s="1"/>
  <c r="Q24" i="3"/>
  <c r="M56" i="5" s="1" a="1"/>
  <c r="M56" i="5" s="1"/>
  <c r="N37" i="3"/>
  <c r="J54" i="5" s="1" a="1"/>
  <c r="J54" i="5" s="1"/>
  <c r="P69" i="5"/>
  <c r="B69" i="5"/>
  <c r="Q95" i="3"/>
  <c r="M94" i="5" s="1" a="1"/>
  <c r="M94" i="5" s="1"/>
  <c r="L95" i="3"/>
  <c r="H94" i="5" s="1" a="1"/>
  <c r="H94" i="5" s="1"/>
  <c r="P95" i="3"/>
  <c r="L94" i="5" s="1" a="1"/>
  <c r="L94" i="5" s="1"/>
  <c r="O95" i="3"/>
  <c r="K94" i="5" s="1" a="1"/>
  <c r="K94" i="5" s="1"/>
  <c r="N95" i="3"/>
  <c r="J94" i="5" s="1" a="1"/>
  <c r="J94" i="5" s="1"/>
  <c r="M95" i="3"/>
  <c r="I94" i="5" s="1" a="1"/>
  <c r="I94" i="5" s="1"/>
  <c r="K95" i="3"/>
  <c r="G94" i="5" s="1" a="1"/>
  <c r="G94" i="5" s="1"/>
  <c r="J95" i="3"/>
  <c r="M100" i="3"/>
  <c r="I99" i="5" s="1" a="1"/>
  <c r="I99" i="5" s="1"/>
  <c r="AG33" i="5"/>
  <c r="Q87" i="3"/>
  <c r="M86" i="5" s="1" a="1"/>
  <c r="M86" i="5" s="1"/>
  <c r="R87" i="3"/>
  <c r="N86" i="5" s="1" a="1"/>
  <c r="N86" i="5" s="1"/>
  <c r="P87" i="3"/>
  <c r="L86" i="5" s="1" a="1"/>
  <c r="L86" i="5" s="1"/>
  <c r="AH34" i="5"/>
  <c r="AI34" i="5"/>
  <c r="AG34" i="5"/>
  <c r="AA38" i="5"/>
  <c r="R40" i="3"/>
  <c r="N37" i="5" s="1" a="1"/>
  <c r="N37" i="5" s="1"/>
  <c r="Q40" i="3"/>
  <c r="M37" i="5" s="1" a="1"/>
  <c r="M37" i="5" s="1"/>
  <c r="P40" i="3"/>
  <c r="L37" i="5" s="1" a="1"/>
  <c r="L37" i="5" s="1"/>
  <c r="P6" i="3"/>
  <c r="L9" i="5" s="1" a="1"/>
  <c r="L9" i="5" s="1"/>
  <c r="R76" i="3"/>
  <c r="N75" i="5" s="1" a="1"/>
  <c r="N75" i="5" s="1"/>
  <c r="P76" i="3"/>
  <c r="L75" i="5" s="1" a="1"/>
  <c r="L75" i="5" s="1"/>
  <c r="O76" i="3"/>
  <c r="K75" i="5" s="1" a="1"/>
  <c r="K75" i="5" s="1"/>
  <c r="N76" i="3"/>
  <c r="J75" i="5" s="1" a="1"/>
  <c r="J75" i="5" s="1"/>
  <c r="M76" i="3"/>
  <c r="I75" i="5" s="1" a="1"/>
  <c r="I75" i="5" s="1"/>
  <c r="K76" i="3"/>
  <c r="G75" i="5" s="1" a="1"/>
  <c r="G75" i="5" s="1"/>
  <c r="J76" i="3"/>
  <c r="M14" i="3"/>
  <c r="I7" i="5" s="1" a="1"/>
  <c r="I7" i="5" s="1"/>
  <c r="L14" i="3"/>
  <c r="H7" i="5" s="1" a="1"/>
  <c r="H7" i="5" s="1"/>
  <c r="K14" i="3"/>
  <c r="G7" i="5" s="1" a="1"/>
  <c r="G7" i="5" s="1"/>
  <c r="J14" i="3"/>
  <c r="R14" i="3"/>
  <c r="N7" i="5" s="1" a="1"/>
  <c r="N7" i="5" s="1"/>
  <c r="Q14" i="3"/>
  <c r="M7" i="5" s="1" a="1"/>
  <c r="M7" i="5" s="1"/>
  <c r="P14" i="3"/>
  <c r="L7" i="5" s="1" a="1"/>
  <c r="L7" i="5" s="1"/>
  <c r="O14" i="3"/>
  <c r="K7" i="5" s="1" a="1"/>
  <c r="K7" i="5" s="1"/>
  <c r="N14" i="3"/>
  <c r="J7" i="5" s="1" a="1"/>
  <c r="J7" i="5" s="1"/>
  <c r="R75" i="3"/>
  <c r="N74" i="5" s="1" a="1"/>
  <c r="N74" i="5" s="1"/>
  <c r="L75" i="3"/>
  <c r="H74" i="5" s="1" a="1"/>
  <c r="H74" i="5" s="1"/>
  <c r="Q75" i="3"/>
  <c r="M74" i="5" s="1" a="1"/>
  <c r="M74" i="5" s="1"/>
  <c r="P75" i="3"/>
  <c r="L74" i="5" s="1" a="1"/>
  <c r="L74" i="5" s="1"/>
  <c r="O75" i="3"/>
  <c r="K74" i="5" s="1" a="1"/>
  <c r="K74" i="5" s="1"/>
  <c r="O53" i="3"/>
  <c r="K32" i="5" s="1" a="1"/>
  <c r="K32" i="5" s="1"/>
  <c r="M77" i="3"/>
  <c r="I76" i="5" s="1" a="1"/>
  <c r="I76" i="5" s="1"/>
  <c r="B61" i="5"/>
  <c r="R54" i="3"/>
  <c r="N53" i="5" s="1" a="1"/>
  <c r="N53" i="5" s="1"/>
  <c r="Q54" i="3"/>
  <c r="M53" i="5" s="1" a="1"/>
  <c r="M53" i="5" s="1"/>
  <c r="P54" i="3"/>
  <c r="L53" i="5" s="1" a="1"/>
  <c r="L53" i="5" s="1"/>
  <c r="O54" i="3"/>
  <c r="K53" i="5" s="1" a="1"/>
  <c r="K53" i="5" s="1"/>
  <c r="N54" i="3"/>
  <c r="J53" i="5" s="1" a="1"/>
  <c r="J53" i="5" s="1"/>
  <c r="M54" i="3"/>
  <c r="I53" i="5" s="1" a="1"/>
  <c r="I53" i="5" s="1"/>
  <c r="L54" i="3"/>
  <c r="H53" i="5" s="1" a="1"/>
  <c r="H53" i="5" s="1"/>
  <c r="K54" i="3"/>
  <c r="G53" i="5" s="1" a="1"/>
  <c r="G53" i="5" s="1"/>
  <c r="J54" i="3"/>
  <c r="N64" i="3"/>
  <c r="J62" i="5" s="1" a="1"/>
  <c r="J62" i="5" s="1"/>
  <c r="M64" i="3"/>
  <c r="I62" i="5" s="1" a="1"/>
  <c r="I62" i="5" s="1"/>
  <c r="L64" i="3"/>
  <c r="H62" i="5" s="1" a="1"/>
  <c r="H62" i="5" s="1"/>
  <c r="K64" i="3"/>
  <c r="G62" i="5" s="1" a="1"/>
  <c r="G62" i="5" s="1"/>
  <c r="J64" i="3"/>
  <c r="R64" i="3"/>
  <c r="N62" i="5" s="1" a="1"/>
  <c r="N62" i="5" s="1"/>
  <c r="Q64" i="3"/>
  <c r="M62" i="5" s="1" a="1"/>
  <c r="M62" i="5" s="1"/>
  <c r="O64" i="3"/>
  <c r="K62" i="5" s="1" a="1"/>
  <c r="K62" i="5" s="1"/>
  <c r="P64" i="3"/>
  <c r="L62" i="5" s="1" a="1"/>
  <c r="L62" i="5" s="1"/>
  <c r="N77" i="3"/>
  <c r="J76" i="5" s="1" a="1"/>
  <c r="J76" i="5" s="1"/>
  <c r="M90" i="3"/>
  <c r="I89" i="5" s="1" a="1"/>
  <c r="I89" i="5" s="1"/>
  <c r="K5" i="3"/>
  <c r="G12" i="5" s="1" a="1"/>
  <c r="G12" i="5" s="1"/>
  <c r="J5" i="3"/>
  <c r="R90" i="3"/>
  <c r="N89" i="5" s="1" a="1"/>
  <c r="N89" i="5" s="1"/>
  <c r="P89" i="3"/>
  <c r="L88" i="5" s="1" a="1"/>
  <c r="L88" i="5" s="1"/>
  <c r="O89" i="3"/>
  <c r="K88" i="5" s="1" a="1"/>
  <c r="K88" i="5" s="1"/>
  <c r="N89" i="3"/>
  <c r="J88" i="5" s="1" a="1"/>
  <c r="J88" i="5" s="1"/>
  <c r="M89" i="3"/>
  <c r="I88" i="5" s="1" a="1"/>
  <c r="I88" i="5" s="1"/>
  <c r="L89" i="3"/>
  <c r="H88" i="5" s="1" a="1"/>
  <c r="H88" i="5" s="1"/>
  <c r="K89" i="3"/>
  <c r="G88" i="5" s="1" a="1"/>
  <c r="G88" i="5" s="1"/>
  <c r="J89" i="3"/>
  <c r="P77" i="3"/>
  <c r="L76" i="5" s="1" a="1"/>
  <c r="L76" i="5" s="1"/>
  <c r="Q90" i="3"/>
  <c r="M89" i="5" s="1" a="1"/>
  <c r="M89" i="5" s="1"/>
  <c r="O90" i="3"/>
  <c r="K89" i="5" s="1" a="1"/>
  <c r="K89" i="5" s="1"/>
  <c r="P90" i="3"/>
  <c r="L89" i="5" s="1" a="1"/>
  <c r="L89" i="5" s="1"/>
  <c r="N90" i="3"/>
  <c r="J89" i="5" s="1" a="1"/>
  <c r="J89" i="5" s="1"/>
  <c r="U42" i="5"/>
  <c r="AB34" i="5"/>
  <c r="R3" i="3"/>
  <c r="N36" i="5" s="1" a="1"/>
  <c r="N36" i="5" s="1"/>
  <c r="Q3" i="3"/>
  <c r="M36" i="5" s="1" a="1"/>
  <c r="M36" i="5" s="1"/>
  <c r="P3" i="3"/>
  <c r="L36" i="5" s="1" a="1"/>
  <c r="L36" i="5" s="1"/>
  <c r="O3" i="3"/>
  <c r="K36" i="5" s="1" a="1"/>
  <c r="K36" i="5" s="1"/>
  <c r="Q72" i="3"/>
  <c r="M69" i="5" s="1" a="1"/>
  <c r="M69" i="5" s="1"/>
  <c r="R72" i="3"/>
  <c r="N69" i="5" s="1" a="1"/>
  <c r="N69" i="5" s="1"/>
  <c r="K62" i="3"/>
  <c r="G72" i="5" s="1" a="1"/>
  <c r="G72" i="5" s="1"/>
  <c r="J62" i="3"/>
  <c r="O62" i="3"/>
  <c r="K72" i="5" s="1" a="1"/>
  <c r="K72" i="5" s="1"/>
  <c r="P62" i="3"/>
  <c r="L72" i="5" s="1" a="1"/>
  <c r="L72" i="5" s="1"/>
  <c r="L62" i="3"/>
  <c r="H72" i="5" s="1" a="1"/>
  <c r="H72" i="5" s="1"/>
  <c r="N62" i="3"/>
  <c r="J72" i="5" s="1" a="1"/>
  <c r="J72" i="5" s="1"/>
  <c r="M62" i="3"/>
  <c r="I72" i="5" s="1" a="1"/>
  <c r="I72" i="5" s="1"/>
  <c r="P76" i="5"/>
  <c r="B76" i="5"/>
  <c r="R88" i="3"/>
  <c r="N87" i="5" s="1" a="1"/>
  <c r="N87" i="5" s="1"/>
  <c r="AB38" i="5"/>
  <c r="R86" i="3"/>
  <c r="N85" i="5" s="1" a="1"/>
  <c r="N85" i="5" s="1"/>
  <c r="N32" i="3"/>
  <c r="J49" i="5" s="1" a="1"/>
  <c r="J49" i="5" s="1"/>
  <c r="M32" i="3"/>
  <c r="I49" i="5" s="1" a="1"/>
  <c r="I49" i="5" s="1"/>
  <c r="L32" i="3"/>
  <c r="H49" i="5" s="1" a="1"/>
  <c r="H49" i="5" s="1"/>
  <c r="K32" i="3"/>
  <c r="G49" i="5" s="1" a="1"/>
  <c r="G49" i="5" s="1"/>
  <c r="J32" i="3"/>
  <c r="P32" i="3"/>
  <c r="L49" i="5" s="1" a="1"/>
  <c r="L49" i="5" s="1"/>
  <c r="O32" i="3"/>
  <c r="K49" i="5" s="1" a="1"/>
  <c r="K49" i="5" s="1"/>
  <c r="R32" i="3"/>
  <c r="N49" i="5" s="1" a="1"/>
  <c r="N49" i="5" s="1"/>
  <c r="Q32" i="3"/>
  <c r="M49" i="5" s="1" a="1"/>
  <c r="M49" i="5" s="1"/>
  <c r="R42" i="3"/>
  <c r="N31" i="5" s="1" a="1"/>
  <c r="N31" i="5" s="1"/>
  <c r="L90" i="3"/>
  <c r="H89" i="5" s="1" a="1"/>
  <c r="H89" i="5" s="1"/>
  <c r="J8" i="3"/>
  <c r="O41" i="3"/>
  <c r="K55" i="5" s="1" a="1"/>
  <c r="K55" i="5" s="1"/>
  <c r="O42" i="3"/>
  <c r="K31" i="5" s="1" a="1"/>
  <c r="K31" i="5" s="1"/>
  <c r="M42" i="3"/>
  <c r="I31" i="5" s="1" a="1"/>
  <c r="I31" i="5" s="1"/>
  <c r="K42" i="3"/>
  <c r="G31" i="5" s="1" a="1"/>
  <c r="G31" i="5" s="1"/>
  <c r="L42" i="3"/>
  <c r="H31" i="5" s="1" a="1"/>
  <c r="H31" i="5" s="1"/>
  <c r="K60" i="3"/>
  <c r="G70" i="5" s="1" a="1"/>
  <c r="G70" i="5" s="1"/>
  <c r="O77" i="3"/>
  <c r="K76" i="5" s="1" a="1"/>
  <c r="K76" i="5" s="1"/>
  <c r="K8" i="3"/>
  <c r="G18" i="5" s="1" a="1"/>
  <c r="G18" i="5" s="1"/>
  <c r="Q13" i="3"/>
  <c r="M15" i="5" s="1" a="1"/>
  <c r="M15" i="5" s="1"/>
  <c r="R13" i="3"/>
  <c r="N15" i="5" s="1" a="1"/>
  <c r="N15" i="5" s="1"/>
  <c r="R23" i="3"/>
  <c r="N29" i="5" s="1" a="1"/>
  <c r="N29" i="5" s="1"/>
  <c r="M24" i="3"/>
  <c r="I56" i="5" s="1" a="1"/>
  <c r="I56" i="5" s="1"/>
  <c r="Q33" i="3"/>
  <c r="M39" i="5" s="1" a="1"/>
  <c r="M39" i="5" s="1"/>
  <c r="N33" i="3"/>
  <c r="J39" i="5" s="1" a="1"/>
  <c r="J39" i="5" s="1"/>
  <c r="L33" i="3"/>
  <c r="H39" i="5" s="1" a="1"/>
  <c r="H39" i="5" s="1"/>
  <c r="M33" i="3"/>
  <c r="I39" i="5" s="1" a="1"/>
  <c r="I39" i="5" s="1"/>
  <c r="J34" i="3"/>
  <c r="R52" i="3"/>
  <c r="N44" i="5" s="1" a="1"/>
  <c r="N44" i="5" s="1"/>
  <c r="Q52" i="3"/>
  <c r="M44" i="5" s="1" a="1"/>
  <c r="M44" i="5" s="1"/>
  <c r="Q65" i="3"/>
  <c r="M71" i="5" s="1" a="1"/>
  <c r="M71" i="5" s="1"/>
  <c r="J66" i="3"/>
  <c r="O74" i="3"/>
  <c r="K73" i="5" s="1" a="1"/>
  <c r="K73" i="5" s="1"/>
  <c r="Q77" i="3"/>
  <c r="M76" i="5" s="1" a="1"/>
  <c r="M76" i="5" s="1"/>
  <c r="J88" i="3"/>
  <c r="V42" i="5"/>
  <c r="M38" i="3"/>
  <c r="I25" i="5" s="1" a="1"/>
  <c r="I25" i="5" s="1"/>
  <c r="L38" i="3"/>
  <c r="H25" i="5" s="1" a="1"/>
  <c r="H25" i="5" s="1"/>
  <c r="J38" i="3"/>
  <c r="K38" i="3"/>
  <c r="G25" i="5" s="1" a="1"/>
  <c r="G25" i="5" s="1"/>
  <c r="P50" i="3"/>
  <c r="L42" i="5" s="1" a="1"/>
  <c r="L42" i="5" s="1"/>
  <c r="W41" i="5"/>
  <c r="O21" i="3"/>
  <c r="K26" i="5" s="1" a="1"/>
  <c r="K26" i="5" s="1"/>
  <c r="Q21" i="3"/>
  <c r="M26" i="5" s="1" a="1"/>
  <c r="M26" i="5" s="1"/>
  <c r="P21" i="3"/>
  <c r="L26" i="5" s="1" a="1"/>
  <c r="L26" i="5" s="1"/>
  <c r="M21" i="3"/>
  <c r="I26" i="5" s="1" a="1"/>
  <c r="I26" i="5" s="1"/>
  <c r="N21" i="3"/>
  <c r="J26" i="5" s="1" a="1"/>
  <c r="J26" i="5" s="1"/>
  <c r="AB41" i="5"/>
  <c r="AA41" i="5"/>
  <c r="J77" i="3"/>
  <c r="J90" i="3"/>
  <c r="O6" i="3"/>
  <c r="K9" i="5" s="1" a="1"/>
  <c r="K9" i="5" s="1"/>
  <c r="Q6" i="3"/>
  <c r="M9" i="5" s="1" a="1"/>
  <c r="M9" i="5" s="1"/>
  <c r="K6" i="3"/>
  <c r="G9" i="5" s="1" a="1"/>
  <c r="G9" i="5" s="1"/>
  <c r="N6" i="3"/>
  <c r="J9" i="5" s="1" a="1"/>
  <c r="J9" i="5" s="1"/>
  <c r="M6" i="3"/>
  <c r="I9" i="5" s="1" a="1"/>
  <c r="I9" i="5" s="1"/>
  <c r="L77" i="3"/>
  <c r="H76" i="5" s="1" a="1"/>
  <c r="H76" i="5" s="1"/>
  <c r="AG38" i="5"/>
  <c r="AI38" i="5"/>
  <c r="AH38" i="5"/>
  <c r="O22" i="3"/>
  <c r="K11" i="5" s="1" a="1"/>
  <c r="K11" i="5" s="1"/>
  <c r="N22" i="3"/>
  <c r="J11" i="5" s="1" a="1"/>
  <c r="J11" i="5" s="1"/>
  <c r="L22" i="3"/>
  <c r="H11" i="5" s="1" a="1"/>
  <c r="H11" i="5" s="1"/>
  <c r="K22" i="3"/>
  <c r="G11" i="5" s="1" a="1"/>
  <c r="G11" i="5" s="1"/>
  <c r="M22" i="3"/>
  <c r="I11" i="5" s="1" a="1"/>
  <c r="I11" i="5" s="1"/>
  <c r="K73" i="3"/>
  <c r="G58" i="5" s="1" a="1"/>
  <c r="G58" i="5" s="1"/>
  <c r="J73" i="3"/>
  <c r="R73" i="3"/>
  <c r="N58" i="5" s="1" a="1"/>
  <c r="N58" i="5" s="1"/>
  <c r="R7" i="3"/>
  <c r="N4" i="5" s="1" a="1"/>
  <c r="N4" i="5" s="1"/>
  <c r="Q7" i="3"/>
  <c r="M4" i="5" s="1" a="1"/>
  <c r="M4" i="5" s="1"/>
  <c r="P7" i="3"/>
  <c r="L4" i="5" s="1" a="1"/>
  <c r="L4" i="5" s="1"/>
  <c r="O7" i="3"/>
  <c r="K4" i="5" s="1" a="1"/>
  <c r="K4" i="5" s="1"/>
  <c r="J7" i="3"/>
  <c r="L8" i="3"/>
  <c r="H18" i="5" s="1" a="1"/>
  <c r="H18" i="5" s="1"/>
  <c r="Q15" i="3"/>
  <c r="M14" i="5" s="1" a="1"/>
  <c r="M14" i="5" s="1"/>
  <c r="P15" i="3"/>
  <c r="L14" i="5" s="1" a="1"/>
  <c r="L14" i="5" s="1"/>
  <c r="L15" i="3"/>
  <c r="H14" i="5" s="1" a="1"/>
  <c r="H14" i="5" s="1"/>
  <c r="N24" i="3"/>
  <c r="J56" i="5" s="1" a="1"/>
  <c r="J56" i="5" s="1"/>
  <c r="L34" i="3"/>
  <c r="H46" i="5" s="1" a="1"/>
  <c r="H46" i="5" s="1"/>
  <c r="P43" i="3"/>
  <c r="L48" i="5" s="1" a="1"/>
  <c r="L48" i="5" s="1"/>
  <c r="J44" i="3"/>
  <c r="R65" i="3"/>
  <c r="N71" i="5" s="1" a="1"/>
  <c r="N71" i="5" s="1"/>
  <c r="P65" i="3"/>
  <c r="L71" i="5" s="1" a="1"/>
  <c r="L71" i="5" s="1"/>
  <c r="N65" i="3"/>
  <c r="J71" i="5" s="1" a="1"/>
  <c r="J71" i="5" s="1"/>
  <c r="O65" i="3"/>
  <c r="K71" i="5" s="1" a="1"/>
  <c r="K71" i="5" s="1"/>
  <c r="L65" i="3"/>
  <c r="H71" i="5" s="1" a="1"/>
  <c r="H71" i="5" s="1"/>
  <c r="K66" i="3"/>
  <c r="G68" i="5" s="1" a="1"/>
  <c r="G68" i="5" s="1"/>
  <c r="R93" i="3"/>
  <c r="N92" i="5" s="1" a="1"/>
  <c r="N92" i="5" s="1"/>
  <c r="L93" i="3"/>
  <c r="H92" i="5" s="1" a="1"/>
  <c r="H92" i="5" s="1"/>
  <c r="K93" i="3"/>
  <c r="G92" i="5" s="1" a="1"/>
  <c r="G92" i="5" s="1"/>
  <c r="J93" i="3"/>
  <c r="P93" i="3"/>
  <c r="L92" i="5" s="1" a="1"/>
  <c r="L92" i="5" s="1"/>
  <c r="Q93" i="3"/>
  <c r="M92" i="5" s="1" a="1"/>
  <c r="M92" i="5" s="1"/>
  <c r="O93" i="3"/>
  <c r="K92" i="5" s="1" a="1"/>
  <c r="K92" i="5" s="1"/>
  <c r="N93" i="3"/>
  <c r="J92" i="5" s="1" a="1"/>
  <c r="J92" i="5" s="1"/>
  <c r="M93" i="3"/>
  <c r="I92" i="5" s="1" a="1"/>
  <c r="I92" i="5" s="1"/>
  <c r="J94" i="3"/>
  <c r="AH37" i="5"/>
  <c r="M96" i="3"/>
  <c r="I95" i="5" s="1" a="1"/>
  <c r="I95" i="5" s="1"/>
  <c r="L96" i="3"/>
  <c r="H95" i="5" s="1" a="1"/>
  <c r="H95" i="5" s="1"/>
  <c r="AA42" i="5"/>
  <c r="R41" i="3"/>
  <c r="N55" i="5" s="1" a="1"/>
  <c r="N55" i="5" s="1"/>
  <c r="N70" i="3"/>
  <c r="J67" i="5" s="1" a="1"/>
  <c r="J67" i="5" s="1"/>
  <c r="L70" i="3"/>
  <c r="H67" i="5" s="1" a="1"/>
  <c r="H67" i="5" s="1"/>
  <c r="K70" i="3"/>
  <c r="G67" i="5" s="1" a="1"/>
  <c r="G67" i="5" s="1"/>
  <c r="R70" i="3"/>
  <c r="N67" i="5" s="1" a="1"/>
  <c r="N67" i="5" s="1"/>
  <c r="Q70" i="3"/>
  <c r="M67" i="5" s="1" a="1"/>
  <c r="M67" i="5" s="1"/>
  <c r="O70" i="3"/>
  <c r="K67" i="5" s="1" a="1"/>
  <c r="K67" i="5" s="1"/>
  <c r="M70" i="3"/>
  <c r="I67" i="5" s="1" a="1"/>
  <c r="I67" i="5" s="1"/>
  <c r="J70" i="3"/>
  <c r="AB42" i="5"/>
  <c r="R34" i="3"/>
  <c r="N46" i="5" s="1" a="1"/>
  <c r="N46" i="5" s="1"/>
  <c r="B42" i="5"/>
  <c r="J53" i="3"/>
  <c r="P53" i="3"/>
  <c r="L32" i="5" s="1" a="1"/>
  <c r="L32" i="5" s="1"/>
  <c r="Q53" i="3"/>
  <c r="M32" i="5" s="1" a="1"/>
  <c r="M32" i="5" s="1"/>
  <c r="AG32" i="5"/>
  <c r="O78" i="3"/>
  <c r="K77" i="5" s="1" a="1"/>
  <c r="K77" i="5" s="1"/>
  <c r="N78" i="3"/>
  <c r="J77" i="5" s="1" a="1"/>
  <c r="J77" i="5" s="1"/>
  <c r="M78" i="3"/>
  <c r="I77" i="5" s="1" a="1"/>
  <c r="I77" i="5" s="1"/>
  <c r="L78" i="3"/>
  <c r="H77" i="5" s="1" a="1"/>
  <c r="H77" i="5" s="1"/>
  <c r="K78" i="3"/>
  <c r="G77" i="5" s="1" a="1"/>
  <c r="G77" i="5" s="1"/>
  <c r="R78" i="3"/>
  <c r="N77" i="5" s="1" a="1"/>
  <c r="N77" i="5" s="1"/>
  <c r="Q78" i="3"/>
  <c r="M77" i="5" s="1" a="1"/>
  <c r="M77" i="5" s="1"/>
  <c r="P78" i="3"/>
  <c r="L77" i="5" s="1" a="1"/>
  <c r="L77" i="5" s="1"/>
  <c r="J78" i="3"/>
  <c r="N84" i="3"/>
  <c r="J83" i="5" s="1" a="1"/>
  <c r="J83" i="5" s="1"/>
  <c r="B29" i="5"/>
  <c r="N48" i="3"/>
  <c r="J28" i="5" s="1" a="1"/>
  <c r="J28" i="5" s="1"/>
  <c r="M48" i="3"/>
  <c r="I28" i="5" s="1" a="1"/>
  <c r="I28" i="5" s="1"/>
  <c r="L48" i="3"/>
  <c r="H28" i="5" s="1" a="1"/>
  <c r="H28" i="5" s="1"/>
  <c r="K48" i="3"/>
  <c r="G28" i="5" s="1" a="1"/>
  <c r="G28" i="5" s="1"/>
  <c r="J48" i="3"/>
  <c r="R48" i="3"/>
  <c r="N28" i="5" s="1" a="1"/>
  <c r="N28" i="5" s="1"/>
  <c r="Q48" i="3"/>
  <c r="M28" i="5" s="1" a="1"/>
  <c r="M28" i="5" s="1"/>
  <c r="P48" i="3"/>
  <c r="L28" i="5" s="1" a="1"/>
  <c r="L28" i="5" s="1"/>
  <c r="B98" i="5"/>
  <c r="AC32" i="5"/>
  <c r="L41" i="3"/>
  <c r="H55" i="5" s="1" a="1"/>
  <c r="H55" i="5" s="1"/>
  <c r="K41" i="3"/>
  <c r="G55" i="5" s="1" a="1"/>
  <c r="G55" i="5" s="1"/>
  <c r="J60" i="3"/>
  <c r="AH42" i="5"/>
  <c r="L24" i="3"/>
  <c r="H56" i="5" s="1" a="1"/>
  <c r="H56" i="5" s="1"/>
  <c r="K24" i="3"/>
  <c r="G56" i="5" s="1" a="1"/>
  <c r="G56" i="5" s="1"/>
  <c r="J24" i="3"/>
  <c r="W36" i="5"/>
  <c r="V36" i="5"/>
  <c r="U36" i="5"/>
  <c r="R37" i="3"/>
  <c r="N54" i="5" s="1" a="1"/>
  <c r="N54" i="5" s="1"/>
  <c r="Q37" i="3"/>
  <c r="M54" i="5" s="1" a="1"/>
  <c r="M54" i="5" s="1"/>
  <c r="B5" i="5"/>
  <c r="AH33" i="5"/>
  <c r="M52" i="3"/>
  <c r="I44" i="5" s="1" a="1"/>
  <c r="I44" i="5" s="1"/>
  <c r="L52" i="3"/>
  <c r="H44" i="5" s="1" a="1"/>
  <c r="H44" i="5" s="1"/>
  <c r="J52" i="3"/>
  <c r="K52" i="3"/>
  <c r="G44" i="5" s="1" a="1"/>
  <c r="G44" i="5" s="1"/>
  <c r="N92" i="3"/>
  <c r="J91" i="5" s="1" a="1"/>
  <c r="J91" i="5" s="1"/>
  <c r="AI33" i="5"/>
  <c r="U41" i="5"/>
  <c r="O57" i="3"/>
  <c r="K24" i="5" s="1" a="1"/>
  <c r="K24" i="5" s="1"/>
  <c r="L57" i="3"/>
  <c r="H24" i="5" s="1" a="1"/>
  <c r="H24" i="5" s="1"/>
  <c r="Q88" i="3"/>
  <c r="M87" i="5" s="1" a="1"/>
  <c r="M87" i="5" s="1"/>
  <c r="M19" i="3"/>
  <c r="I23" i="5" s="1" a="1"/>
  <c r="I23" i="5" s="1"/>
  <c r="Q19" i="3"/>
  <c r="M23" i="5" s="1" a="1"/>
  <c r="M23" i="5" s="1"/>
  <c r="P19" i="3"/>
  <c r="L23" i="5" s="1" a="1"/>
  <c r="L23" i="5" s="1"/>
  <c r="O19" i="3"/>
  <c r="K23" i="5" s="1" a="1"/>
  <c r="K23" i="5" s="1"/>
  <c r="K19" i="3"/>
  <c r="G23" i="5" s="1" a="1"/>
  <c r="G23" i="5" s="1"/>
  <c r="J19" i="3"/>
  <c r="P30" i="3"/>
  <c r="L16" i="5" s="1" a="1"/>
  <c r="L16" i="5" s="1"/>
  <c r="M30" i="3"/>
  <c r="I16" i="5" s="1" a="1"/>
  <c r="I16" i="5" s="1"/>
  <c r="O30" i="3"/>
  <c r="K16" i="5" s="1" a="1"/>
  <c r="K16" i="5" s="1"/>
  <c r="N30" i="3"/>
  <c r="J16" i="5" s="1" a="1"/>
  <c r="J16" i="5" s="1"/>
  <c r="R44" i="3"/>
  <c r="N34" i="5" s="1" a="1"/>
  <c r="N34" i="5" s="1"/>
  <c r="M53" i="3"/>
  <c r="I32" i="5" s="1" a="1"/>
  <c r="I32" i="5" s="1"/>
  <c r="Q59" i="3"/>
  <c r="M63" i="5" s="1" a="1"/>
  <c r="M63" i="5" s="1"/>
  <c r="R59" i="3"/>
  <c r="N63" i="5" s="1" a="1"/>
  <c r="N63" i="5" s="1"/>
  <c r="N59" i="3"/>
  <c r="J63" i="5" s="1" a="1"/>
  <c r="J63" i="5" s="1"/>
  <c r="M59" i="3"/>
  <c r="I63" i="5" s="1" a="1"/>
  <c r="I63" i="5" s="1"/>
  <c r="L59" i="3"/>
  <c r="H63" i="5" s="1" a="1"/>
  <c r="H63" i="5" s="1"/>
  <c r="L60" i="3"/>
  <c r="H70" i="5" s="1" a="1"/>
  <c r="H70" i="5" s="1"/>
  <c r="V41" i="5"/>
  <c r="J82" i="3"/>
  <c r="R82" i="3"/>
  <c r="N81" i="5" s="1" a="1"/>
  <c r="N81" i="5" s="1"/>
  <c r="Q82" i="3"/>
  <c r="M81" i="5" s="1" a="1"/>
  <c r="M81" i="5" s="1"/>
  <c r="P82" i="3"/>
  <c r="L81" i="5" s="1" a="1"/>
  <c r="L81" i="5" s="1"/>
  <c r="O82" i="3"/>
  <c r="K81" i="5" s="1" a="1"/>
  <c r="K81" i="5" s="1"/>
  <c r="M82" i="3"/>
  <c r="I81" i="5" s="1" a="1"/>
  <c r="I81" i="5" s="1"/>
  <c r="N82" i="3"/>
  <c r="J81" i="5" s="1" a="1"/>
  <c r="J81" i="5" s="1"/>
  <c r="K82" i="3"/>
  <c r="G81" i="5" s="1" a="1"/>
  <c r="G81" i="5" s="1"/>
  <c r="R8" i="3"/>
  <c r="N18" i="5" s="1" a="1"/>
  <c r="N18" i="5" s="1"/>
  <c r="AC28" i="5" s="1"/>
  <c r="R25" i="3"/>
  <c r="N30" i="5" s="1" a="1"/>
  <c r="N30" i="5" s="1"/>
  <c r="AC41" i="5" s="1"/>
  <c r="P39" i="5"/>
  <c r="B39" i="5"/>
  <c r="N53" i="3"/>
  <c r="J32" i="5" s="1" a="1"/>
  <c r="J32" i="5" s="1"/>
  <c r="M60" i="3"/>
  <c r="I70" i="5" s="1" a="1"/>
  <c r="I70" i="5" s="1"/>
  <c r="M67" i="3"/>
  <c r="I64" i="5" s="1" a="1"/>
  <c r="I64" i="5" s="1"/>
  <c r="L83" i="3"/>
  <c r="H82" i="5" s="1" a="1"/>
  <c r="H82" i="5" s="1"/>
  <c r="J83" i="3"/>
  <c r="K83" i="3"/>
  <c r="G82" i="5" s="1" a="1"/>
  <c r="G82" i="5" s="1"/>
  <c r="J84" i="3"/>
  <c r="R91" i="3"/>
  <c r="N90" i="5" s="1" a="1"/>
  <c r="N90" i="5" s="1"/>
  <c r="U39" i="5"/>
  <c r="N88" i="3"/>
  <c r="J87" i="5" s="1" a="1"/>
  <c r="J87" i="5" s="1"/>
  <c r="P27" i="3"/>
  <c r="L41" i="5" s="1" a="1"/>
  <c r="L41" i="5" s="1"/>
  <c r="O27" i="3"/>
  <c r="K41" i="5" s="1" a="1"/>
  <c r="K41" i="5" s="1"/>
  <c r="N27" i="3"/>
  <c r="J41" i="5" s="1" a="1"/>
  <c r="J41" i="5" s="1"/>
  <c r="M27" i="3"/>
  <c r="I41" i="5" s="1" a="1"/>
  <c r="I41" i="5" s="1"/>
  <c r="L27" i="3"/>
  <c r="H41" i="5" s="1" a="1"/>
  <c r="H41" i="5" s="1"/>
  <c r="R27" i="3"/>
  <c r="N41" i="5" s="1" a="1"/>
  <c r="N41" i="5" s="1"/>
  <c r="Q27" i="3"/>
  <c r="M41" i="5" s="1" a="1"/>
  <c r="M41" i="5" s="1"/>
  <c r="N69" i="3"/>
  <c r="J57" i="5" s="1" a="1"/>
  <c r="J57" i="5" s="1"/>
  <c r="R69" i="3"/>
  <c r="N57" i="5" s="1" a="1"/>
  <c r="N57" i="5" s="1"/>
  <c r="O69" i="3"/>
  <c r="K57" i="5" s="1" a="1"/>
  <c r="K57" i="5" s="1"/>
  <c r="M69" i="3"/>
  <c r="I57" i="5" s="1" a="1"/>
  <c r="I57" i="5" s="1"/>
  <c r="K69" i="3"/>
  <c r="G57" i="5" s="1" a="1"/>
  <c r="G57" i="5" s="1"/>
  <c r="J75" i="3"/>
  <c r="N75" i="3"/>
  <c r="J74" i="5" s="1" a="1"/>
  <c r="J74" i="5" s="1"/>
  <c r="M75" i="3"/>
  <c r="I74" i="5" s="1" a="1"/>
  <c r="I74" i="5" s="1"/>
  <c r="K75" i="3"/>
  <c r="G74" i="5" s="1" a="1"/>
  <c r="G74" i="5" s="1"/>
  <c r="N81" i="3"/>
  <c r="J80" i="5" s="1" a="1"/>
  <c r="J80" i="5" s="1"/>
  <c r="M88" i="3"/>
  <c r="I87" i="5" s="1" a="1"/>
  <c r="I87" i="5" s="1"/>
  <c r="B10" i="5"/>
  <c r="N13" i="3"/>
  <c r="J15" i="5" s="1" a="1"/>
  <c r="J15" i="5" s="1"/>
  <c r="U38" i="5"/>
  <c r="AB37" i="5"/>
  <c r="AC24" i="5"/>
  <c r="AB23" i="5"/>
  <c r="AA22" i="5"/>
  <c r="W21" i="5"/>
  <c r="V20" i="5"/>
  <c r="U19" i="5"/>
  <c r="AA37" i="5"/>
  <c r="AB24" i="5"/>
  <c r="AA23" i="5"/>
  <c r="W22" i="5"/>
  <c r="V21" i="5"/>
  <c r="U20" i="5"/>
  <c r="AC26" i="5"/>
  <c r="AB25" i="5"/>
  <c r="AA24" i="5"/>
  <c r="W23" i="5"/>
  <c r="V22" i="5"/>
  <c r="U21" i="5"/>
  <c r="V38" i="5"/>
  <c r="AC37" i="5"/>
  <c r="AC23" i="5"/>
  <c r="AB22" i="5"/>
  <c r="AA21" i="5"/>
  <c r="W20" i="5"/>
  <c r="V19" i="5"/>
  <c r="U18" i="5"/>
  <c r="U32" i="5"/>
  <c r="V23" i="5"/>
  <c r="U23" i="5"/>
  <c r="U33" i="5"/>
  <c r="AB21" i="5"/>
  <c r="AA18" i="5"/>
  <c r="AH41" i="5"/>
  <c r="AA40" i="5"/>
  <c r="AH35" i="5"/>
  <c r="AA34" i="5"/>
  <c r="AG35" i="5"/>
  <c r="V18" i="5"/>
  <c r="AB28" i="5"/>
  <c r="AA25" i="5"/>
  <c r="AA28" i="5"/>
  <c r="W25" i="5"/>
  <c r="W19" i="5"/>
  <c r="AG37" i="5"/>
  <c r="AA33" i="5"/>
  <c r="W24" i="5"/>
  <c r="V24" i="5"/>
  <c r="W33" i="5"/>
  <c r="U24" i="5"/>
  <c r="V33" i="5"/>
  <c r="AC27" i="5"/>
  <c r="AB27" i="5"/>
  <c r="AG40" i="5"/>
  <c r="AA35" i="5"/>
  <c r="AA32" i="5"/>
  <c r="AA27" i="5"/>
  <c r="AC21" i="5"/>
  <c r="AA26" i="5"/>
  <c r="Q31" i="3"/>
  <c r="M35" i="5" s="1" a="1"/>
  <c r="M35" i="5" s="1"/>
  <c r="P50" i="5"/>
  <c r="B50" i="5"/>
  <c r="R81" i="3"/>
  <c r="N80" i="5" s="1" a="1"/>
  <c r="N80" i="5" s="1"/>
  <c r="O88" i="3"/>
  <c r="K87" i="5" s="1" a="1"/>
  <c r="K87" i="5" s="1"/>
  <c r="AA19" i="5"/>
  <c r="O2" i="3"/>
  <c r="L6" i="3"/>
  <c r="H9" i="5" s="1" a="1"/>
  <c r="H9" i="5" s="1"/>
  <c r="J43" i="3"/>
  <c r="O43" i="3"/>
  <c r="K48" i="5" s="1" a="1"/>
  <c r="K48" i="5" s="1"/>
  <c r="B83" i="5"/>
  <c r="B17" i="5"/>
  <c r="W34" i="5"/>
  <c r="V34" i="5"/>
  <c r="P35" i="3"/>
  <c r="L33" i="5" s="1" a="1"/>
  <c r="L33" i="5" s="1"/>
  <c r="O35" i="3"/>
  <c r="K33" i="5" s="1" a="1"/>
  <c r="K33" i="5" s="1"/>
  <c r="N35" i="3"/>
  <c r="J33" i="5" s="1" a="1"/>
  <c r="J33" i="5" s="1"/>
  <c r="M35" i="3"/>
  <c r="I33" i="5" s="1" a="1"/>
  <c r="I33" i="5" s="1"/>
  <c r="L35" i="3"/>
  <c r="H33" i="5" s="1" a="1"/>
  <c r="H33" i="5" s="1"/>
  <c r="K35" i="3"/>
  <c r="G33" i="5" s="1" a="1"/>
  <c r="G33" i="5" s="1"/>
  <c r="J35" i="3"/>
  <c r="R61" i="3"/>
  <c r="N66" i="5" s="1" a="1"/>
  <c r="N66" i="5" s="1"/>
  <c r="L45" i="3"/>
  <c r="H45" i="5" s="1" a="1"/>
  <c r="H45" i="5" s="1"/>
  <c r="K45" i="3"/>
  <c r="G45" i="5" s="1" a="1"/>
  <c r="G45" i="5" s="1"/>
  <c r="J45" i="3"/>
  <c r="Q45" i="3"/>
  <c r="M45" i="5" s="1" a="1"/>
  <c r="M45" i="5" s="1"/>
  <c r="P45" i="3"/>
  <c r="L45" i="5" s="1" a="1"/>
  <c r="L45" i="5" s="1"/>
  <c r="N45" i="3"/>
  <c r="J45" i="5" s="1" a="1"/>
  <c r="J45" i="5" s="1"/>
  <c r="M72" i="3"/>
  <c r="I69" i="5" s="1" a="1"/>
  <c r="I69" i="5" s="1"/>
  <c r="AB20" i="5"/>
  <c r="U25" i="5"/>
  <c r="AI42" i="5"/>
  <c r="AG42" i="5"/>
  <c r="N8" i="3"/>
  <c r="J18" i="5" s="1" a="1"/>
  <c r="J18" i="5" s="1"/>
  <c r="M8" i="3"/>
  <c r="I18" i="5" s="1" a="1"/>
  <c r="I18" i="5" s="1"/>
  <c r="K16" i="3"/>
  <c r="G2" i="5" s="1" a="1"/>
  <c r="G2" i="5" s="1"/>
  <c r="Q25" i="3"/>
  <c r="M30" i="5" s="1" a="1"/>
  <c r="M30" i="5" s="1"/>
  <c r="P25" i="3"/>
  <c r="L30" i="5" s="1" a="1"/>
  <c r="L30" i="5" s="1"/>
  <c r="M25" i="3"/>
  <c r="I30" i="5" s="1" a="1"/>
  <c r="I30" i="5" s="1"/>
  <c r="O61" i="3"/>
  <c r="K66" i="5" s="1" a="1"/>
  <c r="K66" i="5" s="1"/>
  <c r="L67" i="3"/>
  <c r="H64" i="5" s="1" a="1"/>
  <c r="H64" i="5" s="1"/>
  <c r="J67" i="3"/>
  <c r="R67" i="3"/>
  <c r="N64" i="5" s="1" a="1"/>
  <c r="N64" i="5" s="1"/>
  <c r="Q67" i="3"/>
  <c r="M64" i="5" s="1" a="1"/>
  <c r="M64" i="5" s="1"/>
  <c r="P67" i="3"/>
  <c r="L64" i="5" s="1" a="1"/>
  <c r="L64" i="5" s="1"/>
  <c r="O67" i="3"/>
  <c r="K64" i="5" s="1" a="1"/>
  <c r="K64" i="5" s="1"/>
  <c r="N67" i="3"/>
  <c r="J64" i="5" s="1" a="1"/>
  <c r="J64" i="5" s="1"/>
  <c r="V25" i="5"/>
  <c r="P51" i="3"/>
  <c r="L47" i="5" s="1" a="1"/>
  <c r="L47" i="5" s="1"/>
  <c r="O51" i="3"/>
  <c r="K47" i="5" s="1" a="1"/>
  <c r="K47" i="5" s="1"/>
  <c r="N51" i="3"/>
  <c r="J47" i="5" s="1" a="1"/>
  <c r="J47" i="5" s="1"/>
  <c r="M51" i="3"/>
  <c r="I47" i="5" s="1" a="1"/>
  <c r="I47" i="5" s="1"/>
  <c r="L51" i="3"/>
  <c r="H47" i="5" s="1" a="1"/>
  <c r="H47" i="5" s="1"/>
  <c r="J51" i="3"/>
  <c r="R66" i="3"/>
  <c r="N68" i="5" s="1" a="1"/>
  <c r="N68" i="5" s="1"/>
  <c r="R84" i="3"/>
  <c r="N83" i="5" s="1" a="1"/>
  <c r="N83" i="5" s="1"/>
  <c r="P84" i="3"/>
  <c r="L83" i="5" s="1" a="1"/>
  <c r="L83" i="5" s="1"/>
  <c r="Q84" i="3"/>
  <c r="M83" i="5" s="1" a="1"/>
  <c r="M83" i="5" s="1"/>
  <c r="O84" i="3"/>
  <c r="K83" i="5" s="1" a="1"/>
  <c r="K83" i="5" s="1"/>
  <c r="O91" i="3"/>
  <c r="K90" i="5" s="1" a="1"/>
  <c r="K90" i="5" s="1"/>
  <c r="N91" i="3"/>
  <c r="J90" i="5" s="1" a="1"/>
  <c r="J90" i="5" s="1"/>
  <c r="M91" i="3"/>
  <c r="I90" i="5" s="1" a="1"/>
  <c r="I90" i="5" s="1"/>
  <c r="J91" i="3"/>
  <c r="L91" i="3"/>
  <c r="H90" i="5" s="1" a="1"/>
  <c r="H90" i="5" s="1"/>
  <c r="K91" i="3"/>
  <c r="G90" i="5" s="1" a="1"/>
  <c r="G90" i="5" s="1"/>
  <c r="Q4" i="3"/>
  <c r="M3" i="5" s="1" a="1"/>
  <c r="M3" i="5" s="1"/>
  <c r="P4" i="3"/>
  <c r="L3" i="5" s="1" a="1"/>
  <c r="L3" i="5" s="1"/>
  <c r="O4" i="3"/>
  <c r="K3" i="5" s="1" a="1"/>
  <c r="K3" i="5" s="1"/>
  <c r="N4" i="3"/>
  <c r="J3" i="5" s="1" a="1"/>
  <c r="J3" i="5" s="1"/>
  <c r="M4" i="3"/>
  <c r="I3" i="5" s="1" a="1"/>
  <c r="I3" i="5" s="1"/>
  <c r="R4" i="3"/>
  <c r="N3" i="5" s="1" a="1"/>
  <c r="N3" i="5" s="1"/>
  <c r="AI32" i="5" s="1"/>
  <c r="L4" i="3"/>
  <c r="H3" i="5" s="1" a="1"/>
  <c r="H3" i="5" s="1"/>
  <c r="J12" i="3"/>
  <c r="AB33" i="5"/>
  <c r="B58" i="5"/>
  <c r="N87" i="3"/>
  <c r="J86" i="5" s="1" a="1"/>
  <c r="J86" i="5" s="1"/>
  <c r="M87" i="3"/>
  <c r="I86" i="5" s="1" a="1"/>
  <c r="I86" i="5" s="1"/>
  <c r="L87" i="3"/>
  <c r="H86" i="5" s="1" a="1"/>
  <c r="H86" i="5" s="1"/>
  <c r="K87" i="3"/>
  <c r="G86" i="5" s="1" a="1"/>
  <c r="G86" i="5" s="1"/>
  <c r="J87" i="3"/>
  <c r="R74" i="3"/>
  <c r="N73" i="5" s="1" a="1"/>
  <c r="N73" i="5" s="1"/>
  <c r="R79" i="3"/>
  <c r="N78" i="5" s="1" a="1"/>
  <c r="N78" i="5" s="1"/>
  <c r="Q79" i="3"/>
  <c r="M78" i="5" s="1" a="1"/>
  <c r="M78" i="5" s="1"/>
  <c r="R95" i="3"/>
  <c r="N94" i="5" s="1" a="1"/>
  <c r="N94" i="5" s="1"/>
  <c r="R99" i="3"/>
  <c r="N98" i="5" s="1" a="1"/>
  <c r="N98" i="5" s="1"/>
  <c r="AC35" i="5"/>
  <c r="B96" i="5"/>
  <c r="K11" i="3"/>
  <c r="G38" i="5" s="1" a="1"/>
  <c r="G38" i="5" s="1"/>
  <c r="J11" i="3"/>
  <c r="M31" i="3"/>
  <c r="I35" i="5" s="1" a="1"/>
  <c r="I35" i="5" s="1"/>
  <c r="L31" i="3"/>
  <c r="H35" i="5" s="1" a="1"/>
  <c r="H35" i="5" s="1"/>
  <c r="K31" i="3"/>
  <c r="G35" i="5" s="1" a="1"/>
  <c r="G35" i="5" s="1"/>
  <c r="J31" i="3"/>
  <c r="N74" i="3"/>
  <c r="J73" i="5" s="1" a="1"/>
  <c r="J73" i="5" s="1"/>
  <c r="M74" i="3"/>
  <c r="I73" i="5" s="1" a="1"/>
  <c r="I73" i="5" s="1"/>
  <c r="L74" i="3"/>
  <c r="H73" i="5" s="1" a="1"/>
  <c r="H73" i="5" s="1"/>
  <c r="K74" i="3"/>
  <c r="G73" i="5" s="1" a="1"/>
  <c r="G73" i="5" s="1"/>
  <c r="J74" i="3"/>
  <c r="B75" i="5"/>
  <c r="K96" i="3"/>
  <c r="G95" i="5" s="1" a="1"/>
  <c r="G95" i="5" s="1"/>
  <c r="J96" i="3"/>
  <c r="R96" i="3"/>
  <c r="N95" i="5" s="1" a="1"/>
  <c r="N95" i="5" s="1"/>
  <c r="Q96" i="3"/>
  <c r="M95" i="5" s="1" a="1"/>
  <c r="M95" i="5" s="1"/>
  <c r="P96" i="3"/>
  <c r="L95" i="5" s="1" a="1"/>
  <c r="L95" i="5" s="1"/>
  <c r="O96" i="3"/>
  <c r="K95" i="5" s="1" a="1"/>
  <c r="K95" i="5" s="1"/>
  <c r="N96" i="3"/>
  <c r="J95" i="5" s="1" a="1"/>
  <c r="J95" i="5" s="1"/>
  <c r="AB32" i="5"/>
  <c r="AB35" i="5"/>
  <c r="AH40" i="5"/>
  <c r="O50" i="3"/>
  <c r="K42" i="5" s="1" a="1"/>
  <c r="K42" i="5" s="1"/>
  <c r="N50" i="3"/>
  <c r="J42" i="5" s="1" a="1"/>
  <c r="J42" i="5" s="1"/>
  <c r="M50" i="3"/>
  <c r="I42" i="5" s="1" a="1"/>
  <c r="I42" i="5" s="1"/>
  <c r="L50" i="3"/>
  <c r="H42" i="5" s="1" a="1"/>
  <c r="H42" i="5" s="1"/>
  <c r="J50" i="3"/>
  <c r="K50" i="3"/>
  <c r="G42" i="5" s="1" a="1"/>
  <c r="G42" i="5" s="1"/>
  <c r="R53" i="3"/>
  <c r="N32" i="5" s="1" a="1"/>
  <c r="N32" i="5" s="1"/>
  <c r="Q69" i="3"/>
  <c r="M57" i="5" s="1" a="1"/>
  <c r="M57" i="5" s="1"/>
  <c r="B65" i="5"/>
  <c r="B80" i="5"/>
  <c r="AI35" i="5"/>
  <c r="V37" i="5"/>
  <c r="W37" i="5"/>
  <c r="Q34" i="3"/>
  <c r="M46" i="5" s="1" a="1"/>
  <c r="M46" i="5" s="1"/>
  <c r="P42" i="3"/>
  <c r="L31" i="5" s="1" a="1"/>
  <c r="L31" i="5" s="1"/>
  <c r="R57" i="3"/>
  <c r="N24" i="5" s="1" a="1"/>
  <c r="N24" i="5" s="1"/>
  <c r="P61" i="3"/>
  <c r="L66" i="5" s="1" a="1"/>
  <c r="L66" i="5" s="1"/>
  <c r="N86" i="3"/>
  <c r="J85" i="5" s="1" a="1"/>
  <c r="J85" i="5" s="1"/>
  <c r="M86" i="3"/>
  <c r="I85" i="5" s="1" a="1"/>
  <c r="I85" i="5" s="1"/>
  <c r="L86" i="3"/>
  <c r="H85" i="5" s="1" a="1"/>
  <c r="H85" i="5" s="1"/>
  <c r="K86" i="3"/>
  <c r="G85" i="5" s="1" a="1"/>
  <c r="G85" i="5" s="1"/>
  <c r="N99" i="3"/>
  <c r="J98" i="5" s="1" a="1"/>
  <c r="J98" i="5" s="1"/>
  <c r="M99" i="3"/>
  <c r="I98" i="5" s="1" a="1"/>
  <c r="I98" i="5" s="1"/>
  <c r="L99" i="3"/>
  <c r="H98" i="5" s="1" a="1"/>
  <c r="H98" i="5" s="1"/>
  <c r="K99" i="3"/>
  <c r="G98" i="5" s="1" a="1"/>
  <c r="G98" i="5" s="1"/>
  <c r="J99" i="3"/>
  <c r="J100" i="3"/>
  <c r="R38" i="3"/>
  <c r="N25" i="5" s="1" a="1"/>
  <c r="N25" i="5" s="1"/>
  <c r="Q38" i="3"/>
  <c r="M25" i="5" s="1" a="1"/>
  <c r="M25" i="5" s="1"/>
  <c r="P38" i="3"/>
  <c r="L25" i="5" s="1" a="1"/>
  <c r="L25" i="5" s="1"/>
  <c r="O38" i="3"/>
  <c r="K25" i="5" s="1" a="1"/>
  <c r="K25" i="5" s="1"/>
  <c r="N38" i="3"/>
  <c r="J25" i="5" s="1" a="1"/>
  <c r="J25" i="5" s="1"/>
  <c r="P73" i="3"/>
  <c r="L58" i="5" s="1" a="1"/>
  <c r="L58" i="5" s="1"/>
  <c r="N73" i="3"/>
  <c r="J58" i="5" s="1" a="1"/>
  <c r="J58" i="5" s="1"/>
  <c r="M73" i="3"/>
  <c r="I58" i="5" s="1" a="1"/>
  <c r="I58" i="5" s="1"/>
  <c r="Q42" i="3"/>
  <c r="M31" i="5" s="1" a="1"/>
  <c r="M31" i="5" s="1"/>
  <c r="Q61" i="3"/>
  <c r="M66" i="5" s="1" a="1"/>
  <c r="M66" i="5" s="1"/>
  <c r="P69" i="3"/>
  <c r="L57" i="5" s="1" a="1"/>
  <c r="L57" i="5" s="1"/>
  <c r="K100" i="3"/>
  <c r="G99" i="5" s="1" a="1"/>
  <c r="G99" i="5" s="1"/>
  <c r="AI41" i="5"/>
  <c r="B47" i="5"/>
  <c r="J42" i="3"/>
  <c r="B63" i="5"/>
  <c r="L61" i="3"/>
  <c r="H66" i="5" s="1" a="1"/>
  <c r="H66" i="5" s="1"/>
  <c r="K61" i="3"/>
  <c r="G66" i="5" s="1" a="1"/>
  <c r="G66" i="5" s="1"/>
  <c r="J61" i="3"/>
  <c r="L100" i="3"/>
  <c r="H99" i="5" s="1" a="1"/>
  <c r="H99" i="5" s="1"/>
  <c r="R100" i="3"/>
  <c r="N99" i="5" s="1" a="1"/>
  <c r="N99" i="5" s="1"/>
  <c r="Q100" i="3"/>
  <c r="M99" i="5" s="1" a="1"/>
  <c r="M99" i="5" s="1"/>
  <c r="P100" i="3"/>
  <c r="L99" i="5" s="1" a="1"/>
  <c r="L99" i="5" s="1"/>
  <c r="O100" i="3"/>
  <c r="K99" i="5" s="1" a="1"/>
  <c r="K99" i="5" s="1"/>
  <c r="N100" i="3"/>
  <c r="J99" i="5" s="1" a="1"/>
  <c r="J99" i="5" s="1"/>
  <c r="W40" i="5"/>
  <c r="V40" i="5"/>
  <c r="B43" i="5"/>
  <c r="U40" i="5"/>
  <c r="P41" i="3"/>
  <c r="L55" i="5" s="1" a="1"/>
  <c r="L55" i="5" s="1"/>
  <c r="P57" i="3"/>
  <c r="L24" i="5" s="1" a="1"/>
  <c r="L24" i="5" s="1"/>
  <c r="P74" i="3"/>
  <c r="L73" i="5" s="1" a="1"/>
  <c r="L73" i="5" s="1"/>
  <c r="P81" i="3"/>
  <c r="L80" i="5" s="1" a="1"/>
  <c r="L80" i="5" s="1"/>
  <c r="B27" i="5"/>
  <c r="Q41" i="3"/>
  <c r="M55" i="5" s="1" a="1"/>
  <c r="M55" i="5" s="1"/>
  <c r="Q57" i="3"/>
  <c r="M24" i="5" s="1" a="1"/>
  <c r="M24" i="5" s="1"/>
  <c r="Q74" i="3"/>
  <c r="M73" i="5" s="1" a="1"/>
  <c r="M73" i="5" s="1"/>
  <c r="Q81" i="3"/>
  <c r="M80" i="5" s="1" a="1"/>
  <c r="M80" i="5" s="1"/>
  <c r="R92" i="3"/>
  <c r="N91" i="5" s="1" a="1"/>
  <c r="N91" i="5" s="1"/>
  <c r="Q92" i="3"/>
  <c r="M91" i="5" s="1" a="1"/>
  <c r="M91" i="5" s="1"/>
  <c r="P92" i="3"/>
  <c r="L91" i="5" s="1" a="1"/>
  <c r="L91" i="5" s="1"/>
  <c r="O92" i="3"/>
  <c r="K91" i="5" s="1" a="1"/>
  <c r="K91" i="5" s="1"/>
  <c r="AG41" i="5"/>
  <c r="B89" i="5"/>
  <c r="T6" i="5" l="1"/>
  <c r="T5" i="5"/>
  <c r="W27" i="5"/>
  <c r="O13" i="5"/>
  <c r="B2" i="3"/>
  <c r="O80" i="5"/>
  <c r="F35" i="5" a="1"/>
  <c r="F35" i="5" s="1"/>
  <c r="O35" i="5" s="1"/>
  <c r="B31" i="3"/>
  <c r="F90" i="5" a="1"/>
  <c r="F90" i="5" s="1"/>
  <c r="O90" i="5" s="1"/>
  <c r="B91" i="3"/>
  <c r="F23" i="5" a="1"/>
  <c r="F23" i="5" s="1"/>
  <c r="O23" i="5" s="1"/>
  <c r="B19" i="3"/>
  <c r="F5" i="5" a="1"/>
  <c r="F5" i="5" s="1"/>
  <c r="O5" i="5" s="1"/>
  <c r="B10" i="3"/>
  <c r="B49" i="3"/>
  <c r="F50" i="5" a="1"/>
  <c r="F50" i="5" s="1"/>
  <c r="O50" i="5" s="1"/>
  <c r="F76" i="5" a="1"/>
  <c r="F76" i="5" s="1"/>
  <c r="O76" i="5" s="1"/>
  <c r="B77" i="3"/>
  <c r="F57" i="5" a="1"/>
  <c r="F57" i="5" s="1"/>
  <c r="O57" i="5" s="1"/>
  <c r="B69" i="3"/>
  <c r="B71" i="3"/>
  <c r="F65" i="5" a="1"/>
  <c r="F65" i="5" s="1"/>
  <c r="O65" i="5" s="1"/>
  <c r="F45" i="5" a="1"/>
  <c r="F45" i="5" s="1"/>
  <c r="O45" i="5" s="1"/>
  <c r="B45" i="3"/>
  <c r="B57" i="3"/>
  <c r="F55" i="5" a="1"/>
  <c r="F55" i="5" s="1"/>
  <c r="O55" i="5" s="1"/>
  <c r="B41" i="3"/>
  <c r="B51" i="3"/>
  <c r="F47" i="5" a="1"/>
  <c r="F47" i="5" s="1"/>
  <c r="O47" i="5" s="1"/>
  <c r="F62" i="5" a="1"/>
  <c r="F62" i="5" s="1"/>
  <c r="O62" i="5" s="1"/>
  <c r="B64" i="3"/>
  <c r="B7" i="3"/>
  <c r="F4" i="5" a="1"/>
  <c r="F4" i="5" s="1"/>
  <c r="O4" i="5" s="1"/>
  <c r="T12" i="5"/>
  <c r="F85" i="5" a="1"/>
  <c r="F85" i="5" s="1"/>
  <c r="O85" i="5" s="1"/>
  <c r="B86" i="3"/>
  <c r="F97" i="5" a="1"/>
  <c r="F97" i="5" s="1"/>
  <c r="O97" i="5" s="1"/>
  <c r="B98" i="3"/>
  <c r="F54" i="5" a="1"/>
  <c r="F54" i="5" s="1"/>
  <c r="O54" i="5" s="1"/>
  <c r="B37" i="3"/>
  <c r="F28" i="5" a="1"/>
  <c r="F28" i="5" s="1"/>
  <c r="O28" i="5" s="1"/>
  <c r="B48" i="3"/>
  <c r="B62" i="3"/>
  <c r="F72" i="5" a="1"/>
  <c r="F72" i="5" s="1"/>
  <c r="O72" i="5" s="1"/>
  <c r="F42" i="5" a="1"/>
  <c r="F42" i="5" s="1"/>
  <c r="O42" i="5" s="1"/>
  <c r="B50" i="3"/>
  <c r="F94" i="5" a="1"/>
  <c r="F94" i="5" s="1"/>
  <c r="O94" i="5" s="1"/>
  <c r="B95" i="3"/>
  <c r="B36" i="3"/>
  <c r="F27" i="5" a="1"/>
  <c r="F27" i="5" s="1"/>
  <c r="O27" i="5" s="1"/>
  <c r="B35" i="3"/>
  <c r="F33" i="5" a="1"/>
  <c r="F33" i="5" s="1"/>
  <c r="O33" i="5" s="1"/>
  <c r="F74" i="5" a="1"/>
  <c r="F74" i="5" s="1"/>
  <c r="O74" i="5" s="1"/>
  <c r="B75" i="3"/>
  <c r="T9" i="5"/>
  <c r="B28" i="3"/>
  <c r="F40" i="5" a="1"/>
  <c r="F40" i="5" s="1"/>
  <c r="O40" i="5" s="1"/>
  <c r="B15" i="3"/>
  <c r="F14" i="5" a="1"/>
  <c r="F14" i="5" s="1"/>
  <c r="O14" i="5" s="1"/>
  <c r="B79" i="3"/>
  <c r="F78" i="5" a="1"/>
  <c r="F78" i="5" s="1"/>
  <c r="O78" i="5" s="1"/>
  <c r="F84" i="5" a="1"/>
  <c r="F84" i="5" s="1"/>
  <c r="O84" i="5" s="1"/>
  <c r="B85" i="3"/>
  <c r="F79" i="5" a="1"/>
  <c r="F79" i="5" s="1"/>
  <c r="O79" i="5" s="1"/>
  <c r="B80" i="3"/>
  <c r="F7" i="5" a="1"/>
  <c r="F7" i="5" s="1"/>
  <c r="O7" i="5" s="1"/>
  <c r="B14" i="3"/>
  <c r="B68" i="3"/>
  <c r="F59" i="5" a="1"/>
  <c r="F59" i="5" s="1"/>
  <c r="O59" i="5" s="1"/>
  <c r="T4" i="5"/>
  <c r="F19" i="5" a="1"/>
  <c r="F19" i="5" s="1"/>
  <c r="O19" i="5" s="1"/>
  <c r="B39" i="3"/>
  <c r="F3" i="5" a="1"/>
  <c r="F3" i="5" s="1"/>
  <c r="O3" i="5" s="1"/>
  <c r="B4" i="3"/>
  <c r="F8" i="5" a="1"/>
  <c r="F8" i="5" s="1"/>
  <c r="O8" i="5" s="1"/>
  <c r="B17" i="3"/>
  <c r="B29" i="3"/>
  <c r="F21" i="5" a="1"/>
  <c r="F21" i="5" s="1"/>
  <c r="O21" i="5" s="1"/>
  <c r="F77" i="5" a="1"/>
  <c r="F77" i="5" s="1"/>
  <c r="O77" i="5" s="1"/>
  <c r="B78" i="3"/>
  <c r="B100" i="3"/>
  <c r="F99" i="5" a="1"/>
  <c r="F99" i="5" s="1"/>
  <c r="O99" i="5" s="1"/>
  <c r="T8" i="5"/>
  <c r="F37" i="5" a="1"/>
  <c r="F37" i="5" s="1"/>
  <c r="O37" i="5" s="1"/>
  <c r="B40" i="3"/>
  <c r="F41" i="5" a="1"/>
  <c r="F41" i="5" s="1"/>
  <c r="O41" i="5" s="1"/>
  <c r="B27" i="3"/>
  <c r="T3" i="5"/>
  <c r="F75" i="5" a="1"/>
  <c r="F75" i="5" s="1"/>
  <c r="O75" i="5" s="1"/>
  <c r="B76" i="3"/>
  <c r="F15" i="5" a="1"/>
  <c r="F15" i="5" s="1"/>
  <c r="O15" i="5" s="1"/>
  <c r="B13" i="3"/>
  <c r="F20" i="5" a="1"/>
  <c r="F20" i="5" s="1"/>
  <c r="O20" i="5" s="1"/>
  <c r="B56" i="3"/>
  <c r="F2" i="5" a="1"/>
  <c r="F2" i="5" s="1"/>
  <c r="O2" i="5" s="1"/>
  <c r="B16" i="3"/>
  <c r="F43" i="5" a="1"/>
  <c r="F43" i="5" s="1"/>
  <c r="O43" i="5" s="1"/>
  <c r="B55" i="3"/>
  <c r="F38" i="5" a="1"/>
  <c r="F38" i="5" s="1"/>
  <c r="O38" i="5" s="1"/>
  <c r="B11" i="3"/>
  <c r="B72" i="3"/>
  <c r="F69" i="5" a="1"/>
  <c r="F69" i="5" s="1"/>
  <c r="O69" i="5" s="1"/>
  <c r="F17" i="5" a="1"/>
  <c r="F17" i="5" s="1"/>
  <c r="O17" i="5" s="1"/>
  <c r="B9" i="3"/>
  <c r="F81" i="5" a="1"/>
  <c r="F81" i="5" s="1"/>
  <c r="O81" i="5" s="1"/>
  <c r="B82" i="3"/>
  <c r="T7" i="5"/>
  <c r="B99" i="3"/>
  <c r="F98" i="5" a="1"/>
  <c r="F98" i="5" s="1"/>
  <c r="O98" i="5" s="1"/>
  <c r="F11" i="5" a="1"/>
  <c r="F11" i="5" s="1"/>
  <c r="O11" i="5" s="1"/>
  <c r="B22" i="3"/>
  <c r="B3" i="3"/>
  <c r="F36" i="5" a="1"/>
  <c r="F36" i="5" s="1"/>
  <c r="O36" i="5" s="1"/>
  <c r="F6" i="5" a="1"/>
  <c r="F6" i="5" s="1"/>
  <c r="O6" i="5" s="1"/>
  <c r="B12" i="3"/>
  <c r="B33" i="3"/>
  <c r="F39" i="5" a="1"/>
  <c r="F39" i="5" s="1"/>
  <c r="O39" i="5" s="1"/>
  <c r="B42" i="3"/>
  <c r="F31" i="5" a="1"/>
  <c r="F31" i="5" s="1"/>
  <c r="O31" i="5" s="1"/>
  <c r="F34" i="5" a="1"/>
  <c r="F34" i="5" s="1"/>
  <c r="O34" i="5" s="1"/>
  <c r="B44" i="3"/>
  <c r="F18" i="5" a="1"/>
  <c r="F18" i="5" s="1"/>
  <c r="O18" i="5" s="1"/>
  <c r="B8" i="3"/>
  <c r="B92" i="3"/>
  <c r="F91" i="5" a="1"/>
  <c r="F91" i="5" s="1"/>
  <c r="O91" i="5" s="1"/>
  <c r="F60" i="5" a="1"/>
  <c r="F60" i="5" s="1"/>
  <c r="O60" i="5" s="1"/>
  <c r="B58" i="3"/>
  <c r="F10" i="5" a="1"/>
  <c r="F10" i="5" s="1"/>
  <c r="O10" i="5" s="1"/>
  <c r="B20" i="3"/>
  <c r="F96" i="5" a="1"/>
  <c r="F96" i="5" s="1"/>
  <c r="O96" i="5" s="1"/>
  <c r="B97" i="3"/>
  <c r="F71" i="5" a="1"/>
  <c r="F71" i="5" s="1"/>
  <c r="O71" i="5" s="1"/>
  <c r="B65" i="3"/>
  <c r="B88" i="3"/>
  <c r="F87" i="5" a="1"/>
  <c r="F87" i="5" s="1"/>
  <c r="O87" i="5" s="1"/>
  <c r="B59" i="3"/>
  <c r="F63" i="5" a="1"/>
  <c r="F63" i="5" s="1"/>
  <c r="O63" i="5" s="1"/>
  <c r="F64" i="5" a="1"/>
  <c r="F64" i="5" s="1"/>
  <c r="O64" i="5" s="1"/>
  <c r="B67" i="3"/>
  <c r="F49" i="5" a="1"/>
  <c r="F49" i="5" s="1"/>
  <c r="O49" i="5" s="1"/>
  <c r="B32" i="3"/>
  <c r="B46" i="3"/>
  <c r="F51" i="5" a="1"/>
  <c r="F51" i="5" s="1"/>
  <c r="O51" i="5" s="1"/>
  <c r="F68" i="5" a="1"/>
  <c r="F68" i="5" s="1"/>
  <c r="O68" i="5" s="1"/>
  <c r="B66" i="3"/>
  <c r="B47" i="3"/>
  <c r="F61" i="5" a="1"/>
  <c r="F61" i="5" s="1"/>
  <c r="O61" i="5" s="1"/>
  <c r="B63" i="3"/>
  <c r="F67" i="5" a="1"/>
  <c r="F67" i="5" s="1"/>
  <c r="O67" i="5" s="1"/>
  <c r="B70" i="3"/>
  <c r="F25" i="5" a="1"/>
  <c r="F25" i="5" s="1"/>
  <c r="O25" i="5" s="1"/>
  <c r="B38" i="3"/>
  <c r="F26" i="5" a="1"/>
  <c r="F26" i="5" s="1"/>
  <c r="O26" i="5" s="1"/>
  <c r="B21" i="3"/>
  <c r="O52" i="5"/>
  <c r="F93" i="5" a="1"/>
  <c r="F93" i="5" s="1"/>
  <c r="O93" i="5" s="1"/>
  <c r="B94" i="3"/>
  <c r="F95" i="5" a="1"/>
  <c r="F95" i="5" s="1"/>
  <c r="O95" i="5" s="1"/>
  <c r="B96" i="3"/>
  <c r="F92" i="5" a="1"/>
  <c r="F92" i="5" s="1"/>
  <c r="O92" i="5" s="1"/>
  <c r="B93" i="3"/>
  <c r="AC42" i="5"/>
  <c r="F12" i="5" a="1"/>
  <c r="F12" i="5" s="1"/>
  <c r="O12" i="5" s="1"/>
  <c r="B5" i="3"/>
  <c r="B90" i="3"/>
  <c r="F89" i="5" a="1"/>
  <c r="F89" i="5" s="1"/>
  <c r="O89" i="5" s="1"/>
  <c r="T13" i="5"/>
  <c r="F58" i="5" a="1"/>
  <c r="F58" i="5" s="1"/>
  <c r="O58" i="5" s="1"/>
  <c r="B73" i="3"/>
  <c r="AC25" i="5"/>
  <c r="O16" i="5"/>
  <c r="B81" i="3"/>
  <c r="F22" i="5" a="1"/>
  <c r="F22" i="5" s="1"/>
  <c r="O22" i="5" s="1"/>
  <c r="B26" i="3"/>
  <c r="T10" i="5"/>
  <c r="F44" i="5" a="1"/>
  <c r="F44" i="5" s="1"/>
  <c r="O44" i="5" s="1"/>
  <c r="B52" i="3"/>
  <c r="F53" i="5" a="1"/>
  <c r="F53" i="5" s="1"/>
  <c r="O53" i="5" s="1"/>
  <c r="B54" i="3"/>
  <c r="B84" i="3"/>
  <c r="F83" i="5" a="1"/>
  <c r="F83" i="5" s="1"/>
  <c r="O83" i="5" s="1"/>
  <c r="F32" i="5" a="1"/>
  <c r="F32" i="5" s="1"/>
  <c r="O32" i="5" s="1"/>
  <c r="B53" i="3"/>
  <c r="F46" i="5" a="1"/>
  <c r="F46" i="5" s="1"/>
  <c r="O46" i="5" s="1"/>
  <c r="B34" i="3"/>
  <c r="B30" i="3"/>
  <c r="B61" i="3"/>
  <c r="F66" i="5" a="1"/>
  <c r="F66" i="5" s="1"/>
  <c r="O66" i="5" s="1"/>
  <c r="F82" i="5" a="1"/>
  <c r="F82" i="5" s="1"/>
  <c r="O82" i="5" s="1"/>
  <c r="B83" i="3"/>
  <c r="T11" i="5"/>
  <c r="B23" i="3"/>
  <c r="F29" i="5" a="1"/>
  <c r="F29" i="5" s="1"/>
  <c r="O29" i="5" s="1"/>
  <c r="B87" i="3"/>
  <c r="F86" i="5" a="1"/>
  <c r="F86" i="5" s="1"/>
  <c r="O86" i="5" s="1"/>
  <c r="F48" i="5" a="1"/>
  <c r="F48" i="5" s="1"/>
  <c r="O48" i="5" s="1"/>
  <c r="B43" i="3"/>
  <c r="F88" i="5" a="1"/>
  <c r="F88" i="5" s="1"/>
  <c r="O88" i="5" s="1"/>
  <c r="B89" i="3"/>
  <c r="B25" i="3"/>
  <c r="F30" i="5" a="1"/>
  <c r="F30" i="5" s="1"/>
  <c r="O30" i="5" s="1"/>
  <c r="F73" i="5" a="1"/>
  <c r="F73" i="5" s="1"/>
  <c r="O73" i="5" s="1"/>
  <c r="B74" i="3"/>
  <c r="F56" i="5" a="1"/>
  <c r="F56" i="5" s="1"/>
  <c r="O56" i="5" s="1"/>
  <c r="B24" i="3"/>
  <c r="W18" i="5"/>
  <c r="W32" i="5"/>
  <c r="F70" i="5" a="1"/>
  <c r="F70" i="5" s="1"/>
  <c r="O70" i="5" s="1"/>
  <c r="B60" i="3"/>
  <c r="F9" i="5" a="1"/>
  <c r="F9" i="5" s="1"/>
  <c r="O9" i="5" s="1"/>
  <c r="B6" i="3"/>
  <c r="B18" i="3"/>
</calcChain>
</file>

<file path=xl/sharedStrings.xml><?xml version="1.0" encoding="utf-8"?>
<sst xmlns="http://schemas.openxmlformats.org/spreadsheetml/2006/main" count="1468" uniqueCount="494">
  <si>
    <t>Inf</t>
  </si>
  <si>
    <t>Name</t>
  </si>
  <si>
    <t>Age</t>
  </si>
  <si>
    <t>CA</t>
  </si>
  <si>
    <t>PA</t>
  </si>
  <si>
    <t>Nationalities</t>
  </si>
  <si>
    <t>Club</t>
  </si>
  <si>
    <t>Asking Price</t>
  </si>
  <si>
    <t>Positions</t>
  </si>
  <si>
    <t>Actual Rating</t>
  </si>
  <si>
    <t>Potential Rating</t>
  </si>
  <si>
    <t>Striker</t>
  </si>
  <si>
    <t>AM(L)</t>
  </si>
  <si>
    <t>AM(C)</t>
  </si>
  <si>
    <t>AM(R)</t>
  </si>
  <si>
    <t>DM</t>
  </si>
  <si>
    <t>D(L)</t>
  </si>
  <si>
    <t>D(C)</t>
  </si>
  <si>
    <t>D(R)</t>
  </si>
  <si>
    <t>GK</t>
  </si>
  <si>
    <t>Accelereation</t>
  </si>
  <si>
    <t>Agility</t>
  </si>
  <si>
    <t>Balance</t>
  </si>
  <si>
    <t>Jumping</t>
  </si>
  <si>
    <t>Left Foot</t>
  </si>
  <si>
    <t>Natural Fitness</t>
  </si>
  <si>
    <t>Pace</t>
  </si>
  <si>
    <t>Right Foot</t>
  </si>
  <si>
    <t>Stamina</t>
  </si>
  <si>
    <t>Strength</t>
  </si>
  <si>
    <t>Aerial Ability</t>
  </si>
  <si>
    <t>Command of Area</t>
  </si>
  <si>
    <t>Communication</t>
  </si>
  <si>
    <t>Eccentricity</t>
  </si>
  <si>
    <t>Handling</t>
  </si>
  <si>
    <t>Kicking</t>
  </si>
  <si>
    <t>One on Ones</t>
  </si>
  <si>
    <t>Reflexes</t>
  </si>
  <si>
    <t>Rushing Out</t>
  </si>
  <si>
    <t>Tendency to Punch</t>
  </si>
  <si>
    <t>Throwing</t>
  </si>
  <si>
    <t>Aggression</t>
  </si>
  <si>
    <t>Anticipation</t>
  </si>
  <si>
    <t>Bravery</t>
  </si>
  <si>
    <t>Composure</t>
  </si>
  <si>
    <t>Concentration</t>
  </si>
  <si>
    <t>Decisions</t>
  </si>
  <si>
    <t>Determination</t>
  </si>
  <si>
    <t>Flair</t>
  </si>
  <si>
    <t>Leadership</t>
  </si>
  <si>
    <t>Off the Ball</t>
  </si>
  <si>
    <t>Positioning</t>
  </si>
  <si>
    <t>Teamwork</t>
  </si>
  <si>
    <t>Vision</t>
  </si>
  <si>
    <t>Workrate</t>
  </si>
  <si>
    <t>Corners</t>
  </si>
  <si>
    <t>Crossing</t>
  </si>
  <si>
    <t>Dribbling</t>
  </si>
  <si>
    <t>Finishing</t>
  </si>
  <si>
    <t>First Touch</t>
  </si>
  <si>
    <t>Freekicks</t>
  </si>
  <si>
    <t>Heading</t>
  </si>
  <si>
    <t>Long Shots</t>
  </si>
  <si>
    <t>Long Throws</t>
  </si>
  <si>
    <t>Marking</t>
  </si>
  <si>
    <t>Passing</t>
  </si>
  <si>
    <t>Penalty Taking</t>
  </si>
  <si>
    <t>Tackling</t>
  </si>
  <si>
    <t>Technique</t>
  </si>
  <si>
    <t>Scot Little</t>
  </si>
  <si>
    <t>Scotland,England</t>
  </si>
  <si>
    <t>Brixham</t>
  </si>
  <si>
    <t>£2,676</t>
  </si>
  <si>
    <t xml:space="preserve">ST </t>
  </si>
  <si>
    <t>£13</t>
  </si>
  <si>
    <t>Alan Hackney</t>
  </si>
  <si>
    <t>England</t>
  </si>
  <si>
    <t>£12,105</t>
  </si>
  <si>
    <t>DM/M C</t>
  </si>
  <si>
    <t>£14</t>
  </si>
  <si>
    <t>Marc Mitchell</t>
  </si>
  <si>
    <t>Grenada,England</t>
  </si>
  <si>
    <t>£2,908</t>
  </si>
  <si>
    <t>AM LC</t>
  </si>
  <si>
    <t>£15</t>
  </si>
  <si>
    <t>Paul Stroud</t>
  </si>
  <si>
    <t>£2,613</t>
  </si>
  <si>
    <t>AM/ST RC</t>
  </si>
  <si>
    <t>Hisashi Roddy</t>
  </si>
  <si>
    <t>£2,713</t>
  </si>
  <si>
    <t>D/WB RL</t>
  </si>
  <si>
    <t>Ashley Sarahs</t>
  </si>
  <si>
    <t>England,Northern Ireland</t>
  </si>
  <si>
    <t>£1,980</t>
  </si>
  <si>
    <t xml:space="preserve">GK </t>
  </si>
  <si>
    <t>£8</t>
  </si>
  <si>
    <t>Aydin Webb</t>
  </si>
  <si>
    <t>£2,507</t>
  </si>
  <si>
    <t>M/AM RLC</t>
  </si>
  <si>
    <t>£7</t>
  </si>
  <si>
    <t>Daniel Willard</t>
  </si>
  <si>
    <t>£9,312</t>
  </si>
  <si>
    <t>AM L</t>
  </si>
  <si>
    <t>£10</t>
  </si>
  <si>
    <t>Allan Hall</t>
  </si>
  <si>
    <t>England,Australia</t>
  </si>
  <si>
    <t>£2,328</t>
  </si>
  <si>
    <t>Robbie Gallagher</t>
  </si>
  <si>
    <t>£11,298</t>
  </si>
  <si>
    <t>Jada Mawongo</t>
  </si>
  <si>
    <t>Sri Lanka,Democratic Republic of Congo,England</t>
  </si>
  <si>
    <t>£13,932</t>
  </si>
  <si>
    <t>D C</t>
  </si>
  <si>
    <t>£6</t>
  </si>
  <si>
    <t>Joe Cassidy</t>
  </si>
  <si>
    <t>Scotland</t>
  </si>
  <si>
    <t>£0</t>
  </si>
  <si>
    <t>Taye Weir</t>
  </si>
  <si>
    <t>D/WB/M L</t>
  </si>
  <si>
    <t>£5</t>
  </si>
  <si>
    <t>Sam Joce</t>
  </si>
  <si>
    <t>£3,223</t>
  </si>
  <si>
    <t>Donell Gordon</t>
  </si>
  <si>
    <t>M/AM RL</t>
  </si>
  <si>
    <t>£1</t>
  </si>
  <si>
    <t>Andrey Quintino</t>
  </si>
  <si>
    <t>Brazil</t>
  </si>
  <si>
    <t>£121,306</t>
  </si>
  <si>
    <t>AM RL</t>
  </si>
  <si>
    <t>Peter Purcell</t>
  </si>
  <si>
    <t>England,Republic of Ireland</t>
  </si>
  <si>
    <t>£99,576</t>
  </si>
  <si>
    <t>Ryan Penny</t>
  </si>
  <si>
    <t>£11</t>
  </si>
  <si>
    <t>Asa Hall</t>
  </si>
  <si>
    <t>Bradley Lethbridge</t>
  </si>
  <si>
    <t>£3,003</t>
  </si>
  <si>
    <t>Michael Shaw</t>
  </si>
  <si>
    <t>£3,992</t>
  </si>
  <si>
    <t>£4</t>
  </si>
  <si>
    <t>Will Hancox</t>
  </si>
  <si>
    <t>M/AM R</t>
  </si>
  <si>
    <t>Mateusz Widz</t>
  </si>
  <si>
    <t>England,Poland</t>
  </si>
  <si>
    <t>£2,270</t>
  </si>
  <si>
    <t>AM R</t>
  </si>
  <si>
    <t>Jayden Cumberbatch</t>
  </si>
  <si>
    <t>Jamaica,England</t>
  </si>
  <si>
    <t>£2,201</t>
  </si>
  <si>
    <t>D LC</t>
  </si>
  <si>
    <t>Jordan Wright</t>
  </si>
  <si>
    <t>New Zealand,England</t>
  </si>
  <si>
    <t>(£1)</t>
  </si>
  <si>
    <t>Maxwell Redman</t>
  </si>
  <si>
    <t>Australia,England</t>
  </si>
  <si>
    <t>£2,104</t>
  </si>
  <si>
    <t>Karnell Dunton</t>
  </si>
  <si>
    <t>£1,581</t>
  </si>
  <si>
    <t>Joseph James</t>
  </si>
  <si>
    <t>D RC</t>
  </si>
  <si>
    <t>Junior McQuilken</t>
  </si>
  <si>
    <t>D/WB L</t>
  </si>
  <si>
    <t>£3</t>
  </si>
  <si>
    <t>Nnaemeka Anyanwu</t>
  </si>
  <si>
    <t>M/AM/ST L</t>
  </si>
  <si>
    <t>Gabe Reivers</t>
  </si>
  <si>
    <t>M/AM C</t>
  </si>
  <si>
    <t>Joshua Adepoju</t>
  </si>
  <si>
    <t>AM/ST R</t>
  </si>
  <si>
    <t>£9</t>
  </si>
  <si>
    <t>Connor Underhill</t>
  </si>
  <si>
    <t>£6,551</t>
  </si>
  <si>
    <t>M C</t>
  </si>
  <si>
    <t>Scott Aldridge</t>
  </si>
  <si>
    <t>£1,914</t>
  </si>
  <si>
    <t>Ashley Nicholls</t>
  </si>
  <si>
    <t>£1,232</t>
  </si>
  <si>
    <t>£2</t>
  </si>
  <si>
    <t>Erdal Peker</t>
  </si>
  <si>
    <t>England,Turkey</t>
  </si>
  <si>
    <t>£2,038</t>
  </si>
  <si>
    <t>Paul Jarvis</t>
  </si>
  <si>
    <t>Wales,England</t>
  </si>
  <si>
    <t>£2,085</t>
  </si>
  <si>
    <t>Jordan Tait</t>
  </si>
  <si>
    <t>£1,403</t>
  </si>
  <si>
    <t>D L</t>
  </si>
  <si>
    <t>Number</t>
  </si>
  <si>
    <t>Current Rep.</t>
  </si>
  <si>
    <t>Condition (%)</t>
  </si>
  <si>
    <t>Banned</t>
  </si>
  <si>
    <t>Is Injured</t>
  </si>
  <si>
    <t>Fatigue</t>
  </si>
  <si>
    <t>Match Sharpness</t>
  </si>
  <si>
    <t>Consistency</t>
  </si>
  <si>
    <t>Dirtiness</t>
  </si>
  <si>
    <t>Important Matches</t>
  </si>
  <si>
    <t>Injury Proneness</t>
  </si>
  <si>
    <t>Versatility</t>
  </si>
  <si>
    <t>Adaptability</t>
  </si>
  <si>
    <t>Ambition</t>
  </si>
  <si>
    <t>Controversy</t>
  </si>
  <si>
    <t>Loyalty</t>
  </si>
  <si>
    <t>Pressure</t>
  </si>
  <si>
    <t>Professional</t>
  </si>
  <si>
    <t>Sportsmanship</t>
  </si>
  <si>
    <t>Temperament</t>
  </si>
  <si>
    <t>Acceleration</t>
  </si>
  <si>
    <t>Command Of Area</t>
  </si>
  <si>
    <t>One On Ones</t>
  </si>
  <si>
    <t>Tendency To Punch</t>
  </si>
  <si>
    <t>Off The Ball</t>
  </si>
  <si>
    <t>Longthrows</t>
  </si>
  <si>
    <t>GoalKeeper</t>
  </si>
  <si>
    <t>Defender Right</t>
  </si>
  <si>
    <t>Defender Center</t>
  </si>
  <si>
    <t>Defender Left</t>
  </si>
  <si>
    <t>Defensive Midfielder</t>
  </si>
  <si>
    <t>Attacking Mid. Right</t>
  </si>
  <si>
    <t>Attacking Mid. Center</t>
  </si>
  <si>
    <t>Attacking Mid. Left</t>
  </si>
  <si>
    <t>Contract Type</t>
  </si>
  <si>
    <t>Wages</t>
  </si>
  <si>
    <t>Appearance Bonus</t>
  </si>
  <si>
    <t>Loyalty Bonus</t>
  </si>
  <si>
    <t>Months Left (Contract)</t>
  </si>
  <si>
    <t>DM/M/AM C</t>
  </si>
  <si>
    <t>$472,856</t>
  </si>
  <si>
    <t>False</t>
  </si>
  <si>
    <t>$12</t>
  </si>
  <si>
    <t>FullTime</t>
  </si>
  <si>
    <t>$870</t>
  </si>
  <si>
    <t>Andrii Khrystenko</t>
  </si>
  <si>
    <t>Ukraine,England</t>
  </si>
  <si>
    <t>$427,874</t>
  </si>
  <si>
    <t>Truro City</t>
  </si>
  <si>
    <t>$2,319</t>
  </si>
  <si>
    <t>Northern Ireland,England</t>
  </si>
  <si>
    <t>$6,939,511</t>
  </si>
  <si>
    <t>$10</t>
  </si>
  <si>
    <t>$3,885</t>
  </si>
  <si>
    <t>DM/M/AM RLC</t>
  </si>
  <si>
    <t>$567,427</t>
  </si>
  <si>
    <t>$2,337</t>
  </si>
  <si>
    <t>Charlie Bell</t>
  </si>
  <si>
    <t>$45,692</t>
  </si>
  <si>
    <t>$11</t>
  </si>
  <si>
    <t>$2,746</t>
  </si>
  <si>
    <t>Cole Deeming</t>
  </si>
  <si>
    <t>DM/M LC</t>
  </si>
  <si>
    <t>$327,372</t>
  </si>
  <si>
    <t>$4,790</t>
  </si>
  <si>
    <t>$14</t>
  </si>
  <si>
    <t>$2,424</t>
  </si>
  <si>
    <t>Dominic Iorfa</t>
  </si>
  <si>
    <t>D RLC</t>
  </si>
  <si>
    <t>England,Nigeria</t>
  </si>
  <si>
    <t>$878,653</t>
  </si>
  <si>
    <t>$53</t>
  </si>
  <si>
    <t>Elia Favicchio</t>
  </si>
  <si>
    <t>M/AM LC</t>
  </si>
  <si>
    <t>Italy</t>
  </si>
  <si>
    <t>$480,758</t>
  </si>
  <si>
    <t>$6</t>
  </si>
  <si>
    <t>$4,919</t>
  </si>
  <si>
    <t>Ernie Weaver</t>
  </si>
  <si>
    <t>$2,327,103</t>
  </si>
  <si>
    <t>$80,562</t>
  </si>
  <si>
    <t>Gastón Ramírez</t>
  </si>
  <si>
    <t>AM/ST L</t>
  </si>
  <si>
    <t>Argentina,England</t>
  </si>
  <si>
    <t>$15</t>
  </si>
  <si>
    <t>$1,449</t>
  </si>
  <si>
    <t>George Johnston</t>
  </si>
  <si>
    <t>$281,787</t>
  </si>
  <si>
    <t>$9,569</t>
  </si>
  <si>
    <t>Isaac Smith</t>
  </si>
  <si>
    <t>D/DM C</t>
  </si>
  <si>
    <t>$398,153</t>
  </si>
  <si>
    <t>$9</t>
  </si>
  <si>
    <t>$8,727</t>
  </si>
  <si>
    <t>$2,074</t>
  </si>
  <si>
    <t>Joe Powell</t>
  </si>
  <si>
    <t>$559,933</t>
  </si>
  <si>
    <t>Josh Campbell-Slowey</t>
  </si>
  <si>
    <t>$443,077</t>
  </si>
  <si>
    <t>$13</t>
  </si>
  <si>
    <t>Korbyn Ednie</t>
  </si>
  <si>
    <t>$604,629</t>
  </si>
  <si>
    <t>True</t>
  </si>
  <si>
    <t>$10,807</t>
  </si>
  <si>
    <t>Luis Gardner</t>
  </si>
  <si>
    <t>$1,350,825</t>
  </si>
  <si>
    <t>$17</t>
  </si>
  <si>
    <t>$5,170</t>
  </si>
  <si>
    <t>Mannie Barton</t>
  </si>
  <si>
    <t>AM/ST RLC</t>
  </si>
  <si>
    <t>Wales</t>
  </si>
  <si>
    <t>$0</t>
  </si>
  <si>
    <t>Poland,England</t>
  </si>
  <si>
    <t>$650,110</t>
  </si>
  <si>
    <t>$2,512</t>
  </si>
  <si>
    <t>Matt Worthington</t>
  </si>
  <si>
    <t xml:space="preserve">DM </t>
  </si>
  <si>
    <t>$138,075</t>
  </si>
  <si>
    <t>Miracle Adewole</t>
  </si>
  <si>
    <t>D/AM R</t>
  </si>
  <si>
    <t>Nigeria,Germany,England</t>
  </si>
  <si>
    <t>$18,404</t>
  </si>
  <si>
    <t>$2,810</t>
  </si>
  <si>
    <t>Nesbert Ncube</t>
  </si>
  <si>
    <t>D RL</t>
  </si>
  <si>
    <t>Zimbabwe,England</t>
  </si>
  <si>
    <t>$707</t>
  </si>
  <si>
    <t>$723,892</t>
  </si>
  <si>
    <t>Tegan Budd</t>
  </si>
  <si>
    <t>$164</t>
  </si>
  <si>
    <t>Tom Dando</t>
  </si>
  <si>
    <t>$584</t>
  </si>
  <si>
    <t>Ahmed Kilic</t>
  </si>
  <si>
    <t>Turkey</t>
  </si>
  <si>
    <t>$389,578</t>
  </si>
  <si>
    <t>Vilaverdense FC</t>
  </si>
  <si>
    <t>Arron Bowman</t>
  </si>
  <si>
    <t>$42,382</t>
  </si>
  <si>
    <t>$8</t>
  </si>
  <si>
    <t>$602</t>
  </si>
  <si>
    <t>Baillie Talmash</t>
  </si>
  <si>
    <t>D/WB/AM R</t>
  </si>
  <si>
    <t>$76,828</t>
  </si>
  <si>
    <t>Blade Earley</t>
  </si>
  <si>
    <t>$44,037</t>
  </si>
  <si>
    <t>$4</t>
  </si>
  <si>
    <t>Charlie McLoughlin</t>
  </si>
  <si>
    <t>Chinedu Agu</t>
  </si>
  <si>
    <t>M/AM/ST C</t>
  </si>
  <si>
    <t>$373,165</t>
  </si>
  <si>
    <t>$7</t>
  </si>
  <si>
    <t>Connor Austin</t>
  </si>
  <si>
    <t>$291,103</t>
  </si>
  <si>
    <t>Conor Prior</t>
  </si>
  <si>
    <t>$282,593</t>
  </si>
  <si>
    <t>$5</t>
  </si>
  <si>
    <t>Eddie Sampson</t>
  </si>
  <si>
    <t>$443,070</t>
  </si>
  <si>
    <t>Eleazar Lokote</t>
  </si>
  <si>
    <t>Malawi,England</t>
  </si>
  <si>
    <t>$24,450</t>
  </si>
  <si>
    <t>$3,049</t>
  </si>
  <si>
    <t>$49,001</t>
  </si>
  <si>
    <t>Gosport Borough</t>
  </si>
  <si>
    <t>$900</t>
  </si>
  <si>
    <t>Henry Gregory</t>
  </si>
  <si>
    <t>M/AM L</t>
  </si>
  <si>
    <t>$152,305</t>
  </si>
  <si>
    <t>Havant &amp; Waterlooville</t>
  </si>
  <si>
    <t>Ian Webster</t>
  </si>
  <si>
    <t>$35,763</t>
  </si>
  <si>
    <t>Buckland Athletic</t>
  </si>
  <si>
    <t>Youth</t>
  </si>
  <si>
    <t>$29</t>
  </si>
  <si>
    <t>Jay Brown</t>
  </si>
  <si>
    <t>$345,811</t>
  </si>
  <si>
    <t>Jayden Nunes-Wickham</t>
  </si>
  <si>
    <t>$56,566</t>
  </si>
  <si>
    <t>Jess Blewitt</t>
  </si>
  <si>
    <t>D R</t>
  </si>
  <si>
    <t>$2,389</t>
  </si>
  <si>
    <t>José Carlos</t>
  </si>
  <si>
    <t>Brazil,Portugal</t>
  </si>
  <si>
    <t>$72,429</t>
  </si>
  <si>
    <t>Clube Desportivo da Cova da Piedade</t>
  </si>
  <si>
    <t>Joseph Green</t>
  </si>
  <si>
    <t>England,New Zealand</t>
  </si>
  <si>
    <t>$362,831</t>
  </si>
  <si>
    <t>Jowan Purnell</t>
  </si>
  <si>
    <t>$169,731</t>
  </si>
  <si>
    <t>Farnborough</t>
  </si>
  <si>
    <t>Marcel Guzynski</t>
  </si>
  <si>
    <t>$1,698</t>
  </si>
  <si>
    <t>$2,862</t>
  </si>
  <si>
    <t>Nathan Vaughan</t>
  </si>
  <si>
    <t>$195,870</t>
  </si>
  <si>
    <t>Oxford City</t>
  </si>
  <si>
    <t>$619</t>
  </si>
  <si>
    <t>Regan Edge-Lucas</t>
  </si>
  <si>
    <t>AM/ST RL</t>
  </si>
  <si>
    <t>$32,454</t>
  </si>
  <si>
    <t>$2,979</t>
  </si>
  <si>
    <t>Rhys Thomas</t>
  </si>
  <si>
    <t>Corwen</t>
  </si>
  <si>
    <t>Steve Johnson</t>
  </si>
  <si>
    <t>$14,994</t>
  </si>
  <si>
    <t>$292</t>
  </si>
  <si>
    <t>Thomas Clementi</t>
  </si>
  <si>
    <t>$428,482</t>
  </si>
  <si>
    <t>$3,622</t>
  </si>
  <si>
    <t>Anthony Michael</t>
  </si>
  <si>
    <t>$9,996</t>
  </si>
  <si>
    <t>Bevan Boyland</t>
  </si>
  <si>
    <t>$52,344</t>
  </si>
  <si>
    <t>Christos Petras</t>
  </si>
  <si>
    <t>M/AM RC</t>
  </si>
  <si>
    <t>England,Greece</t>
  </si>
  <si>
    <t>Daniel Reynolds</t>
  </si>
  <si>
    <t>D/M C</t>
  </si>
  <si>
    <t>England,Wales</t>
  </si>
  <si>
    <t>Glen Gregory</t>
  </si>
  <si>
    <t>England,Jamaica</t>
  </si>
  <si>
    <t>$26,341</t>
  </si>
  <si>
    <t>Hisashi Whisken</t>
  </si>
  <si>
    <t>$23,504</t>
  </si>
  <si>
    <t>Marcus Cliff</t>
  </si>
  <si>
    <t>$27,489</t>
  </si>
  <si>
    <t>Michael Eduard</t>
  </si>
  <si>
    <t>AM C</t>
  </si>
  <si>
    <t>Republic of Ireland,England</t>
  </si>
  <si>
    <t>$40,727</t>
  </si>
  <si>
    <t>Paddy Masters</t>
  </si>
  <si>
    <t>Roy Lawal</t>
  </si>
  <si>
    <t>WB/AM L</t>
  </si>
  <si>
    <t>$43,753</t>
  </si>
  <si>
    <t>Scott Sykes</t>
  </si>
  <si>
    <t>$217,550</t>
  </si>
  <si>
    <t>Tony Clarke</t>
  </si>
  <si>
    <t>Vashirn Rodney</t>
  </si>
  <si>
    <t>D/DM/M C</t>
  </si>
  <si>
    <t>England,Montserrat</t>
  </si>
  <si>
    <t>Bath City</t>
  </si>
  <si>
    <t>Best Position</t>
  </si>
  <si>
    <t>DM(L)</t>
  </si>
  <si>
    <t>DM(R)</t>
  </si>
  <si>
    <t>D(R/L)</t>
  </si>
  <si>
    <t>Work Rate</t>
  </si>
  <si>
    <t>Free Kicks</t>
  </si>
  <si>
    <t>DR</t>
  </si>
  <si>
    <t>DC</t>
  </si>
  <si>
    <t>DL</t>
  </si>
  <si>
    <t>AMR</t>
  </si>
  <si>
    <t>AMC</t>
  </si>
  <si>
    <t>AML</t>
  </si>
  <si>
    <t>ST</t>
  </si>
  <si>
    <t>Physical</t>
  </si>
  <si>
    <t>Goalkeeping</t>
  </si>
  <si>
    <t>Mental</t>
  </si>
  <si>
    <t>Technical</t>
  </si>
  <si>
    <t>Set Pieces</t>
  </si>
  <si>
    <t>Aerial Reach</t>
  </si>
  <si>
    <t>Free Kick Taking</t>
  </si>
  <si>
    <t>Jumping Reach</t>
  </si>
  <si>
    <t>DM - DLP</t>
  </si>
  <si>
    <t>DM - DM</t>
  </si>
  <si>
    <t>Punching (Tendency)</t>
  </si>
  <si>
    <t>ST(C)</t>
  </si>
  <si>
    <t>Rushing Out (Tendency)</t>
  </si>
  <si>
    <t>Highest Skill</t>
  </si>
  <si>
    <t>Counts</t>
  </si>
  <si>
    <t>Starting XI</t>
  </si>
  <si>
    <t>CA / PA</t>
  </si>
  <si>
    <t>Pos. Rating</t>
  </si>
  <si>
    <t>Rotation 1</t>
  </si>
  <si>
    <t>Rotation 2</t>
  </si>
  <si>
    <t>Rotation 3</t>
  </si>
  <si>
    <t>Attribute</t>
  </si>
  <si>
    <t>IN POSSESSION</t>
  </si>
  <si>
    <t>D(L/R) FB</t>
  </si>
  <si>
    <t>D(C) BPCB</t>
  </si>
  <si>
    <t>AM(L) IF</t>
  </si>
  <si>
    <t>AM(C) AM</t>
  </si>
  <si>
    <t>AM(R) W</t>
  </si>
  <si>
    <t>ST(C) CF</t>
  </si>
  <si>
    <t>OUT OF POSSESSION</t>
  </si>
  <si>
    <t>D(C) CB</t>
  </si>
  <si>
    <t>DM - SDM</t>
  </si>
  <si>
    <t>AM(L/R) TW</t>
  </si>
  <si>
    <t>AM(C) TAM</t>
  </si>
  <si>
    <t>ST(C) CO</t>
  </si>
  <si>
    <t>Player</t>
  </si>
  <si>
    <t>Currently Familiarity</t>
  </si>
  <si>
    <t>Position to Train</t>
  </si>
  <si>
    <t>Role to Train</t>
  </si>
  <si>
    <t>Goalkeeper</t>
  </si>
  <si>
    <t>Full-Back</t>
  </si>
  <si>
    <t>Ball-playing Centre-Back</t>
  </si>
  <si>
    <t>Winger</t>
  </si>
  <si>
    <t>Attacking Midfielder</t>
  </si>
  <si>
    <t>Inside Forward</t>
  </si>
  <si>
    <t>Centre-Forward</t>
  </si>
  <si>
    <t>Freddie Hammond</t>
  </si>
  <si>
    <t>Midfielder Center</t>
  </si>
  <si>
    <t>Midfielder Left</t>
  </si>
  <si>
    <t>Midfielder Right</t>
  </si>
  <si>
    <t>Wingback Left</t>
  </si>
  <si>
    <t>Wingback Right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</si>
</sst>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1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64" fontId="1" fillId="0" borderId="1" xfId="0" applyNumberFormat="1" applyFont="1" applyBorder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0" fillId="0" borderId="0" xfId="0" applyAlignment="1">
      <alignment horizontal="left"/>
    </xf>
    <xf numFmtId="0" fontId="3" fillId="0" borderId="5" xfId="0" applyFont="1" applyBorder="1" applyAlignment="1">
      <alignment horizontal="left"/>
    </xf>
    <xf numFmtId="164" fontId="0" fillId="0" borderId="6" xfId="0" applyNumberFormat="1" applyBorder="1" applyAlignment="1">
      <alignment horizontal="center"/>
    </xf>
    <xf numFmtId="0" fontId="3" fillId="0" borderId="5" xfId="0" applyFont="1" applyBorder="1"/>
    <xf numFmtId="0" fontId="3" fillId="0" borderId="7" xfId="0" applyFont="1" applyBorder="1"/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0" fontId="3" fillId="0" borderId="10" xfId="0" applyFont="1" applyBorder="1" applyAlignment="1">
      <alignment horizontal="left"/>
    </xf>
    <xf numFmtId="0" fontId="3" fillId="0" borderId="10" xfId="0" applyFont="1" applyBorder="1"/>
    <xf numFmtId="0" fontId="3" fillId="0" borderId="9" xfId="0" applyFont="1" applyBorder="1"/>
    <xf numFmtId="0" fontId="1" fillId="0" borderId="11" xfId="0" applyFont="1" applyBorder="1" applyAlignment="1">
      <alignment horizontal="center"/>
    </xf>
    <xf numFmtId="164" fontId="1" fillId="0" borderId="12" xfId="0" applyNumberFormat="1" applyFont="1" applyBorder="1" applyAlignment="1">
      <alignment horizontal="center"/>
    </xf>
    <xf numFmtId="0" fontId="0" fillId="0" borderId="13" xfId="0" applyBorder="1"/>
    <xf numFmtId="0" fontId="0" fillId="0" borderId="14" xfId="0" applyBorder="1"/>
    <xf numFmtId="0" fontId="0" fillId="6" borderId="2" xfId="0" applyFill="1" applyBorder="1" applyAlignment="1">
      <alignment horizontal="left"/>
    </xf>
    <xf numFmtId="0" fontId="0" fillId="6" borderId="15" xfId="0" applyFill="1" applyBorder="1" applyAlignment="1">
      <alignment horizontal="left"/>
    </xf>
    <xf numFmtId="0" fontId="0" fillId="6" borderId="16" xfId="0" applyFill="1" applyBorder="1" applyAlignment="1">
      <alignment horizontal="left"/>
    </xf>
    <xf numFmtId="1" fontId="0" fillId="0" borderId="0" xfId="0" applyNumberFormat="1"/>
    <xf numFmtId="164" fontId="1" fillId="0" borderId="0" xfId="0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4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1" fillId="0" borderId="17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/>
  </cellXfs>
  <cellStyles count="1">
    <cellStyle name="Normal" xfId="0" builtinId="0"/>
  </cellStyles>
  <dxfs count="4">
    <dxf>
      <font>
        <strike val="0"/>
      </font>
      <fill>
        <patternFill>
          <bgColor theme="9" tint="0.79998168889431442"/>
        </patternFill>
      </fill>
    </dxf>
    <dxf>
      <fill>
        <patternFill>
          <bgColor auto="1"/>
        </patternFill>
      </fill>
    </dxf>
    <dxf>
      <fill>
        <patternFill>
          <bgColor theme="3" tint="0.89996032593768116"/>
        </patternFill>
      </fill>
    </dxf>
    <dxf>
      <font>
        <strike val="0"/>
      </font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39"/>
  <sheetViews>
    <sheetView workbookViewId="0">
      <selection activeCell="B45" sqref="B45"/>
    </sheetView>
  </sheetViews>
  <sheetFormatPr defaultColWidth="8.6640625" defaultRowHeight="14.4" x14ac:dyDescent="0.3"/>
  <cols>
    <col min="2" max="2" width="19" bestFit="1" customWidth="1"/>
  </cols>
  <sheetData>
    <row r="1" spans="1:69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</row>
    <row r="2" spans="1:69" x14ac:dyDescent="0.3">
      <c r="B2" t="s">
        <v>69</v>
      </c>
      <c r="C2">
        <v>16</v>
      </c>
      <c r="D2">
        <v>79</v>
      </c>
      <c r="E2">
        <v>163</v>
      </c>
      <c r="F2" t="s">
        <v>70</v>
      </c>
      <c r="G2" t="s">
        <v>71</v>
      </c>
      <c r="H2" t="s">
        <v>72</v>
      </c>
      <c r="I2" t="s">
        <v>73</v>
      </c>
      <c r="J2">
        <v>55.1</v>
      </c>
      <c r="K2">
        <v>81.83</v>
      </c>
      <c r="L2">
        <v>20</v>
      </c>
      <c r="M2">
        <v>15</v>
      </c>
      <c r="N2">
        <v>1</v>
      </c>
      <c r="O2">
        <v>9</v>
      </c>
      <c r="P2">
        <v>1</v>
      </c>
      <c r="Q2">
        <v>1</v>
      </c>
      <c r="R2">
        <v>1</v>
      </c>
      <c r="S2">
        <v>1</v>
      </c>
      <c r="T2">
        <v>1</v>
      </c>
      <c r="U2">
        <v>11</v>
      </c>
      <c r="V2">
        <v>12</v>
      </c>
      <c r="W2" t="s">
        <v>74</v>
      </c>
      <c r="X2">
        <v>5</v>
      </c>
      <c r="Y2">
        <v>20</v>
      </c>
      <c r="Z2">
        <v>13</v>
      </c>
      <c r="AA2">
        <v>12</v>
      </c>
      <c r="AB2">
        <v>13</v>
      </c>
      <c r="AC2">
        <v>10</v>
      </c>
      <c r="AD2">
        <v>2</v>
      </c>
      <c r="AE2">
        <v>1</v>
      </c>
      <c r="AF2">
        <v>1</v>
      </c>
      <c r="AG2">
        <v>3</v>
      </c>
      <c r="AH2">
        <v>3</v>
      </c>
      <c r="AI2">
        <v>2</v>
      </c>
      <c r="AJ2">
        <v>2</v>
      </c>
      <c r="AK2">
        <v>3</v>
      </c>
      <c r="AL2">
        <v>3</v>
      </c>
      <c r="AM2">
        <v>1</v>
      </c>
      <c r="AN2">
        <v>1</v>
      </c>
      <c r="AO2">
        <v>2</v>
      </c>
      <c r="AP2">
        <v>11</v>
      </c>
      <c r="AQ2">
        <v>9</v>
      </c>
      <c r="AR2">
        <v>4</v>
      </c>
      <c r="AS2">
        <v>11</v>
      </c>
      <c r="AT2">
        <v>7</v>
      </c>
      <c r="AU2">
        <v>10</v>
      </c>
      <c r="AV2">
        <v>3</v>
      </c>
      <c r="AW2">
        <v>14</v>
      </c>
      <c r="AX2">
        <v>5</v>
      </c>
      <c r="AY2">
        <v>12</v>
      </c>
      <c r="AZ2">
        <v>4</v>
      </c>
      <c r="BA2">
        <v>15</v>
      </c>
      <c r="BB2">
        <v>8</v>
      </c>
      <c r="BC2">
        <v>15</v>
      </c>
      <c r="BD2">
        <v>8</v>
      </c>
      <c r="BE2">
        <v>11</v>
      </c>
      <c r="BF2">
        <v>10</v>
      </c>
      <c r="BG2">
        <v>14</v>
      </c>
      <c r="BH2">
        <v>14</v>
      </c>
      <c r="BI2">
        <v>6</v>
      </c>
      <c r="BJ2">
        <v>7</v>
      </c>
      <c r="BK2">
        <v>7</v>
      </c>
      <c r="BL2">
        <v>2</v>
      </c>
      <c r="BM2">
        <v>2</v>
      </c>
      <c r="BN2">
        <v>9</v>
      </c>
      <c r="BO2">
        <v>8</v>
      </c>
      <c r="BP2">
        <v>1</v>
      </c>
      <c r="BQ2">
        <v>14</v>
      </c>
    </row>
    <row r="3" spans="1:69" x14ac:dyDescent="0.3">
      <c r="B3" t="s">
        <v>75</v>
      </c>
      <c r="C3">
        <v>16</v>
      </c>
      <c r="D3">
        <v>89</v>
      </c>
      <c r="E3">
        <v>177</v>
      </c>
      <c r="F3" t="s">
        <v>76</v>
      </c>
      <c r="G3" t="s">
        <v>71</v>
      </c>
      <c r="H3" t="s">
        <v>77</v>
      </c>
      <c r="I3" t="s">
        <v>78</v>
      </c>
      <c r="J3">
        <v>53.16</v>
      </c>
      <c r="K3">
        <v>78.5</v>
      </c>
      <c r="L3">
        <v>4</v>
      </c>
      <c r="M3">
        <v>1</v>
      </c>
      <c r="N3">
        <v>9</v>
      </c>
      <c r="O3">
        <v>1</v>
      </c>
      <c r="P3">
        <v>16</v>
      </c>
      <c r="Q3">
        <v>1</v>
      </c>
      <c r="R3">
        <v>1</v>
      </c>
      <c r="S3">
        <v>1</v>
      </c>
      <c r="T3">
        <v>1</v>
      </c>
      <c r="U3">
        <v>8</v>
      </c>
      <c r="V3">
        <v>9</v>
      </c>
      <c r="W3" t="s">
        <v>79</v>
      </c>
      <c r="X3">
        <v>5</v>
      </c>
      <c r="Y3">
        <v>13</v>
      </c>
      <c r="Z3">
        <v>16</v>
      </c>
      <c r="AA3">
        <v>9</v>
      </c>
      <c r="AB3">
        <v>20</v>
      </c>
      <c r="AC3">
        <v>8</v>
      </c>
      <c r="AD3">
        <v>7</v>
      </c>
      <c r="AE3">
        <v>1</v>
      </c>
      <c r="AF3">
        <v>3</v>
      </c>
      <c r="AG3">
        <v>1</v>
      </c>
      <c r="AH3">
        <v>3</v>
      </c>
      <c r="AI3">
        <v>2</v>
      </c>
      <c r="AJ3">
        <v>3</v>
      </c>
      <c r="AK3">
        <v>1</v>
      </c>
      <c r="AL3">
        <v>1</v>
      </c>
      <c r="AM3">
        <v>2</v>
      </c>
      <c r="AN3">
        <v>3</v>
      </c>
      <c r="AO3">
        <v>2</v>
      </c>
      <c r="AP3">
        <v>12</v>
      </c>
      <c r="AQ3">
        <v>10</v>
      </c>
      <c r="AR3">
        <v>15</v>
      </c>
      <c r="AS3">
        <v>12</v>
      </c>
      <c r="AT3">
        <v>7</v>
      </c>
      <c r="AU3">
        <v>15</v>
      </c>
      <c r="AV3">
        <v>16</v>
      </c>
      <c r="AW3">
        <v>12</v>
      </c>
      <c r="AX3">
        <v>11</v>
      </c>
      <c r="AY3">
        <v>11</v>
      </c>
      <c r="AZ3">
        <v>6</v>
      </c>
      <c r="BA3">
        <v>10</v>
      </c>
      <c r="BB3">
        <v>12</v>
      </c>
      <c r="BC3">
        <v>13</v>
      </c>
      <c r="BD3">
        <v>8</v>
      </c>
      <c r="BE3">
        <v>11</v>
      </c>
      <c r="BF3">
        <v>8</v>
      </c>
      <c r="BG3">
        <v>10</v>
      </c>
      <c r="BH3">
        <v>14</v>
      </c>
      <c r="BI3">
        <v>11</v>
      </c>
      <c r="BJ3">
        <v>6</v>
      </c>
      <c r="BK3">
        <v>8</v>
      </c>
      <c r="BL3">
        <v>4</v>
      </c>
      <c r="BM3">
        <v>5</v>
      </c>
      <c r="BN3">
        <v>12</v>
      </c>
      <c r="BO3">
        <v>8</v>
      </c>
      <c r="BP3">
        <v>6</v>
      </c>
      <c r="BQ3">
        <v>14</v>
      </c>
    </row>
    <row r="4" spans="1:69" x14ac:dyDescent="0.3">
      <c r="B4" t="s">
        <v>80</v>
      </c>
      <c r="C4">
        <v>16</v>
      </c>
      <c r="D4">
        <v>85</v>
      </c>
      <c r="E4">
        <v>158</v>
      </c>
      <c r="F4" t="s">
        <v>81</v>
      </c>
      <c r="G4" t="s">
        <v>71</v>
      </c>
      <c r="H4" t="s">
        <v>82</v>
      </c>
      <c r="I4" t="s">
        <v>83</v>
      </c>
      <c r="J4">
        <v>53.16</v>
      </c>
      <c r="K4">
        <v>77.37</v>
      </c>
      <c r="L4">
        <v>1</v>
      </c>
      <c r="M4">
        <v>8</v>
      </c>
      <c r="N4">
        <v>20</v>
      </c>
      <c r="O4">
        <v>8</v>
      </c>
      <c r="P4">
        <v>12</v>
      </c>
      <c r="Q4">
        <v>1</v>
      </c>
      <c r="R4">
        <v>1</v>
      </c>
      <c r="S4">
        <v>1</v>
      </c>
      <c r="T4">
        <v>1</v>
      </c>
      <c r="U4">
        <v>10</v>
      </c>
      <c r="V4">
        <v>11</v>
      </c>
      <c r="W4" t="s">
        <v>84</v>
      </c>
      <c r="X4">
        <v>12</v>
      </c>
      <c r="Y4">
        <v>12</v>
      </c>
      <c r="Z4">
        <v>6</v>
      </c>
      <c r="AA4">
        <v>11</v>
      </c>
      <c r="AB4">
        <v>20</v>
      </c>
      <c r="AC4">
        <v>12</v>
      </c>
      <c r="AD4">
        <v>6</v>
      </c>
      <c r="AE4">
        <v>3</v>
      </c>
      <c r="AF4">
        <v>1</v>
      </c>
      <c r="AG4">
        <v>2</v>
      </c>
      <c r="AH4">
        <v>3</v>
      </c>
      <c r="AI4">
        <v>2</v>
      </c>
      <c r="AJ4">
        <v>2</v>
      </c>
      <c r="AK4">
        <v>2</v>
      </c>
      <c r="AL4">
        <v>1</v>
      </c>
      <c r="AM4">
        <v>1</v>
      </c>
      <c r="AN4">
        <v>2</v>
      </c>
      <c r="AO4">
        <v>3</v>
      </c>
      <c r="AP4">
        <v>7</v>
      </c>
      <c r="AQ4">
        <v>11</v>
      </c>
      <c r="AR4">
        <v>9</v>
      </c>
      <c r="AS4">
        <v>11</v>
      </c>
      <c r="AT4">
        <v>7</v>
      </c>
      <c r="AU4">
        <v>9</v>
      </c>
      <c r="AV4">
        <v>10</v>
      </c>
      <c r="AW4">
        <v>14</v>
      </c>
      <c r="AX4">
        <v>2</v>
      </c>
      <c r="AY4">
        <v>10</v>
      </c>
      <c r="AZ4">
        <v>8</v>
      </c>
      <c r="BA4">
        <v>9</v>
      </c>
      <c r="BB4">
        <v>11</v>
      </c>
      <c r="BC4">
        <v>14</v>
      </c>
      <c r="BD4">
        <v>8</v>
      </c>
      <c r="BE4">
        <v>12</v>
      </c>
      <c r="BF4">
        <v>9</v>
      </c>
      <c r="BG4">
        <v>9</v>
      </c>
      <c r="BH4">
        <v>14</v>
      </c>
      <c r="BI4">
        <v>6</v>
      </c>
      <c r="BJ4">
        <v>5</v>
      </c>
      <c r="BK4">
        <v>7</v>
      </c>
      <c r="BL4">
        <v>4</v>
      </c>
      <c r="BM4">
        <v>6</v>
      </c>
      <c r="BN4">
        <v>13</v>
      </c>
      <c r="BO4">
        <v>5</v>
      </c>
      <c r="BP4">
        <v>4</v>
      </c>
      <c r="BQ4">
        <v>11</v>
      </c>
    </row>
    <row r="5" spans="1:69" x14ac:dyDescent="0.3">
      <c r="B5" t="s">
        <v>85</v>
      </c>
      <c r="C5">
        <v>16</v>
      </c>
      <c r="D5">
        <v>77</v>
      </c>
      <c r="E5">
        <v>156</v>
      </c>
      <c r="F5" t="s">
        <v>76</v>
      </c>
      <c r="G5" t="s">
        <v>71</v>
      </c>
      <c r="H5" t="s">
        <v>86</v>
      </c>
      <c r="I5" t="s">
        <v>87</v>
      </c>
      <c r="J5">
        <v>51.25</v>
      </c>
      <c r="K5">
        <v>76.349999999999994</v>
      </c>
      <c r="L5">
        <v>20</v>
      </c>
      <c r="M5">
        <v>1</v>
      </c>
      <c r="N5">
        <v>15</v>
      </c>
      <c r="O5">
        <v>16</v>
      </c>
      <c r="P5">
        <v>1</v>
      </c>
      <c r="Q5">
        <v>1</v>
      </c>
      <c r="R5">
        <v>1</v>
      </c>
      <c r="S5">
        <v>1</v>
      </c>
      <c r="T5">
        <v>1</v>
      </c>
      <c r="U5">
        <v>13</v>
      </c>
      <c r="V5">
        <v>10</v>
      </c>
      <c r="W5" t="s">
        <v>79</v>
      </c>
      <c r="X5">
        <v>8</v>
      </c>
      <c r="Y5">
        <v>11</v>
      </c>
      <c r="Z5">
        <v>17</v>
      </c>
      <c r="AA5">
        <v>12</v>
      </c>
      <c r="AB5">
        <v>20</v>
      </c>
      <c r="AC5">
        <v>12</v>
      </c>
      <c r="AD5">
        <v>4</v>
      </c>
      <c r="AE5">
        <v>3</v>
      </c>
      <c r="AF5">
        <v>4</v>
      </c>
      <c r="AG5">
        <v>1</v>
      </c>
      <c r="AH5">
        <v>2</v>
      </c>
      <c r="AI5">
        <v>2</v>
      </c>
      <c r="AJ5">
        <v>3</v>
      </c>
      <c r="AK5">
        <v>3</v>
      </c>
      <c r="AL5">
        <v>1</v>
      </c>
      <c r="AM5">
        <v>3</v>
      </c>
      <c r="AN5">
        <v>2</v>
      </c>
      <c r="AO5">
        <v>2</v>
      </c>
      <c r="AP5">
        <v>6</v>
      </c>
      <c r="AQ5">
        <v>10</v>
      </c>
      <c r="AR5">
        <v>8</v>
      </c>
      <c r="AS5">
        <v>5</v>
      </c>
      <c r="AT5">
        <v>5</v>
      </c>
      <c r="AU5">
        <v>7</v>
      </c>
      <c r="AV5">
        <v>12</v>
      </c>
      <c r="AW5">
        <v>14</v>
      </c>
      <c r="AX5">
        <v>11</v>
      </c>
      <c r="AY5">
        <v>9</v>
      </c>
      <c r="AZ5">
        <v>4</v>
      </c>
      <c r="BA5">
        <v>12</v>
      </c>
      <c r="BB5">
        <v>10</v>
      </c>
      <c r="BC5">
        <v>7</v>
      </c>
      <c r="BD5">
        <v>4</v>
      </c>
      <c r="BE5">
        <v>6</v>
      </c>
      <c r="BF5">
        <v>14</v>
      </c>
      <c r="BG5">
        <v>5</v>
      </c>
      <c r="BH5">
        <v>12</v>
      </c>
      <c r="BI5">
        <v>5</v>
      </c>
      <c r="BJ5">
        <v>5</v>
      </c>
      <c r="BK5">
        <v>8</v>
      </c>
      <c r="BL5">
        <v>1</v>
      </c>
      <c r="BM5">
        <v>7</v>
      </c>
      <c r="BN5">
        <v>11</v>
      </c>
      <c r="BO5">
        <v>6</v>
      </c>
      <c r="BP5">
        <v>4</v>
      </c>
      <c r="BQ5">
        <v>14</v>
      </c>
    </row>
    <row r="6" spans="1:69" x14ac:dyDescent="0.3">
      <c r="B6" t="s">
        <v>88</v>
      </c>
      <c r="C6">
        <v>16</v>
      </c>
      <c r="D6">
        <v>78</v>
      </c>
      <c r="E6">
        <v>158</v>
      </c>
      <c r="F6" t="s">
        <v>76</v>
      </c>
      <c r="G6" t="s">
        <v>71</v>
      </c>
      <c r="H6" t="s">
        <v>89</v>
      </c>
      <c r="I6" t="s">
        <v>90</v>
      </c>
      <c r="J6">
        <v>51.03</v>
      </c>
      <c r="K6">
        <v>76.010000000000005</v>
      </c>
      <c r="L6">
        <v>1</v>
      </c>
      <c r="M6">
        <v>1</v>
      </c>
      <c r="N6">
        <v>1</v>
      </c>
      <c r="O6">
        <v>1</v>
      </c>
      <c r="P6">
        <v>1</v>
      </c>
      <c r="Q6">
        <v>16</v>
      </c>
      <c r="R6">
        <v>1</v>
      </c>
      <c r="S6">
        <v>20</v>
      </c>
      <c r="T6">
        <v>1</v>
      </c>
      <c r="U6">
        <v>12</v>
      </c>
      <c r="V6">
        <v>11</v>
      </c>
      <c r="W6" t="s">
        <v>79</v>
      </c>
      <c r="X6">
        <v>11</v>
      </c>
      <c r="Y6">
        <v>15</v>
      </c>
      <c r="Z6">
        <v>18</v>
      </c>
      <c r="AA6">
        <v>10</v>
      </c>
      <c r="AB6">
        <v>20</v>
      </c>
      <c r="AC6">
        <v>14</v>
      </c>
      <c r="AD6">
        <v>6</v>
      </c>
      <c r="AE6">
        <v>3</v>
      </c>
      <c r="AF6">
        <v>4</v>
      </c>
      <c r="AG6">
        <v>1</v>
      </c>
      <c r="AH6">
        <v>3</v>
      </c>
      <c r="AI6">
        <v>1</v>
      </c>
      <c r="AJ6">
        <v>1</v>
      </c>
      <c r="AK6">
        <v>1</v>
      </c>
      <c r="AL6">
        <v>2</v>
      </c>
      <c r="AM6">
        <v>1</v>
      </c>
      <c r="AN6">
        <v>3</v>
      </c>
      <c r="AO6">
        <v>1</v>
      </c>
      <c r="AP6">
        <v>14</v>
      </c>
      <c r="AQ6">
        <v>10</v>
      </c>
      <c r="AR6">
        <v>15</v>
      </c>
      <c r="AS6">
        <v>6</v>
      </c>
      <c r="AT6">
        <v>9</v>
      </c>
      <c r="AU6">
        <v>9</v>
      </c>
      <c r="AV6">
        <v>11</v>
      </c>
      <c r="AW6">
        <v>8</v>
      </c>
      <c r="AX6">
        <v>6</v>
      </c>
      <c r="AY6">
        <v>9</v>
      </c>
      <c r="AZ6">
        <v>9</v>
      </c>
      <c r="BA6">
        <v>8</v>
      </c>
      <c r="BB6">
        <v>10</v>
      </c>
      <c r="BC6">
        <v>13</v>
      </c>
      <c r="BD6">
        <v>1</v>
      </c>
      <c r="BE6">
        <v>7</v>
      </c>
      <c r="BF6">
        <v>5</v>
      </c>
      <c r="BG6">
        <v>1</v>
      </c>
      <c r="BH6">
        <v>8</v>
      </c>
      <c r="BI6">
        <v>1</v>
      </c>
      <c r="BJ6">
        <v>5</v>
      </c>
      <c r="BK6">
        <v>2</v>
      </c>
      <c r="BL6">
        <v>3</v>
      </c>
      <c r="BM6">
        <v>9</v>
      </c>
      <c r="BN6">
        <v>7</v>
      </c>
      <c r="BO6">
        <v>3</v>
      </c>
      <c r="BP6">
        <v>13</v>
      </c>
      <c r="BQ6">
        <v>13</v>
      </c>
    </row>
    <row r="7" spans="1:69" x14ac:dyDescent="0.3">
      <c r="B7" t="s">
        <v>91</v>
      </c>
      <c r="C7">
        <v>16</v>
      </c>
      <c r="D7">
        <v>71</v>
      </c>
      <c r="E7">
        <v>146</v>
      </c>
      <c r="F7" t="s">
        <v>92</v>
      </c>
      <c r="G7" t="s">
        <v>71</v>
      </c>
      <c r="H7" t="s">
        <v>93</v>
      </c>
      <c r="I7" t="s">
        <v>94</v>
      </c>
      <c r="J7">
        <v>51.89</v>
      </c>
      <c r="K7">
        <v>75.58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20</v>
      </c>
      <c r="U7">
        <v>10</v>
      </c>
      <c r="V7">
        <v>10</v>
      </c>
      <c r="W7" t="s">
        <v>95</v>
      </c>
      <c r="X7">
        <v>13</v>
      </c>
      <c r="Y7">
        <v>16</v>
      </c>
      <c r="Z7">
        <v>7</v>
      </c>
      <c r="AA7">
        <v>9</v>
      </c>
      <c r="AB7">
        <v>20</v>
      </c>
      <c r="AC7">
        <v>3</v>
      </c>
      <c r="AD7">
        <v>6</v>
      </c>
      <c r="AE7">
        <v>9</v>
      </c>
      <c r="AF7">
        <v>8</v>
      </c>
      <c r="AG7">
        <v>10</v>
      </c>
      <c r="AH7">
        <v>2</v>
      </c>
      <c r="AI7">
        <v>15</v>
      </c>
      <c r="AJ7">
        <v>5</v>
      </c>
      <c r="AK7">
        <v>11</v>
      </c>
      <c r="AL7">
        <v>14</v>
      </c>
      <c r="AM7">
        <v>15</v>
      </c>
      <c r="AN7">
        <v>5</v>
      </c>
      <c r="AO7">
        <v>5</v>
      </c>
      <c r="AP7">
        <v>10</v>
      </c>
      <c r="AQ7">
        <v>11</v>
      </c>
      <c r="AR7">
        <v>6</v>
      </c>
      <c r="AS7">
        <v>4</v>
      </c>
      <c r="AT7">
        <v>11</v>
      </c>
      <c r="AU7">
        <v>10</v>
      </c>
      <c r="AV7">
        <v>8</v>
      </c>
      <c r="AW7">
        <v>3</v>
      </c>
      <c r="AX7">
        <v>5</v>
      </c>
      <c r="AY7">
        <v>3</v>
      </c>
      <c r="AZ7">
        <v>6</v>
      </c>
      <c r="BA7">
        <v>10</v>
      </c>
      <c r="BB7">
        <v>2</v>
      </c>
      <c r="BC7">
        <v>7</v>
      </c>
      <c r="BD7">
        <v>4</v>
      </c>
      <c r="BE7">
        <v>1</v>
      </c>
      <c r="BF7">
        <v>3</v>
      </c>
      <c r="BG7">
        <v>1</v>
      </c>
      <c r="BH7">
        <v>6</v>
      </c>
      <c r="BI7">
        <v>6</v>
      </c>
      <c r="BJ7">
        <v>1</v>
      </c>
      <c r="BK7">
        <v>2</v>
      </c>
      <c r="BL7">
        <v>2</v>
      </c>
      <c r="BM7">
        <v>1</v>
      </c>
      <c r="BN7">
        <v>4</v>
      </c>
      <c r="BO7">
        <v>1</v>
      </c>
      <c r="BP7">
        <v>1</v>
      </c>
      <c r="BQ7">
        <v>11</v>
      </c>
    </row>
    <row r="8" spans="1:69" x14ac:dyDescent="0.3">
      <c r="B8" t="s">
        <v>96</v>
      </c>
      <c r="C8">
        <v>16</v>
      </c>
      <c r="D8">
        <v>68</v>
      </c>
      <c r="E8">
        <v>135</v>
      </c>
      <c r="F8" t="s">
        <v>76</v>
      </c>
      <c r="G8" t="s">
        <v>71</v>
      </c>
      <c r="H8" t="s">
        <v>97</v>
      </c>
      <c r="I8" t="s">
        <v>98</v>
      </c>
      <c r="J8">
        <v>49.14</v>
      </c>
      <c r="K8">
        <v>72.98</v>
      </c>
      <c r="L8">
        <v>1</v>
      </c>
      <c r="M8">
        <v>16</v>
      </c>
      <c r="N8">
        <v>1</v>
      </c>
      <c r="O8">
        <v>20</v>
      </c>
      <c r="P8">
        <v>12</v>
      </c>
      <c r="Q8">
        <v>1</v>
      </c>
      <c r="R8">
        <v>1</v>
      </c>
      <c r="S8">
        <v>1</v>
      </c>
      <c r="T8">
        <v>1</v>
      </c>
      <c r="U8">
        <v>7</v>
      </c>
      <c r="V8">
        <v>8</v>
      </c>
      <c r="W8" t="s">
        <v>99</v>
      </c>
      <c r="X8">
        <v>8</v>
      </c>
      <c r="Y8">
        <v>10</v>
      </c>
      <c r="Z8">
        <v>14</v>
      </c>
      <c r="AA8">
        <v>8</v>
      </c>
      <c r="AB8">
        <v>20</v>
      </c>
      <c r="AC8">
        <v>12</v>
      </c>
      <c r="AD8">
        <v>7</v>
      </c>
      <c r="AE8">
        <v>2</v>
      </c>
      <c r="AF8">
        <v>2</v>
      </c>
      <c r="AG8">
        <v>3</v>
      </c>
      <c r="AH8">
        <v>1</v>
      </c>
      <c r="AI8">
        <v>1</v>
      </c>
      <c r="AJ8">
        <v>3</v>
      </c>
      <c r="AK8">
        <v>1</v>
      </c>
      <c r="AL8">
        <v>2</v>
      </c>
      <c r="AM8">
        <v>1</v>
      </c>
      <c r="AN8">
        <v>1</v>
      </c>
      <c r="AO8">
        <v>3</v>
      </c>
      <c r="AP8">
        <v>11</v>
      </c>
      <c r="AQ8">
        <v>5</v>
      </c>
      <c r="AR8">
        <v>9</v>
      </c>
      <c r="AS8">
        <v>9</v>
      </c>
      <c r="AT8">
        <v>11</v>
      </c>
      <c r="AU8">
        <v>13</v>
      </c>
      <c r="AV8">
        <v>18</v>
      </c>
      <c r="AW8">
        <v>10</v>
      </c>
      <c r="AX8">
        <v>7</v>
      </c>
      <c r="AY8">
        <v>10</v>
      </c>
      <c r="AZ8">
        <v>6</v>
      </c>
      <c r="BA8">
        <v>14</v>
      </c>
      <c r="BB8">
        <v>12</v>
      </c>
      <c r="BC8">
        <v>13</v>
      </c>
      <c r="BD8">
        <v>4</v>
      </c>
      <c r="BE8">
        <v>8</v>
      </c>
      <c r="BF8">
        <v>7</v>
      </c>
      <c r="BG8">
        <v>10</v>
      </c>
      <c r="BH8">
        <v>15</v>
      </c>
      <c r="BI8">
        <v>6</v>
      </c>
      <c r="BJ8">
        <v>4</v>
      </c>
      <c r="BK8">
        <v>8</v>
      </c>
      <c r="BL8">
        <v>3</v>
      </c>
      <c r="BM8">
        <v>6</v>
      </c>
      <c r="BN8">
        <v>10</v>
      </c>
      <c r="BO8">
        <v>4</v>
      </c>
      <c r="BP8">
        <v>9</v>
      </c>
      <c r="BQ8">
        <v>11</v>
      </c>
    </row>
    <row r="9" spans="1:69" x14ac:dyDescent="0.3">
      <c r="B9" t="s">
        <v>100</v>
      </c>
      <c r="C9">
        <v>16</v>
      </c>
      <c r="D9">
        <v>74</v>
      </c>
      <c r="E9">
        <v>149</v>
      </c>
      <c r="F9" t="s">
        <v>92</v>
      </c>
      <c r="G9" t="s">
        <v>71</v>
      </c>
      <c r="H9" t="s">
        <v>101</v>
      </c>
      <c r="I9" t="s">
        <v>102</v>
      </c>
      <c r="J9">
        <v>48.14</v>
      </c>
      <c r="K9">
        <v>71.89</v>
      </c>
      <c r="L9">
        <v>4</v>
      </c>
      <c r="M9">
        <v>20</v>
      </c>
      <c r="N9">
        <v>3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13</v>
      </c>
      <c r="V9">
        <v>15</v>
      </c>
      <c r="W9" t="s">
        <v>103</v>
      </c>
      <c r="X9">
        <v>8</v>
      </c>
      <c r="Y9">
        <v>20</v>
      </c>
      <c r="Z9">
        <v>5</v>
      </c>
      <c r="AA9">
        <v>13</v>
      </c>
      <c r="AB9">
        <v>11</v>
      </c>
      <c r="AC9">
        <v>12</v>
      </c>
      <c r="AD9">
        <v>5</v>
      </c>
      <c r="AE9">
        <v>3</v>
      </c>
      <c r="AF9">
        <v>1</v>
      </c>
      <c r="AG9">
        <v>1</v>
      </c>
      <c r="AH9">
        <v>2</v>
      </c>
      <c r="AI9">
        <v>1</v>
      </c>
      <c r="AJ9">
        <v>1</v>
      </c>
      <c r="AK9">
        <v>1</v>
      </c>
      <c r="AL9">
        <v>2</v>
      </c>
      <c r="AM9">
        <v>3</v>
      </c>
      <c r="AN9">
        <v>1</v>
      </c>
      <c r="AO9">
        <v>1</v>
      </c>
      <c r="AP9">
        <v>7</v>
      </c>
      <c r="AQ9">
        <v>6</v>
      </c>
      <c r="AR9">
        <v>10</v>
      </c>
      <c r="AS9">
        <v>7</v>
      </c>
      <c r="AT9">
        <v>6</v>
      </c>
      <c r="AU9">
        <v>6</v>
      </c>
      <c r="AV9">
        <v>18</v>
      </c>
      <c r="AW9">
        <v>12</v>
      </c>
      <c r="AX9">
        <v>5</v>
      </c>
      <c r="AY9">
        <v>8</v>
      </c>
      <c r="AZ9">
        <v>4</v>
      </c>
      <c r="BA9">
        <v>6</v>
      </c>
      <c r="BB9">
        <v>11</v>
      </c>
      <c r="BC9">
        <v>7</v>
      </c>
      <c r="BD9">
        <v>6</v>
      </c>
      <c r="BE9">
        <v>4</v>
      </c>
      <c r="BF9">
        <v>8</v>
      </c>
      <c r="BG9">
        <v>10</v>
      </c>
      <c r="BH9">
        <v>11</v>
      </c>
      <c r="BI9">
        <v>10</v>
      </c>
      <c r="BJ9">
        <v>6</v>
      </c>
      <c r="BK9">
        <v>5</v>
      </c>
      <c r="BL9">
        <v>4</v>
      </c>
      <c r="BM9">
        <v>2</v>
      </c>
      <c r="BN9">
        <v>10</v>
      </c>
      <c r="BO9">
        <v>6</v>
      </c>
      <c r="BP9">
        <v>4</v>
      </c>
      <c r="BQ9">
        <v>10</v>
      </c>
    </row>
    <row r="10" spans="1:69" x14ac:dyDescent="0.3">
      <c r="B10" t="s">
        <v>104</v>
      </c>
      <c r="C10">
        <v>16</v>
      </c>
      <c r="D10">
        <v>71</v>
      </c>
      <c r="E10">
        <v>146</v>
      </c>
      <c r="F10" t="s">
        <v>105</v>
      </c>
      <c r="G10" t="s">
        <v>71</v>
      </c>
      <c r="H10" t="s">
        <v>106</v>
      </c>
      <c r="I10" t="s">
        <v>78</v>
      </c>
      <c r="J10">
        <v>45.22</v>
      </c>
      <c r="K10">
        <v>68.33</v>
      </c>
      <c r="L10">
        <v>1</v>
      </c>
      <c r="M10">
        <v>1</v>
      </c>
      <c r="N10">
        <v>16</v>
      </c>
      <c r="O10">
        <v>6</v>
      </c>
      <c r="P10">
        <v>16</v>
      </c>
      <c r="Q10">
        <v>1</v>
      </c>
      <c r="R10">
        <v>1</v>
      </c>
      <c r="S10">
        <v>1</v>
      </c>
      <c r="T10">
        <v>1</v>
      </c>
      <c r="U10">
        <v>13</v>
      </c>
      <c r="V10">
        <v>14</v>
      </c>
      <c r="W10" t="s">
        <v>103</v>
      </c>
      <c r="X10">
        <v>4</v>
      </c>
      <c r="Y10">
        <v>12</v>
      </c>
      <c r="Z10">
        <v>13</v>
      </c>
      <c r="AA10">
        <v>12</v>
      </c>
      <c r="AB10">
        <v>20</v>
      </c>
      <c r="AC10">
        <v>13</v>
      </c>
      <c r="AD10">
        <v>4</v>
      </c>
      <c r="AE10">
        <v>3</v>
      </c>
      <c r="AF10">
        <v>1</v>
      </c>
      <c r="AG10">
        <v>2</v>
      </c>
      <c r="AH10">
        <v>2</v>
      </c>
      <c r="AI10">
        <v>2</v>
      </c>
      <c r="AJ10">
        <v>2</v>
      </c>
      <c r="AK10">
        <v>1</v>
      </c>
      <c r="AL10">
        <v>3</v>
      </c>
      <c r="AM10">
        <v>3</v>
      </c>
      <c r="AN10">
        <v>4</v>
      </c>
      <c r="AO10">
        <v>2</v>
      </c>
      <c r="AP10">
        <v>10</v>
      </c>
      <c r="AQ10">
        <v>7</v>
      </c>
      <c r="AR10">
        <v>13</v>
      </c>
      <c r="AS10">
        <v>5</v>
      </c>
      <c r="AT10">
        <v>4</v>
      </c>
      <c r="AU10">
        <v>9</v>
      </c>
      <c r="AV10">
        <v>14</v>
      </c>
      <c r="AW10">
        <v>10</v>
      </c>
      <c r="AX10">
        <v>1</v>
      </c>
      <c r="AY10">
        <v>5</v>
      </c>
      <c r="AZ10">
        <v>2</v>
      </c>
      <c r="BA10">
        <v>7</v>
      </c>
      <c r="BB10">
        <v>11</v>
      </c>
      <c r="BC10">
        <v>12</v>
      </c>
      <c r="BD10">
        <v>4</v>
      </c>
      <c r="BE10">
        <v>8</v>
      </c>
      <c r="BF10">
        <v>6</v>
      </c>
      <c r="BG10">
        <v>8</v>
      </c>
      <c r="BH10">
        <v>8</v>
      </c>
      <c r="BI10">
        <v>3</v>
      </c>
      <c r="BJ10">
        <v>3</v>
      </c>
      <c r="BK10">
        <v>5</v>
      </c>
      <c r="BL10">
        <v>3</v>
      </c>
      <c r="BM10">
        <v>3</v>
      </c>
      <c r="BN10">
        <v>10</v>
      </c>
      <c r="BO10">
        <v>5</v>
      </c>
      <c r="BP10">
        <v>4</v>
      </c>
      <c r="BQ10">
        <v>9</v>
      </c>
    </row>
    <row r="11" spans="1:69" x14ac:dyDescent="0.3">
      <c r="B11" t="s">
        <v>107</v>
      </c>
      <c r="C11">
        <v>19</v>
      </c>
      <c r="D11">
        <v>66</v>
      </c>
      <c r="E11">
        <v>109</v>
      </c>
      <c r="F11" t="s">
        <v>76</v>
      </c>
      <c r="G11" t="s">
        <v>71</v>
      </c>
      <c r="H11" t="s">
        <v>108</v>
      </c>
      <c r="I11" t="s">
        <v>73</v>
      </c>
      <c r="J11">
        <v>46.57</v>
      </c>
      <c r="K11">
        <v>64.94</v>
      </c>
      <c r="L11">
        <v>20</v>
      </c>
      <c r="M11">
        <v>14</v>
      </c>
      <c r="N11">
        <v>1</v>
      </c>
      <c r="O11">
        <v>1</v>
      </c>
      <c r="P11">
        <v>1</v>
      </c>
      <c r="Q11">
        <v>1</v>
      </c>
      <c r="R11">
        <v>1</v>
      </c>
      <c r="S11">
        <v>3</v>
      </c>
      <c r="T11">
        <v>1</v>
      </c>
      <c r="U11">
        <v>12</v>
      </c>
      <c r="V11">
        <v>9</v>
      </c>
      <c r="W11" t="s">
        <v>99</v>
      </c>
      <c r="X11">
        <v>6</v>
      </c>
      <c r="Y11">
        <v>9</v>
      </c>
      <c r="Z11">
        <v>10</v>
      </c>
      <c r="AA11">
        <v>9</v>
      </c>
      <c r="AB11">
        <v>20</v>
      </c>
      <c r="AC11">
        <v>11</v>
      </c>
      <c r="AD11">
        <v>8</v>
      </c>
      <c r="AE11">
        <v>1</v>
      </c>
      <c r="AF11">
        <v>1</v>
      </c>
      <c r="AG11">
        <v>1</v>
      </c>
      <c r="AH11">
        <v>2</v>
      </c>
      <c r="AI11">
        <v>3</v>
      </c>
      <c r="AJ11">
        <v>2</v>
      </c>
      <c r="AK11">
        <v>3</v>
      </c>
      <c r="AL11">
        <v>3</v>
      </c>
      <c r="AM11">
        <v>3</v>
      </c>
      <c r="AN11">
        <v>2</v>
      </c>
      <c r="AO11">
        <v>3</v>
      </c>
      <c r="AP11">
        <v>13</v>
      </c>
      <c r="AQ11">
        <v>11</v>
      </c>
      <c r="AR11">
        <v>6</v>
      </c>
      <c r="AS11">
        <v>10</v>
      </c>
      <c r="AT11">
        <v>4</v>
      </c>
      <c r="AU11">
        <v>9</v>
      </c>
      <c r="AV11">
        <v>12</v>
      </c>
      <c r="AW11">
        <v>4</v>
      </c>
      <c r="AX11">
        <v>3</v>
      </c>
      <c r="AY11">
        <v>10</v>
      </c>
      <c r="AZ11">
        <v>6</v>
      </c>
      <c r="BA11">
        <v>5</v>
      </c>
      <c r="BB11">
        <v>5</v>
      </c>
      <c r="BC11">
        <v>8</v>
      </c>
      <c r="BD11">
        <v>4</v>
      </c>
      <c r="BE11">
        <v>3</v>
      </c>
      <c r="BF11">
        <v>13</v>
      </c>
      <c r="BG11">
        <v>9</v>
      </c>
      <c r="BH11">
        <v>12</v>
      </c>
      <c r="BI11">
        <v>4</v>
      </c>
      <c r="BJ11">
        <v>13</v>
      </c>
      <c r="BK11">
        <v>4</v>
      </c>
      <c r="BL11">
        <v>1</v>
      </c>
      <c r="BM11">
        <v>6</v>
      </c>
      <c r="BN11">
        <v>4</v>
      </c>
      <c r="BO11">
        <v>6</v>
      </c>
      <c r="BP11">
        <v>4</v>
      </c>
      <c r="BQ11">
        <v>9</v>
      </c>
    </row>
    <row r="12" spans="1:69" x14ac:dyDescent="0.3">
      <c r="B12" t="s">
        <v>109</v>
      </c>
      <c r="C12">
        <v>21</v>
      </c>
      <c r="D12">
        <v>73</v>
      </c>
      <c r="E12">
        <v>97</v>
      </c>
      <c r="F12" t="s">
        <v>110</v>
      </c>
      <c r="G12" t="s">
        <v>71</v>
      </c>
      <c r="H12" t="s">
        <v>111</v>
      </c>
      <c r="I12" t="s">
        <v>112</v>
      </c>
      <c r="J12">
        <v>52.03</v>
      </c>
      <c r="K12">
        <v>64.900000000000006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20</v>
      </c>
      <c r="S12">
        <v>10</v>
      </c>
      <c r="T12">
        <v>1</v>
      </c>
      <c r="U12">
        <v>8</v>
      </c>
      <c r="V12">
        <v>5</v>
      </c>
      <c r="W12" t="s">
        <v>113</v>
      </c>
      <c r="X12">
        <v>11</v>
      </c>
      <c r="Y12">
        <v>9</v>
      </c>
      <c r="Z12">
        <v>7</v>
      </c>
      <c r="AA12">
        <v>8</v>
      </c>
      <c r="AB12">
        <v>20</v>
      </c>
      <c r="AC12">
        <v>5</v>
      </c>
      <c r="AD12">
        <v>13</v>
      </c>
      <c r="AE12">
        <v>4</v>
      </c>
      <c r="AF12">
        <v>1</v>
      </c>
      <c r="AG12">
        <v>2</v>
      </c>
      <c r="AH12">
        <v>2</v>
      </c>
      <c r="AI12">
        <v>1</v>
      </c>
      <c r="AJ12">
        <v>3</v>
      </c>
      <c r="AK12">
        <v>3</v>
      </c>
      <c r="AL12">
        <v>1</v>
      </c>
      <c r="AM12">
        <v>2</v>
      </c>
      <c r="AN12">
        <v>1</v>
      </c>
      <c r="AO12">
        <v>1</v>
      </c>
      <c r="AP12">
        <v>15</v>
      </c>
      <c r="AQ12">
        <v>7</v>
      </c>
      <c r="AR12">
        <v>10</v>
      </c>
      <c r="AS12">
        <v>8</v>
      </c>
      <c r="AT12">
        <v>12</v>
      </c>
      <c r="AU12">
        <v>14</v>
      </c>
      <c r="AV12">
        <v>10</v>
      </c>
      <c r="AW12">
        <v>6</v>
      </c>
      <c r="AX12">
        <v>10</v>
      </c>
      <c r="AY12">
        <v>5</v>
      </c>
      <c r="AZ12">
        <v>14</v>
      </c>
      <c r="BA12">
        <v>5</v>
      </c>
      <c r="BB12">
        <v>5</v>
      </c>
      <c r="BC12">
        <v>6</v>
      </c>
      <c r="BD12">
        <v>3</v>
      </c>
      <c r="BE12">
        <v>4</v>
      </c>
      <c r="BF12">
        <v>1</v>
      </c>
      <c r="BG12">
        <v>1</v>
      </c>
      <c r="BH12">
        <v>5</v>
      </c>
      <c r="BI12">
        <v>1</v>
      </c>
      <c r="BJ12">
        <v>11</v>
      </c>
      <c r="BK12">
        <v>4</v>
      </c>
      <c r="BL12">
        <v>1</v>
      </c>
      <c r="BM12">
        <v>14</v>
      </c>
      <c r="BN12">
        <v>1</v>
      </c>
      <c r="BO12">
        <v>1</v>
      </c>
      <c r="BP12">
        <v>13</v>
      </c>
      <c r="BQ12">
        <v>1</v>
      </c>
    </row>
    <row r="13" spans="1:69" x14ac:dyDescent="0.3">
      <c r="B13" t="s">
        <v>114</v>
      </c>
      <c r="C13">
        <v>20</v>
      </c>
      <c r="D13">
        <v>59</v>
      </c>
      <c r="E13">
        <v>93</v>
      </c>
      <c r="F13" t="s">
        <v>115</v>
      </c>
      <c r="G13" t="s">
        <v>71</v>
      </c>
      <c r="H13" t="s">
        <v>116</v>
      </c>
      <c r="I13" t="s">
        <v>112</v>
      </c>
      <c r="J13">
        <v>43.32</v>
      </c>
      <c r="K13">
        <v>58.96</v>
      </c>
      <c r="L13">
        <v>1</v>
      </c>
      <c r="M13">
        <v>1</v>
      </c>
      <c r="N13">
        <v>1</v>
      </c>
      <c r="O13">
        <v>1</v>
      </c>
      <c r="P13">
        <v>5</v>
      </c>
      <c r="Q13">
        <v>1</v>
      </c>
      <c r="R13">
        <v>20</v>
      </c>
      <c r="S13">
        <v>1</v>
      </c>
      <c r="T13">
        <v>1</v>
      </c>
      <c r="U13">
        <v>5</v>
      </c>
      <c r="V13">
        <v>8</v>
      </c>
      <c r="W13" t="s">
        <v>113</v>
      </c>
      <c r="X13">
        <v>15</v>
      </c>
      <c r="Y13">
        <v>10</v>
      </c>
      <c r="Z13">
        <v>15</v>
      </c>
      <c r="AA13">
        <v>11</v>
      </c>
      <c r="AB13">
        <v>20</v>
      </c>
      <c r="AC13">
        <v>6</v>
      </c>
      <c r="AD13">
        <v>6</v>
      </c>
      <c r="AE13">
        <v>4</v>
      </c>
      <c r="AF13">
        <v>2</v>
      </c>
      <c r="AG13">
        <v>1</v>
      </c>
      <c r="AH13">
        <v>3</v>
      </c>
      <c r="AI13">
        <v>2</v>
      </c>
      <c r="AJ13">
        <v>2</v>
      </c>
      <c r="AK13">
        <v>3</v>
      </c>
      <c r="AL13">
        <v>2</v>
      </c>
      <c r="AM13">
        <v>3</v>
      </c>
      <c r="AN13">
        <v>3</v>
      </c>
      <c r="AO13">
        <v>1</v>
      </c>
      <c r="AP13">
        <v>5</v>
      </c>
      <c r="AQ13">
        <v>10</v>
      </c>
      <c r="AR13">
        <v>7</v>
      </c>
      <c r="AS13">
        <v>6</v>
      </c>
      <c r="AT13">
        <v>8</v>
      </c>
      <c r="AU13">
        <v>13</v>
      </c>
      <c r="AV13">
        <v>12</v>
      </c>
      <c r="AW13">
        <v>6</v>
      </c>
      <c r="AX13">
        <v>8</v>
      </c>
      <c r="AY13">
        <v>5</v>
      </c>
      <c r="AZ13">
        <v>13</v>
      </c>
      <c r="BA13">
        <v>5</v>
      </c>
      <c r="BB13">
        <v>5</v>
      </c>
      <c r="BC13">
        <v>5</v>
      </c>
      <c r="BD13">
        <v>2</v>
      </c>
      <c r="BE13">
        <v>1</v>
      </c>
      <c r="BF13">
        <v>1</v>
      </c>
      <c r="BG13">
        <v>1</v>
      </c>
      <c r="BH13">
        <v>5</v>
      </c>
      <c r="BI13">
        <v>1</v>
      </c>
      <c r="BJ13">
        <v>8</v>
      </c>
      <c r="BK13">
        <v>4</v>
      </c>
      <c r="BL13">
        <v>1</v>
      </c>
      <c r="BM13">
        <v>13</v>
      </c>
      <c r="BN13">
        <v>2</v>
      </c>
      <c r="BO13">
        <v>2</v>
      </c>
      <c r="BP13">
        <v>7</v>
      </c>
      <c r="BQ13">
        <v>1</v>
      </c>
    </row>
    <row r="14" spans="1:69" x14ac:dyDescent="0.3">
      <c r="B14" t="s">
        <v>117</v>
      </c>
      <c r="C14">
        <v>21</v>
      </c>
      <c r="D14">
        <v>53</v>
      </c>
      <c r="E14">
        <v>90</v>
      </c>
      <c r="F14" t="s">
        <v>76</v>
      </c>
      <c r="G14" t="s">
        <v>71</v>
      </c>
      <c r="H14" t="s">
        <v>116</v>
      </c>
      <c r="I14" t="s">
        <v>118</v>
      </c>
      <c r="J14">
        <v>41.6</v>
      </c>
      <c r="K14">
        <v>58.71</v>
      </c>
      <c r="L14">
        <v>1</v>
      </c>
      <c r="M14">
        <v>1</v>
      </c>
      <c r="N14">
        <v>1</v>
      </c>
      <c r="O14">
        <v>1</v>
      </c>
      <c r="P14">
        <v>1</v>
      </c>
      <c r="Q14">
        <v>18</v>
      </c>
      <c r="R14">
        <v>1</v>
      </c>
      <c r="S14">
        <v>1</v>
      </c>
      <c r="T14">
        <v>1</v>
      </c>
      <c r="U14">
        <v>14</v>
      </c>
      <c r="V14">
        <v>12</v>
      </c>
      <c r="W14" t="s">
        <v>119</v>
      </c>
      <c r="X14">
        <v>10</v>
      </c>
      <c r="Y14">
        <v>20</v>
      </c>
      <c r="Z14">
        <v>11</v>
      </c>
      <c r="AA14">
        <v>12</v>
      </c>
      <c r="AB14">
        <v>8</v>
      </c>
      <c r="AC14">
        <v>7</v>
      </c>
      <c r="AD14">
        <v>5</v>
      </c>
      <c r="AE14">
        <v>3</v>
      </c>
      <c r="AF14">
        <v>2</v>
      </c>
      <c r="AG14">
        <v>1</v>
      </c>
      <c r="AH14">
        <v>2</v>
      </c>
      <c r="AI14">
        <v>1</v>
      </c>
      <c r="AJ14">
        <v>3</v>
      </c>
      <c r="AK14">
        <v>1</v>
      </c>
      <c r="AL14">
        <v>1</v>
      </c>
      <c r="AM14">
        <v>3</v>
      </c>
      <c r="AN14">
        <v>3</v>
      </c>
      <c r="AO14">
        <v>2</v>
      </c>
      <c r="AP14">
        <v>10</v>
      </c>
      <c r="AQ14">
        <v>8</v>
      </c>
      <c r="AR14">
        <v>5</v>
      </c>
      <c r="AS14">
        <v>8</v>
      </c>
      <c r="AT14">
        <v>11</v>
      </c>
      <c r="AU14">
        <v>8</v>
      </c>
      <c r="AV14">
        <v>12</v>
      </c>
      <c r="AW14">
        <v>6</v>
      </c>
      <c r="AX14">
        <v>13</v>
      </c>
      <c r="AY14">
        <v>7</v>
      </c>
      <c r="AZ14">
        <v>6</v>
      </c>
      <c r="BA14">
        <v>7</v>
      </c>
      <c r="BB14">
        <v>6</v>
      </c>
      <c r="BC14">
        <v>7</v>
      </c>
      <c r="BD14">
        <v>4</v>
      </c>
      <c r="BE14">
        <v>8</v>
      </c>
      <c r="BF14">
        <v>6</v>
      </c>
      <c r="BG14">
        <v>3</v>
      </c>
      <c r="BH14">
        <v>11</v>
      </c>
      <c r="BI14">
        <v>4</v>
      </c>
      <c r="BJ14">
        <v>5</v>
      </c>
      <c r="BK14">
        <v>4</v>
      </c>
      <c r="BL14">
        <v>4</v>
      </c>
      <c r="BM14">
        <v>9</v>
      </c>
      <c r="BN14">
        <v>4</v>
      </c>
      <c r="BO14">
        <v>1</v>
      </c>
      <c r="BP14">
        <v>10</v>
      </c>
      <c r="BQ14">
        <v>7</v>
      </c>
    </row>
    <row r="15" spans="1:69" x14ac:dyDescent="0.3">
      <c r="B15" t="s">
        <v>120</v>
      </c>
      <c r="C15">
        <v>20</v>
      </c>
      <c r="D15">
        <v>40</v>
      </c>
      <c r="E15">
        <v>58</v>
      </c>
      <c r="F15" t="s">
        <v>76</v>
      </c>
      <c r="G15" t="s">
        <v>71</v>
      </c>
      <c r="H15" t="s">
        <v>121</v>
      </c>
      <c r="I15" t="s">
        <v>112</v>
      </c>
      <c r="J15">
        <v>44.31</v>
      </c>
      <c r="K15">
        <v>57.67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20</v>
      </c>
      <c r="S15">
        <v>1</v>
      </c>
      <c r="T15">
        <v>1</v>
      </c>
      <c r="U15">
        <v>7</v>
      </c>
      <c r="V15">
        <v>6</v>
      </c>
      <c r="W15" t="s">
        <v>113</v>
      </c>
      <c r="X15">
        <v>16</v>
      </c>
      <c r="Y15">
        <v>7</v>
      </c>
      <c r="Z15">
        <v>11</v>
      </c>
      <c r="AA15">
        <v>8</v>
      </c>
      <c r="AB15">
        <v>20</v>
      </c>
      <c r="AC15">
        <v>6</v>
      </c>
      <c r="AD15">
        <v>8</v>
      </c>
      <c r="AE15">
        <v>2</v>
      </c>
      <c r="AF15">
        <v>3</v>
      </c>
      <c r="AG15">
        <v>2</v>
      </c>
      <c r="AH15">
        <v>2</v>
      </c>
      <c r="AI15">
        <v>1</v>
      </c>
      <c r="AJ15">
        <v>2</v>
      </c>
      <c r="AK15">
        <v>3</v>
      </c>
      <c r="AL15">
        <v>3</v>
      </c>
      <c r="AM15">
        <v>1</v>
      </c>
      <c r="AN15">
        <v>2</v>
      </c>
      <c r="AO15">
        <v>1</v>
      </c>
      <c r="AP15">
        <v>15</v>
      </c>
      <c r="AQ15">
        <v>7</v>
      </c>
      <c r="AR15">
        <v>15</v>
      </c>
      <c r="AS15">
        <v>6</v>
      </c>
      <c r="AT15">
        <v>4</v>
      </c>
      <c r="AU15">
        <v>7</v>
      </c>
      <c r="AV15">
        <v>10</v>
      </c>
      <c r="AW15">
        <v>5</v>
      </c>
      <c r="AX15">
        <v>5</v>
      </c>
      <c r="AY15">
        <v>4</v>
      </c>
      <c r="AZ15">
        <v>13</v>
      </c>
      <c r="BA15">
        <v>4</v>
      </c>
      <c r="BB15">
        <v>1</v>
      </c>
      <c r="BC15">
        <v>5</v>
      </c>
      <c r="BD15">
        <v>1</v>
      </c>
      <c r="BE15">
        <v>1</v>
      </c>
      <c r="BF15">
        <v>1</v>
      </c>
      <c r="BG15">
        <v>1</v>
      </c>
      <c r="BH15">
        <v>1</v>
      </c>
      <c r="BI15">
        <v>1</v>
      </c>
      <c r="BJ15">
        <v>12</v>
      </c>
      <c r="BK15">
        <v>3</v>
      </c>
      <c r="BL15">
        <v>1</v>
      </c>
      <c r="BM15">
        <v>11</v>
      </c>
      <c r="BN15">
        <v>1</v>
      </c>
      <c r="BO15">
        <v>3</v>
      </c>
      <c r="BP15">
        <v>5</v>
      </c>
      <c r="BQ15">
        <v>1</v>
      </c>
    </row>
    <row r="16" spans="1:69" x14ac:dyDescent="0.3">
      <c r="B16" t="s">
        <v>122</v>
      </c>
      <c r="C16">
        <v>21</v>
      </c>
      <c r="D16">
        <v>44</v>
      </c>
      <c r="E16">
        <v>81</v>
      </c>
      <c r="F16" t="s">
        <v>76</v>
      </c>
      <c r="G16" t="s">
        <v>71</v>
      </c>
      <c r="H16" t="s">
        <v>116</v>
      </c>
      <c r="I16" t="s">
        <v>123</v>
      </c>
      <c r="J16">
        <v>38.630000000000003</v>
      </c>
      <c r="K16">
        <v>56.28</v>
      </c>
      <c r="L16">
        <v>1</v>
      </c>
      <c r="M16">
        <v>16</v>
      </c>
      <c r="N16">
        <v>2</v>
      </c>
      <c r="O16">
        <v>20</v>
      </c>
      <c r="P16">
        <v>1</v>
      </c>
      <c r="Q16">
        <v>1</v>
      </c>
      <c r="R16">
        <v>1</v>
      </c>
      <c r="S16">
        <v>1</v>
      </c>
      <c r="T16">
        <v>1</v>
      </c>
      <c r="U16">
        <v>12</v>
      </c>
      <c r="V16">
        <v>12</v>
      </c>
      <c r="W16" t="s">
        <v>124</v>
      </c>
      <c r="X16">
        <v>4</v>
      </c>
      <c r="Y16">
        <v>12</v>
      </c>
      <c r="Z16">
        <v>10</v>
      </c>
      <c r="AA16">
        <v>11</v>
      </c>
      <c r="AB16">
        <v>20</v>
      </c>
      <c r="AC16">
        <v>11</v>
      </c>
      <c r="AD16">
        <v>1</v>
      </c>
      <c r="AE16">
        <v>1</v>
      </c>
      <c r="AF16">
        <v>2</v>
      </c>
      <c r="AG16">
        <v>3</v>
      </c>
      <c r="AH16">
        <v>2</v>
      </c>
      <c r="AI16">
        <v>4</v>
      </c>
      <c r="AJ16">
        <v>1</v>
      </c>
      <c r="AK16">
        <v>1</v>
      </c>
      <c r="AL16">
        <v>2</v>
      </c>
      <c r="AM16">
        <v>1</v>
      </c>
      <c r="AN16">
        <v>2</v>
      </c>
      <c r="AO16">
        <v>1</v>
      </c>
      <c r="AP16">
        <v>12</v>
      </c>
      <c r="AQ16">
        <v>6</v>
      </c>
      <c r="AR16">
        <v>2</v>
      </c>
      <c r="AS16">
        <v>2</v>
      </c>
      <c r="AT16">
        <v>4</v>
      </c>
      <c r="AU16">
        <v>6</v>
      </c>
      <c r="AV16">
        <v>3</v>
      </c>
      <c r="AW16">
        <v>8</v>
      </c>
      <c r="AX16">
        <v>9</v>
      </c>
      <c r="AY16">
        <v>7</v>
      </c>
      <c r="AZ16">
        <v>3</v>
      </c>
      <c r="BA16">
        <v>5</v>
      </c>
      <c r="BB16">
        <v>4</v>
      </c>
      <c r="BC16">
        <v>9</v>
      </c>
      <c r="BD16">
        <v>4</v>
      </c>
      <c r="BE16">
        <v>8</v>
      </c>
      <c r="BF16">
        <v>10</v>
      </c>
      <c r="BG16">
        <v>5</v>
      </c>
      <c r="BH16">
        <v>10</v>
      </c>
      <c r="BI16">
        <v>3</v>
      </c>
      <c r="BJ16">
        <v>2</v>
      </c>
      <c r="BK16">
        <v>4</v>
      </c>
      <c r="BL16">
        <v>3</v>
      </c>
      <c r="BM16">
        <v>1</v>
      </c>
      <c r="BN16">
        <v>9</v>
      </c>
      <c r="BO16">
        <v>1</v>
      </c>
      <c r="BP16">
        <v>3</v>
      </c>
      <c r="BQ16">
        <v>5</v>
      </c>
    </row>
    <row r="17" spans="2:69" x14ac:dyDescent="0.3">
      <c r="B17" t="s">
        <v>125</v>
      </c>
      <c r="C17">
        <v>24</v>
      </c>
      <c r="D17">
        <v>85</v>
      </c>
      <c r="E17">
        <v>93</v>
      </c>
      <c r="F17" t="s">
        <v>126</v>
      </c>
      <c r="G17" t="s">
        <v>71</v>
      </c>
      <c r="H17" t="s">
        <v>127</v>
      </c>
      <c r="I17" t="s">
        <v>128</v>
      </c>
      <c r="J17">
        <v>54</v>
      </c>
      <c r="K17">
        <v>56.09</v>
      </c>
      <c r="L17">
        <v>1</v>
      </c>
      <c r="M17">
        <v>18</v>
      </c>
      <c r="N17">
        <v>1</v>
      </c>
      <c r="O17">
        <v>20</v>
      </c>
      <c r="P17">
        <v>3</v>
      </c>
      <c r="Q17">
        <v>1</v>
      </c>
      <c r="R17">
        <v>1</v>
      </c>
      <c r="S17">
        <v>14</v>
      </c>
      <c r="T17">
        <v>1</v>
      </c>
      <c r="U17">
        <v>12</v>
      </c>
      <c r="V17">
        <v>13</v>
      </c>
      <c r="W17" t="s">
        <v>103</v>
      </c>
      <c r="X17">
        <v>8</v>
      </c>
      <c r="Y17">
        <v>10</v>
      </c>
      <c r="Z17">
        <v>11</v>
      </c>
      <c r="AA17">
        <v>12</v>
      </c>
      <c r="AB17">
        <v>20</v>
      </c>
      <c r="AC17">
        <v>12</v>
      </c>
      <c r="AD17">
        <v>7</v>
      </c>
      <c r="AE17">
        <v>2</v>
      </c>
      <c r="AF17">
        <v>1</v>
      </c>
      <c r="AG17">
        <v>2</v>
      </c>
      <c r="AH17">
        <v>3</v>
      </c>
      <c r="AI17">
        <v>3</v>
      </c>
      <c r="AJ17">
        <v>3</v>
      </c>
      <c r="AK17">
        <v>2</v>
      </c>
      <c r="AL17">
        <v>1</v>
      </c>
      <c r="AM17">
        <v>3</v>
      </c>
      <c r="AN17">
        <v>2</v>
      </c>
      <c r="AO17">
        <v>1</v>
      </c>
      <c r="AP17">
        <v>9</v>
      </c>
      <c r="AQ17">
        <v>10</v>
      </c>
      <c r="AR17">
        <v>9</v>
      </c>
      <c r="AS17">
        <v>10</v>
      </c>
      <c r="AT17">
        <v>10</v>
      </c>
      <c r="AU17">
        <v>11</v>
      </c>
      <c r="AV17">
        <v>19</v>
      </c>
      <c r="AW17">
        <v>12</v>
      </c>
      <c r="AX17">
        <v>5</v>
      </c>
      <c r="AY17">
        <v>11</v>
      </c>
      <c r="AZ17">
        <v>9</v>
      </c>
      <c r="BA17">
        <v>9</v>
      </c>
      <c r="BB17">
        <v>8</v>
      </c>
      <c r="BC17">
        <v>10</v>
      </c>
      <c r="BD17">
        <v>7</v>
      </c>
      <c r="BE17">
        <v>10</v>
      </c>
      <c r="BF17">
        <v>11</v>
      </c>
      <c r="BG17">
        <v>12</v>
      </c>
      <c r="BH17">
        <v>11</v>
      </c>
      <c r="BI17">
        <v>7</v>
      </c>
      <c r="BJ17">
        <v>7</v>
      </c>
      <c r="BK17">
        <v>5</v>
      </c>
      <c r="BL17">
        <v>7</v>
      </c>
      <c r="BM17">
        <v>8</v>
      </c>
      <c r="BN17">
        <v>13</v>
      </c>
      <c r="BO17">
        <v>3</v>
      </c>
      <c r="BP17">
        <v>6</v>
      </c>
      <c r="BQ17">
        <v>10</v>
      </c>
    </row>
    <row r="18" spans="2:69" x14ac:dyDescent="0.3">
      <c r="B18" t="s">
        <v>129</v>
      </c>
      <c r="C18">
        <v>17</v>
      </c>
      <c r="D18">
        <v>72</v>
      </c>
      <c r="E18">
        <v>87</v>
      </c>
      <c r="F18" t="s">
        <v>130</v>
      </c>
      <c r="G18" t="s">
        <v>71</v>
      </c>
      <c r="H18" t="s">
        <v>131</v>
      </c>
      <c r="I18" t="s">
        <v>128</v>
      </c>
      <c r="J18">
        <v>46.14</v>
      </c>
      <c r="K18">
        <v>54.1</v>
      </c>
      <c r="L18">
        <v>1</v>
      </c>
      <c r="M18">
        <v>20</v>
      </c>
      <c r="N18">
        <v>1</v>
      </c>
      <c r="O18">
        <v>19</v>
      </c>
      <c r="P18">
        <v>1</v>
      </c>
      <c r="Q18">
        <v>1</v>
      </c>
      <c r="R18">
        <v>1</v>
      </c>
      <c r="S18">
        <v>1</v>
      </c>
      <c r="T18">
        <v>1</v>
      </c>
      <c r="U18">
        <v>14</v>
      </c>
      <c r="V18">
        <v>11</v>
      </c>
      <c r="W18" t="s">
        <v>79</v>
      </c>
      <c r="X18">
        <v>6</v>
      </c>
      <c r="Y18">
        <v>20</v>
      </c>
      <c r="Z18">
        <v>5</v>
      </c>
      <c r="AA18">
        <v>12</v>
      </c>
      <c r="AB18">
        <v>11</v>
      </c>
      <c r="AC18">
        <v>13</v>
      </c>
      <c r="AD18">
        <v>6</v>
      </c>
      <c r="AE18">
        <v>3</v>
      </c>
      <c r="AF18">
        <v>4</v>
      </c>
      <c r="AG18">
        <v>2</v>
      </c>
      <c r="AH18">
        <v>4</v>
      </c>
      <c r="AI18">
        <v>3</v>
      </c>
      <c r="AJ18">
        <v>1</v>
      </c>
      <c r="AK18">
        <v>1</v>
      </c>
      <c r="AL18">
        <v>3</v>
      </c>
      <c r="AM18">
        <v>3</v>
      </c>
      <c r="AN18">
        <v>1</v>
      </c>
      <c r="AO18">
        <v>3</v>
      </c>
      <c r="AP18">
        <v>7</v>
      </c>
      <c r="AQ18">
        <v>7</v>
      </c>
      <c r="AR18">
        <v>7</v>
      </c>
      <c r="AS18">
        <v>7</v>
      </c>
      <c r="AT18">
        <v>5</v>
      </c>
      <c r="AU18">
        <v>7</v>
      </c>
      <c r="AV18">
        <v>12</v>
      </c>
      <c r="AW18">
        <v>9</v>
      </c>
      <c r="AX18">
        <v>11</v>
      </c>
      <c r="AY18">
        <v>11</v>
      </c>
      <c r="AZ18">
        <v>3</v>
      </c>
      <c r="BA18">
        <v>9</v>
      </c>
      <c r="BB18">
        <v>9</v>
      </c>
      <c r="BC18">
        <v>8</v>
      </c>
      <c r="BD18">
        <v>6</v>
      </c>
      <c r="BE18">
        <v>6</v>
      </c>
      <c r="BF18">
        <v>10</v>
      </c>
      <c r="BG18">
        <v>7</v>
      </c>
      <c r="BH18">
        <v>7</v>
      </c>
      <c r="BI18">
        <v>9</v>
      </c>
      <c r="BJ18">
        <v>4</v>
      </c>
      <c r="BK18">
        <v>5</v>
      </c>
      <c r="BL18">
        <v>3</v>
      </c>
      <c r="BM18">
        <v>3</v>
      </c>
      <c r="BN18">
        <v>7</v>
      </c>
      <c r="BO18">
        <v>3</v>
      </c>
      <c r="BP18">
        <v>1</v>
      </c>
      <c r="BQ18">
        <v>8</v>
      </c>
    </row>
    <row r="19" spans="2:69" x14ac:dyDescent="0.3">
      <c r="B19" t="s">
        <v>132</v>
      </c>
      <c r="C19">
        <v>20</v>
      </c>
      <c r="D19">
        <v>62</v>
      </c>
      <c r="E19">
        <v>72</v>
      </c>
      <c r="F19" t="s">
        <v>76</v>
      </c>
      <c r="G19" t="s">
        <v>71</v>
      </c>
      <c r="H19" t="s">
        <v>116</v>
      </c>
      <c r="I19" t="s">
        <v>78</v>
      </c>
      <c r="J19">
        <v>46.26</v>
      </c>
      <c r="K19">
        <v>52.68</v>
      </c>
      <c r="L19">
        <v>1</v>
      </c>
      <c r="M19">
        <v>1</v>
      </c>
      <c r="N19">
        <v>1</v>
      </c>
      <c r="O19">
        <v>1</v>
      </c>
      <c r="P19">
        <v>16</v>
      </c>
      <c r="Q19">
        <v>5</v>
      </c>
      <c r="R19">
        <v>1</v>
      </c>
      <c r="S19">
        <v>1</v>
      </c>
      <c r="T19">
        <v>1</v>
      </c>
      <c r="U19">
        <v>11</v>
      </c>
      <c r="V19">
        <v>11</v>
      </c>
      <c r="W19" t="s">
        <v>133</v>
      </c>
      <c r="X19">
        <v>10</v>
      </c>
      <c r="Y19">
        <v>9</v>
      </c>
      <c r="Z19">
        <v>10</v>
      </c>
      <c r="AA19">
        <v>10</v>
      </c>
      <c r="AB19">
        <v>20</v>
      </c>
      <c r="AC19">
        <v>7</v>
      </c>
      <c r="AD19">
        <v>7</v>
      </c>
      <c r="AE19">
        <v>2</v>
      </c>
      <c r="AF19">
        <v>1</v>
      </c>
      <c r="AG19">
        <v>3</v>
      </c>
      <c r="AH19">
        <v>1</v>
      </c>
      <c r="AI19">
        <v>3</v>
      </c>
      <c r="AJ19">
        <v>3</v>
      </c>
      <c r="AK19">
        <v>2</v>
      </c>
      <c r="AL19">
        <v>3</v>
      </c>
      <c r="AM19">
        <v>2</v>
      </c>
      <c r="AN19">
        <v>3</v>
      </c>
      <c r="AO19">
        <v>1</v>
      </c>
      <c r="AP19">
        <v>6</v>
      </c>
      <c r="AQ19">
        <v>6</v>
      </c>
      <c r="AR19">
        <v>9</v>
      </c>
      <c r="AS19">
        <v>7</v>
      </c>
      <c r="AT19">
        <v>8</v>
      </c>
      <c r="AU19">
        <v>9</v>
      </c>
      <c r="AV19">
        <v>14</v>
      </c>
      <c r="AW19">
        <v>5</v>
      </c>
      <c r="AX19">
        <v>13</v>
      </c>
      <c r="AY19">
        <v>5</v>
      </c>
      <c r="AZ19">
        <v>9</v>
      </c>
      <c r="BA19">
        <v>7</v>
      </c>
      <c r="BB19">
        <v>12</v>
      </c>
      <c r="BC19">
        <v>11</v>
      </c>
      <c r="BD19">
        <v>5</v>
      </c>
      <c r="BE19">
        <v>5</v>
      </c>
      <c r="BF19">
        <v>5</v>
      </c>
      <c r="BG19">
        <v>6</v>
      </c>
      <c r="BH19">
        <v>10</v>
      </c>
      <c r="BI19">
        <v>5</v>
      </c>
      <c r="BJ19">
        <v>6</v>
      </c>
      <c r="BK19">
        <v>7</v>
      </c>
      <c r="BL19">
        <v>1</v>
      </c>
      <c r="BM19">
        <v>10</v>
      </c>
      <c r="BN19">
        <v>11</v>
      </c>
      <c r="BO19">
        <v>1</v>
      </c>
      <c r="BP19">
        <v>8</v>
      </c>
      <c r="BQ19">
        <v>14</v>
      </c>
    </row>
    <row r="20" spans="2:69" x14ac:dyDescent="0.3">
      <c r="B20" t="s">
        <v>134</v>
      </c>
      <c r="C20">
        <v>39</v>
      </c>
      <c r="D20">
        <v>55</v>
      </c>
      <c r="E20">
        <v>107</v>
      </c>
      <c r="F20" t="s">
        <v>76</v>
      </c>
      <c r="G20" t="s">
        <v>71</v>
      </c>
      <c r="H20" t="s">
        <v>116</v>
      </c>
      <c r="I20" t="s">
        <v>78</v>
      </c>
      <c r="J20">
        <v>51.09</v>
      </c>
      <c r="K20">
        <v>51.09</v>
      </c>
      <c r="L20">
        <v>1</v>
      </c>
      <c r="M20">
        <v>1</v>
      </c>
      <c r="N20">
        <v>1</v>
      </c>
      <c r="O20">
        <v>1</v>
      </c>
      <c r="P20">
        <v>18</v>
      </c>
      <c r="Q20">
        <v>1</v>
      </c>
      <c r="R20">
        <v>16</v>
      </c>
      <c r="S20">
        <v>1</v>
      </c>
      <c r="T20">
        <v>1</v>
      </c>
      <c r="U20">
        <v>5</v>
      </c>
      <c r="V20">
        <v>6</v>
      </c>
      <c r="W20" t="s">
        <v>99</v>
      </c>
      <c r="X20">
        <v>11</v>
      </c>
      <c r="Y20">
        <v>9</v>
      </c>
      <c r="Z20">
        <v>11</v>
      </c>
      <c r="AA20">
        <v>5</v>
      </c>
      <c r="AB20">
        <v>20</v>
      </c>
      <c r="AC20">
        <v>6</v>
      </c>
      <c r="AD20">
        <v>10</v>
      </c>
      <c r="AE20">
        <v>1</v>
      </c>
      <c r="AF20">
        <v>2</v>
      </c>
      <c r="AG20">
        <v>2</v>
      </c>
      <c r="AH20">
        <v>3</v>
      </c>
      <c r="AI20">
        <v>2</v>
      </c>
      <c r="AJ20">
        <v>1</v>
      </c>
      <c r="AK20">
        <v>2</v>
      </c>
      <c r="AL20">
        <v>1</v>
      </c>
      <c r="AM20">
        <v>1</v>
      </c>
      <c r="AN20">
        <v>2</v>
      </c>
      <c r="AO20">
        <v>1</v>
      </c>
      <c r="AP20">
        <v>9</v>
      </c>
      <c r="AQ20">
        <v>12</v>
      </c>
      <c r="AR20">
        <v>12</v>
      </c>
      <c r="AS20">
        <v>9</v>
      </c>
      <c r="AT20">
        <v>11</v>
      </c>
      <c r="AU20">
        <v>11</v>
      </c>
      <c r="AV20">
        <v>9</v>
      </c>
      <c r="AW20">
        <v>7</v>
      </c>
      <c r="AX20">
        <v>15</v>
      </c>
      <c r="AY20">
        <v>8</v>
      </c>
      <c r="AZ20">
        <v>11</v>
      </c>
      <c r="BA20">
        <v>11</v>
      </c>
      <c r="BB20">
        <v>8</v>
      </c>
      <c r="BC20">
        <v>9</v>
      </c>
      <c r="BD20">
        <v>5</v>
      </c>
      <c r="BE20">
        <v>7</v>
      </c>
      <c r="BF20">
        <v>4</v>
      </c>
      <c r="BG20">
        <v>8</v>
      </c>
      <c r="BH20">
        <v>10</v>
      </c>
      <c r="BI20">
        <v>4</v>
      </c>
      <c r="BJ20">
        <v>14</v>
      </c>
      <c r="BK20">
        <v>7</v>
      </c>
      <c r="BL20">
        <v>4</v>
      </c>
      <c r="BM20">
        <v>8</v>
      </c>
      <c r="BN20">
        <v>9</v>
      </c>
      <c r="BO20">
        <v>11</v>
      </c>
      <c r="BP20">
        <v>11</v>
      </c>
      <c r="BQ20">
        <v>10</v>
      </c>
    </row>
    <row r="21" spans="2:69" x14ac:dyDescent="0.3">
      <c r="B21" t="s">
        <v>135</v>
      </c>
      <c r="C21">
        <v>25</v>
      </c>
      <c r="D21">
        <v>43</v>
      </c>
      <c r="E21">
        <v>59</v>
      </c>
      <c r="F21" t="s">
        <v>76</v>
      </c>
      <c r="G21" t="s">
        <v>71</v>
      </c>
      <c r="H21" t="s">
        <v>136</v>
      </c>
      <c r="I21" t="s">
        <v>73</v>
      </c>
      <c r="J21">
        <v>42.48</v>
      </c>
      <c r="K21">
        <v>45.93</v>
      </c>
      <c r="L21">
        <v>20</v>
      </c>
      <c r="M21">
        <v>7</v>
      </c>
      <c r="N21">
        <v>4</v>
      </c>
      <c r="O21">
        <v>7</v>
      </c>
      <c r="P21">
        <v>2</v>
      </c>
      <c r="Q21">
        <v>1</v>
      </c>
      <c r="R21">
        <v>1</v>
      </c>
      <c r="S21">
        <v>1</v>
      </c>
      <c r="T21">
        <v>1</v>
      </c>
      <c r="U21">
        <v>13</v>
      </c>
      <c r="V21">
        <v>9</v>
      </c>
      <c r="W21" t="s">
        <v>119</v>
      </c>
      <c r="X21">
        <v>11</v>
      </c>
      <c r="Y21">
        <v>5</v>
      </c>
      <c r="Z21">
        <v>11</v>
      </c>
      <c r="AA21">
        <v>12</v>
      </c>
      <c r="AB21">
        <v>20</v>
      </c>
      <c r="AC21">
        <v>9</v>
      </c>
      <c r="AD21">
        <v>8</v>
      </c>
      <c r="AE21">
        <v>1</v>
      </c>
      <c r="AF21">
        <v>1</v>
      </c>
      <c r="AG21">
        <v>1</v>
      </c>
      <c r="AH21">
        <v>1</v>
      </c>
      <c r="AI21">
        <v>3</v>
      </c>
      <c r="AJ21">
        <v>1</v>
      </c>
      <c r="AK21">
        <v>3</v>
      </c>
      <c r="AL21">
        <v>3</v>
      </c>
      <c r="AM21">
        <v>1</v>
      </c>
      <c r="AN21">
        <v>3</v>
      </c>
      <c r="AO21">
        <v>2</v>
      </c>
      <c r="AP21">
        <v>10</v>
      </c>
      <c r="AQ21">
        <v>7</v>
      </c>
      <c r="AR21">
        <v>5</v>
      </c>
      <c r="AS21">
        <v>11</v>
      </c>
      <c r="AT21">
        <v>3</v>
      </c>
      <c r="AU21">
        <v>7</v>
      </c>
      <c r="AV21">
        <v>16</v>
      </c>
      <c r="AW21">
        <v>7</v>
      </c>
      <c r="AX21">
        <v>13</v>
      </c>
      <c r="AY21">
        <v>6</v>
      </c>
      <c r="AZ21">
        <v>4</v>
      </c>
      <c r="BA21">
        <v>4</v>
      </c>
      <c r="BB21">
        <v>6</v>
      </c>
      <c r="BC21">
        <v>7</v>
      </c>
      <c r="BD21">
        <v>4</v>
      </c>
      <c r="BE21">
        <v>5</v>
      </c>
      <c r="BF21">
        <v>7</v>
      </c>
      <c r="BG21">
        <v>7</v>
      </c>
      <c r="BH21">
        <v>9</v>
      </c>
      <c r="BI21">
        <v>3</v>
      </c>
      <c r="BJ21">
        <v>9</v>
      </c>
      <c r="BK21">
        <v>8</v>
      </c>
      <c r="BL21">
        <v>1</v>
      </c>
      <c r="BM21">
        <v>2</v>
      </c>
      <c r="BN21">
        <v>6</v>
      </c>
      <c r="BO21">
        <v>4</v>
      </c>
      <c r="BP21">
        <v>1</v>
      </c>
      <c r="BQ21">
        <v>8</v>
      </c>
    </row>
    <row r="22" spans="2:69" x14ac:dyDescent="0.3">
      <c r="B22" t="s">
        <v>137</v>
      </c>
      <c r="C22">
        <v>17</v>
      </c>
      <c r="D22">
        <v>48</v>
      </c>
      <c r="E22">
        <v>49</v>
      </c>
      <c r="F22" t="s">
        <v>76</v>
      </c>
      <c r="G22" t="s">
        <v>71</v>
      </c>
      <c r="H22" t="s">
        <v>138</v>
      </c>
      <c r="I22" t="s">
        <v>94</v>
      </c>
      <c r="J22">
        <v>42</v>
      </c>
      <c r="K22">
        <v>42.84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20</v>
      </c>
      <c r="U22">
        <v>7</v>
      </c>
      <c r="V22">
        <v>13</v>
      </c>
      <c r="W22" t="s">
        <v>139</v>
      </c>
      <c r="X22">
        <v>11</v>
      </c>
      <c r="Y22">
        <v>9</v>
      </c>
      <c r="Z22">
        <v>12</v>
      </c>
      <c r="AA22">
        <v>12</v>
      </c>
      <c r="AB22">
        <v>20</v>
      </c>
      <c r="AC22">
        <v>3</v>
      </c>
      <c r="AD22">
        <v>4</v>
      </c>
      <c r="AE22">
        <v>8</v>
      </c>
      <c r="AF22">
        <v>11</v>
      </c>
      <c r="AG22">
        <v>6</v>
      </c>
      <c r="AH22">
        <v>7</v>
      </c>
      <c r="AI22">
        <v>8</v>
      </c>
      <c r="AJ22">
        <v>6</v>
      </c>
      <c r="AK22">
        <v>5</v>
      </c>
      <c r="AL22">
        <v>10</v>
      </c>
      <c r="AM22">
        <v>9</v>
      </c>
      <c r="AN22">
        <v>13</v>
      </c>
      <c r="AO22">
        <v>5</v>
      </c>
      <c r="AP22">
        <v>13</v>
      </c>
      <c r="AQ22">
        <v>5</v>
      </c>
      <c r="AR22">
        <v>5</v>
      </c>
      <c r="AS22">
        <v>4</v>
      </c>
      <c r="AT22">
        <v>10</v>
      </c>
      <c r="AU22">
        <v>12</v>
      </c>
      <c r="AV22">
        <v>17</v>
      </c>
      <c r="AW22">
        <v>1</v>
      </c>
      <c r="AX22">
        <v>3</v>
      </c>
      <c r="AY22">
        <v>2</v>
      </c>
      <c r="AZ22">
        <v>8</v>
      </c>
      <c r="BA22">
        <v>12</v>
      </c>
      <c r="BB22">
        <v>5</v>
      </c>
      <c r="BC22">
        <v>6</v>
      </c>
      <c r="BD22">
        <v>2</v>
      </c>
      <c r="BE22">
        <v>3</v>
      </c>
      <c r="BF22">
        <v>1</v>
      </c>
      <c r="BG22">
        <v>3</v>
      </c>
      <c r="BH22">
        <v>3</v>
      </c>
      <c r="BI22">
        <v>3</v>
      </c>
      <c r="BJ22">
        <v>1</v>
      </c>
      <c r="BK22">
        <v>3</v>
      </c>
      <c r="BL22">
        <v>1</v>
      </c>
      <c r="BM22">
        <v>1</v>
      </c>
      <c r="BN22">
        <v>4</v>
      </c>
      <c r="BO22">
        <v>3</v>
      </c>
      <c r="BP22">
        <v>3</v>
      </c>
      <c r="BQ22">
        <v>4</v>
      </c>
    </row>
    <row r="23" spans="2:69" x14ac:dyDescent="0.3">
      <c r="B23" t="s">
        <v>140</v>
      </c>
      <c r="C23">
        <v>28</v>
      </c>
      <c r="D23">
        <v>40</v>
      </c>
      <c r="E23">
        <v>50</v>
      </c>
      <c r="F23" t="s">
        <v>76</v>
      </c>
      <c r="G23" t="s">
        <v>71</v>
      </c>
      <c r="H23" t="s">
        <v>116</v>
      </c>
      <c r="I23" t="s">
        <v>141</v>
      </c>
      <c r="J23">
        <v>38.770000000000003</v>
      </c>
      <c r="K23">
        <v>38.770000000000003</v>
      </c>
      <c r="L23">
        <v>1</v>
      </c>
      <c r="M23">
        <v>1</v>
      </c>
      <c r="N23">
        <v>2</v>
      </c>
      <c r="O23">
        <v>17</v>
      </c>
      <c r="P23">
        <v>1</v>
      </c>
      <c r="Q23">
        <v>1</v>
      </c>
      <c r="R23">
        <v>1</v>
      </c>
      <c r="S23">
        <v>1</v>
      </c>
      <c r="T23">
        <v>1</v>
      </c>
      <c r="U23">
        <v>12</v>
      </c>
      <c r="V23">
        <v>9</v>
      </c>
      <c r="W23" t="s">
        <v>119</v>
      </c>
      <c r="X23">
        <v>8</v>
      </c>
      <c r="Y23">
        <v>9</v>
      </c>
      <c r="Z23">
        <v>9</v>
      </c>
      <c r="AA23">
        <v>10</v>
      </c>
      <c r="AB23">
        <v>20</v>
      </c>
      <c r="AC23">
        <v>12</v>
      </c>
      <c r="AD23">
        <v>4</v>
      </c>
      <c r="AE23">
        <v>3</v>
      </c>
      <c r="AF23">
        <v>1</v>
      </c>
      <c r="AG23">
        <v>3</v>
      </c>
      <c r="AH23">
        <v>3</v>
      </c>
      <c r="AI23">
        <v>3</v>
      </c>
      <c r="AJ23">
        <v>4</v>
      </c>
      <c r="AK23">
        <v>3</v>
      </c>
      <c r="AL23">
        <v>2</v>
      </c>
      <c r="AM23">
        <v>3</v>
      </c>
      <c r="AN23">
        <v>2</v>
      </c>
      <c r="AO23">
        <v>3</v>
      </c>
      <c r="AP23">
        <v>13</v>
      </c>
      <c r="AQ23">
        <v>8</v>
      </c>
      <c r="AR23">
        <v>2</v>
      </c>
      <c r="AS23">
        <v>6</v>
      </c>
      <c r="AT23">
        <v>3</v>
      </c>
      <c r="AU23">
        <v>7</v>
      </c>
      <c r="AV23">
        <v>12</v>
      </c>
      <c r="AW23">
        <v>6</v>
      </c>
      <c r="AX23">
        <v>13</v>
      </c>
      <c r="AY23">
        <v>5</v>
      </c>
      <c r="AZ23">
        <v>4</v>
      </c>
      <c r="BA23">
        <v>6</v>
      </c>
      <c r="BB23">
        <v>4</v>
      </c>
      <c r="BC23">
        <v>11</v>
      </c>
      <c r="BD23">
        <v>4</v>
      </c>
      <c r="BE23">
        <v>10</v>
      </c>
      <c r="BF23">
        <v>6</v>
      </c>
      <c r="BG23">
        <v>4</v>
      </c>
      <c r="BH23">
        <v>10</v>
      </c>
      <c r="BI23">
        <v>4</v>
      </c>
      <c r="BJ23">
        <v>4</v>
      </c>
      <c r="BK23">
        <v>2</v>
      </c>
      <c r="BL23">
        <v>3</v>
      </c>
      <c r="BM23">
        <v>4</v>
      </c>
      <c r="BN23">
        <v>7</v>
      </c>
      <c r="BO23">
        <v>1</v>
      </c>
      <c r="BP23">
        <v>1</v>
      </c>
      <c r="BQ23">
        <v>6</v>
      </c>
    </row>
    <row r="24" spans="2:69" x14ac:dyDescent="0.3">
      <c r="B24" t="s">
        <v>142</v>
      </c>
      <c r="C24">
        <v>16</v>
      </c>
      <c r="D24">
        <v>63</v>
      </c>
      <c r="E24">
        <v>139</v>
      </c>
      <c r="F24" t="s">
        <v>143</v>
      </c>
      <c r="G24" t="s">
        <v>71</v>
      </c>
      <c r="H24" t="s">
        <v>144</v>
      </c>
      <c r="I24" t="s">
        <v>145</v>
      </c>
      <c r="J24">
        <v>49.14</v>
      </c>
      <c r="K24">
        <v>74.59</v>
      </c>
      <c r="L24">
        <v>15</v>
      </c>
      <c r="M24">
        <v>1</v>
      </c>
      <c r="N24">
        <v>1</v>
      </c>
      <c r="O24">
        <v>20</v>
      </c>
      <c r="P24">
        <v>1</v>
      </c>
      <c r="Q24">
        <v>1</v>
      </c>
      <c r="R24">
        <v>1</v>
      </c>
      <c r="S24">
        <v>1</v>
      </c>
      <c r="T24">
        <v>1</v>
      </c>
      <c r="U24">
        <v>11</v>
      </c>
      <c r="V24">
        <v>12</v>
      </c>
      <c r="W24" t="s">
        <v>133</v>
      </c>
      <c r="X24">
        <v>10</v>
      </c>
      <c r="Y24">
        <v>9</v>
      </c>
      <c r="Z24">
        <v>10</v>
      </c>
      <c r="AA24">
        <v>11</v>
      </c>
      <c r="AB24">
        <v>20</v>
      </c>
      <c r="AC24">
        <v>7</v>
      </c>
      <c r="AD24">
        <v>6</v>
      </c>
      <c r="AE24">
        <v>2</v>
      </c>
      <c r="AF24">
        <v>3</v>
      </c>
      <c r="AG24">
        <v>2</v>
      </c>
      <c r="AH24">
        <v>1</v>
      </c>
      <c r="AI24">
        <v>1</v>
      </c>
      <c r="AJ24">
        <v>1</v>
      </c>
      <c r="AK24">
        <v>2</v>
      </c>
      <c r="AL24">
        <v>2</v>
      </c>
      <c r="AM24">
        <v>3</v>
      </c>
      <c r="AN24">
        <v>1</v>
      </c>
      <c r="AO24">
        <v>2</v>
      </c>
      <c r="AP24">
        <v>12</v>
      </c>
      <c r="AQ24">
        <v>9</v>
      </c>
      <c r="AR24">
        <v>12</v>
      </c>
      <c r="AS24">
        <v>6</v>
      </c>
      <c r="AT24">
        <v>4</v>
      </c>
      <c r="AU24">
        <v>7</v>
      </c>
      <c r="AV24">
        <v>13</v>
      </c>
      <c r="AW24">
        <v>15</v>
      </c>
      <c r="AX24">
        <v>7</v>
      </c>
      <c r="AY24">
        <v>10</v>
      </c>
      <c r="AZ24">
        <v>6</v>
      </c>
      <c r="BA24">
        <v>13</v>
      </c>
      <c r="BB24">
        <v>5</v>
      </c>
      <c r="BC24">
        <v>9</v>
      </c>
      <c r="BD24">
        <v>6</v>
      </c>
      <c r="BE24">
        <v>11</v>
      </c>
      <c r="BF24">
        <v>8</v>
      </c>
      <c r="BG24">
        <v>14</v>
      </c>
      <c r="BH24">
        <v>10</v>
      </c>
      <c r="BI24">
        <v>4</v>
      </c>
      <c r="BJ24">
        <v>4</v>
      </c>
      <c r="BK24">
        <v>5</v>
      </c>
      <c r="BL24">
        <v>1</v>
      </c>
      <c r="BM24">
        <v>4</v>
      </c>
      <c r="BN24">
        <v>10</v>
      </c>
      <c r="BO24">
        <v>6</v>
      </c>
      <c r="BP24">
        <v>5</v>
      </c>
      <c r="BQ24">
        <v>14</v>
      </c>
    </row>
    <row r="25" spans="2:69" x14ac:dyDescent="0.3">
      <c r="B25" t="s">
        <v>146</v>
      </c>
      <c r="C25">
        <v>16</v>
      </c>
      <c r="D25">
        <v>57</v>
      </c>
      <c r="E25">
        <v>144</v>
      </c>
      <c r="F25" t="s">
        <v>147</v>
      </c>
      <c r="G25" t="s">
        <v>71</v>
      </c>
      <c r="H25" t="s">
        <v>148</v>
      </c>
      <c r="I25" t="s">
        <v>149</v>
      </c>
      <c r="J25">
        <v>49.16</v>
      </c>
      <c r="K25">
        <v>73.94</v>
      </c>
      <c r="L25">
        <v>1</v>
      </c>
      <c r="M25">
        <v>1</v>
      </c>
      <c r="N25">
        <v>1</v>
      </c>
      <c r="O25">
        <v>1</v>
      </c>
      <c r="P25">
        <v>1</v>
      </c>
      <c r="Q25">
        <v>16</v>
      </c>
      <c r="R25">
        <v>20</v>
      </c>
      <c r="S25">
        <v>1</v>
      </c>
      <c r="T25">
        <v>1</v>
      </c>
      <c r="U25">
        <v>7</v>
      </c>
      <c r="V25">
        <v>5</v>
      </c>
      <c r="W25" t="s">
        <v>133</v>
      </c>
      <c r="X25">
        <v>17</v>
      </c>
      <c r="Y25">
        <v>12</v>
      </c>
      <c r="Z25">
        <v>13</v>
      </c>
      <c r="AA25">
        <v>7</v>
      </c>
      <c r="AB25">
        <v>20</v>
      </c>
      <c r="AC25">
        <v>5</v>
      </c>
      <c r="AD25">
        <v>11</v>
      </c>
      <c r="AE25">
        <v>2</v>
      </c>
      <c r="AF25">
        <v>4</v>
      </c>
      <c r="AG25">
        <v>1</v>
      </c>
      <c r="AH25">
        <v>2</v>
      </c>
      <c r="AI25">
        <v>3</v>
      </c>
      <c r="AJ25">
        <v>2</v>
      </c>
      <c r="AK25">
        <v>3</v>
      </c>
      <c r="AL25">
        <v>2</v>
      </c>
      <c r="AM25">
        <v>2</v>
      </c>
      <c r="AN25">
        <v>1</v>
      </c>
      <c r="AO25">
        <v>1</v>
      </c>
      <c r="AP25">
        <v>19</v>
      </c>
      <c r="AQ25">
        <v>9</v>
      </c>
      <c r="AR25">
        <v>7</v>
      </c>
      <c r="AS25">
        <v>2</v>
      </c>
      <c r="AT25">
        <v>8</v>
      </c>
      <c r="AU25">
        <v>7</v>
      </c>
      <c r="AV25">
        <v>14</v>
      </c>
      <c r="AW25">
        <v>4</v>
      </c>
      <c r="AX25">
        <v>14</v>
      </c>
      <c r="AY25">
        <v>4</v>
      </c>
      <c r="AZ25">
        <v>6</v>
      </c>
      <c r="BA25">
        <v>5</v>
      </c>
      <c r="BB25">
        <v>5</v>
      </c>
      <c r="BC25">
        <v>6</v>
      </c>
      <c r="BD25">
        <v>3</v>
      </c>
      <c r="BE25">
        <v>5</v>
      </c>
      <c r="BF25">
        <v>3</v>
      </c>
      <c r="BG25">
        <v>1</v>
      </c>
      <c r="BH25">
        <v>7</v>
      </c>
      <c r="BI25">
        <v>6</v>
      </c>
      <c r="BJ25">
        <v>13</v>
      </c>
      <c r="BK25">
        <v>1</v>
      </c>
      <c r="BL25">
        <v>1</v>
      </c>
      <c r="BM25">
        <v>13</v>
      </c>
      <c r="BN25">
        <v>4</v>
      </c>
      <c r="BO25">
        <v>3</v>
      </c>
      <c r="BP25">
        <v>11</v>
      </c>
      <c r="BQ25">
        <v>12</v>
      </c>
    </row>
    <row r="26" spans="2:69" x14ac:dyDescent="0.3">
      <c r="B26" t="s">
        <v>150</v>
      </c>
      <c r="C26">
        <v>17</v>
      </c>
      <c r="D26">
        <v>45</v>
      </c>
      <c r="E26">
        <v>93</v>
      </c>
      <c r="F26" t="s">
        <v>151</v>
      </c>
      <c r="H26" t="s">
        <v>152</v>
      </c>
      <c r="I26" t="s">
        <v>73</v>
      </c>
      <c r="J26">
        <v>42.1</v>
      </c>
      <c r="K26">
        <v>63.82</v>
      </c>
      <c r="L26">
        <v>20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11</v>
      </c>
      <c r="V26">
        <v>8</v>
      </c>
      <c r="W26" t="s">
        <v>133</v>
      </c>
      <c r="X26">
        <v>7</v>
      </c>
      <c r="Y26">
        <v>20</v>
      </c>
      <c r="Z26">
        <v>14</v>
      </c>
      <c r="AA26">
        <v>8</v>
      </c>
      <c r="AB26">
        <v>12</v>
      </c>
      <c r="AC26">
        <v>9</v>
      </c>
      <c r="AD26">
        <v>6</v>
      </c>
      <c r="AE26">
        <v>2</v>
      </c>
      <c r="AF26">
        <v>3</v>
      </c>
      <c r="AG26">
        <v>3</v>
      </c>
      <c r="AH26">
        <v>2</v>
      </c>
      <c r="AI26">
        <v>2</v>
      </c>
      <c r="AJ26">
        <v>3</v>
      </c>
      <c r="AK26">
        <v>1</v>
      </c>
      <c r="AL26">
        <v>1</v>
      </c>
      <c r="AM26">
        <v>3</v>
      </c>
      <c r="AN26">
        <v>1</v>
      </c>
      <c r="AO26">
        <v>2</v>
      </c>
      <c r="AP26">
        <v>9</v>
      </c>
      <c r="AQ26">
        <v>7</v>
      </c>
      <c r="AR26">
        <v>16</v>
      </c>
      <c r="AS26">
        <v>7</v>
      </c>
      <c r="AT26">
        <v>4</v>
      </c>
      <c r="AU26">
        <v>9</v>
      </c>
      <c r="AV26">
        <v>5</v>
      </c>
      <c r="AW26">
        <v>7</v>
      </c>
      <c r="AX26">
        <v>5</v>
      </c>
      <c r="AY26">
        <v>8</v>
      </c>
      <c r="AZ26">
        <v>2</v>
      </c>
      <c r="BA26">
        <v>3</v>
      </c>
      <c r="BB26">
        <v>5</v>
      </c>
      <c r="BC26">
        <v>7</v>
      </c>
      <c r="BD26">
        <v>3</v>
      </c>
      <c r="BE26">
        <v>7</v>
      </c>
      <c r="BF26">
        <v>11</v>
      </c>
      <c r="BG26">
        <v>10</v>
      </c>
      <c r="BH26">
        <v>10</v>
      </c>
      <c r="BI26">
        <v>1</v>
      </c>
      <c r="BJ26">
        <v>6</v>
      </c>
      <c r="BK26">
        <v>4</v>
      </c>
      <c r="BL26">
        <v>3</v>
      </c>
      <c r="BM26">
        <v>3</v>
      </c>
      <c r="BN26">
        <v>7</v>
      </c>
      <c r="BO26">
        <v>4</v>
      </c>
      <c r="BP26">
        <v>2</v>
      </c>
      <c r="BQ26">
        <v>9</v>
      </c>
    </row>
    <row r="27" spans="2:69" x14ac:dyDescent="0.3">
      <c r="B27" t="s">
        <v>153</v>
      </c>
      <c r="C27">
        <v>16</v>
      </c>
      <c r="D27">
        <v>57</v>
      </c>
      <c r="E27">
        <v>78</v>
      </c>
      <c r="F27" t="s">
        <v>154</v>
      </c>
      <c r="G27" t="s">
        <v>71</v>
      </c>
      <c r="H27" t="s">
        <v>155</v>
      </c>
      <c r="I27" t="s">
        <v>149</v>
      </c>
      <c r="J27">
        <v>49.26</v>
      </c>
      <c r="K27">
        <v>62.05</v>
      </c>
      <c r="L27">
        <v>1</v>
      </c>
      <c r="M27">
        <v>1</v>
      </c>
      <c r="N27">
        <v>1</v>
      </c>
      <c r="O27">
        <v>1</v>
      </c>
      <c r="P27">
        <v>1</v>
      </c>
      <c r="Q27">
        <v>15</v>
      </c>
      <c r="R27">
        <v>20</v>
      </c>
      <c r="S27">
        <v>1</v>
      </c>
      <c r="T27">
        <v>1</v>
      </c>
      <c r="U27">
        <v>8</v>
      </c>
      <c r="V27">
        <v>7</v>
      </c>
      <c r="W27" t="s">
        <v>74</v>
      </c>
      <c r="X27">
        <v>13</v>
      </c>
      <c r="Y27">
        <v>20</v>
      </c>
      <c r="Z27">
        <v>12</v>
      </c>
      <c r="AA27">
        <v>11</v>
      </c>
      <c r="AB27">
        <v>7</v>
      </c>
      <c r="AC27">
        <v>6</v>
      </c>
      <c r="AD27">
        <v>6</v>
      </c>
      <c r="AE27">
        <v>1</v>
      </c>
      <c r="AF27">
        <v>3</v>
      </c>
      <c r="AG27">
        <v>1</v>
      </c>
      <c r="AH27">
        <v>1</v>
      </c>
      <c r="AI27">
        <v>3</v>
      </c>
      <c r="AJ27">
        <v>1</v>
      </c>
      <c r="AK27">
        <v>1</v>
      </c>
      <c r="AL27">
        <v>3</v>
      </c>
      <c r="AM27">
        <v>3</v>
      </c>
      <c r="AN27">
        <v>1</v>
      </c>
      <c r="AO27">
        <v>3</v>
      </c>
      <c r="AP27">
        <v>12</v>
      </c>
      <c r="AQ27">
        <v>6</v>
      </c>
      <c r="AR27">
        <v>17</v>
      </c>
      <c r="AS27">
        <v>7</v>
      </c>
      <c r="AT27">
        <v>9</v>
      </c>
      <c r="AU27">
        <v>9</v>
      </c>
      <c r="AV27">
        <v>14</v>
      </c>
      <c r="AW27">
        <v>2</v>
      </c>
      <c r="AX27">
        <v>12</v>
      </c>
      <c r="AY27">
        <v>3</v>
      </c>
      <c r="AZ27">
        <v>11</v>
      </c>
      <c r="BA27">
        <v>4</v>
      </c>
      <c r="BB27">
        <v>3</v>
      </c>
      <c r="BC27">
        <v>7</v>
      </c>
      <c r="BD27">
        <v>3</v>
      </c>
      <c r="BE27">
        <v>6</v>
      </c>
      <c r="BF27">
        <v>4</v>
      </c>
      <c r="BG27">
        <v>2</v>
      </c>
      <c r="BH27">
        <v>7</v>
      </c>
      <c r="BI27">
        <v>3</v>
      </c>
      <c r="BJ27">
        <v>11</v>
      </c>
      <c r="BK27">
        <v>4</v>
      </c>
      <c r="BL27">
        <v>4</v>
      </c>
      <c r="BM27">
        <v>12</v>
      </c>
      <c r="BN27">
        <v>5</v>
      </c>
      <c r="BO27">
        <v>2</v>
      </c>
      <c r="BP27">
        <v>10</v>
      </c>
      <c r="BQ27">
        <v>7</v>
      </c>
    </row>
    <row r="28" spans="2:69" x14ac:dyDescent="0.3">
      <c r="B28" t="s">
        <v>156</v>
      </c>
      <c r="C28">
        <v>17</v>
      </c>
      <c r="D28">
        <v>35</v>
      </c>
      <c r="E28">
        <v>91</v>
      </c>
      <c r="F28" t="s">
        <v>76</v>
      </c>
      <c r="G28" t="s">
        <v>71</v>
      </c>
      <c r="H28" t="s">
        <v>157</v>
      </c>
      <c r="I28" t="s">
        <v>73</v>
      </c>
      <c r="J28">
        <v>39.24</v>
      </c>
      <c r="K28">
        <v>61.58</v>
      </c>
      <c r="L28">
        <v>20</v>
      </c>
      <c r="M28">
        <v>1</v>
      </c>
      <c r="N28">
        <v>1</v>
      </c>
      <c r="O28">
        <v>1</v>
      </c>
      <c r="P28">
        <v>1</v>
      </c>
      <c r="Q28">
        <v>1</v>
      </c>
      <c r="R28">
        <v>1</v>
      </c>
      <c r="S28">
        <v>1</v>
      </c>
      <c r="T28">
        <v>1</v>
      </c>
      <c r="U28">
        <v>11</v>
      </c>
      <c r="V28">
        <v>7</v>
      </c>
      <c r="W28" t="s">
        <v>139</v>
      </c>
      <c r="X28">
        <v>12</v>
      </c>
      <c r="Y28">
        <v>9</v>
      </c>
      <c r="Z28">
        <v>12</v>
      </c>
      <c r="AA28">
        <v>7</v>
      </c>
      <c r="AB28">
        <v>20</v>
      </c>
      <c r="AC28">
        <v>6</v>
      </c>
      <c r="AD28">
        <v>9</v>
      </c>
      <c r="AE28">
        <v>3</v>
      </c>
      <c r="AF28">
        <v>3</v>
      </c>
      <c r="AG28">
        <v>1</v>
      </c>
      <c r="AH28">
        <v>2</v>
      </c>
      <c r="AI28">
        <v>4</v>
      </c>
      <c r="AJ28">
        <v>3</v>
      </c>
      <c r="AK28">
        <v>1</v>
      </c>
      <c r="AL28">
        <v>1</v>
      </c>
      <c r="AM28">
        <v>3</v>
      </c>
      <c r="AN28">
        <v>3</v>
      </c>
      <c r="AO28">
        <v>1</v>
      </c>
      <c r="AP28">
        <v>10</v>
      </c>
      <c r="AQ28">
        <v>5</v>
      </c>
      <c r="AR28">
        <v>16</v>
      </c>
      <c r="AS28">
        <v>5</v>
      </c>
      <c r="AT28">
        <v>3</v>
      </c>
      <c r="AU28">
        <v>6</v>
      </c>
      <c r="AV28">
        <v>12</v>
      </c>
      <c r="AW28">
        <v>16</v>
      </c>
      <c r="AX28">
        <v>9</v>
      </c>
      <c r="AY28">
        <v>3</v>
      </c>
      <c r="AZ28">
        <v>4</v>
      </c>
      <c r="BA28">
        <v>10</v>
      </c>
      <c r="BB28">
        <v>3</v>
      </c>
      <c r="BC28">
        <v>5</v>
      </c>
      <c r="BD28">
        <v>5</v>
      </c>
      <c r="BE28">
        <v>2</v>
      </c>
      <c r="BF28">
        <v>9</v>
      </c>
      <c r="BG28">
        <v>7</v>
      </c>
      <c r="BH28">
        <v>10</v>
      </c>
      <c r="BI28">
        <v>8</v>
      </c>
      <c r="BJ28">
        <v>13</v>
      </c>
      <c r="BK28">
        <v>3</v>
      </c>
      <c r="BL28">
        <v>1</v>
      </c>
      <c r="BM28">
        <v>1</v>
      </c>
      <c r="BN28">
        <v>9</v>
      </c>
      <c r="BO28">
        <v>1</v>
      </c>
      <c r="BP28">
        <v>1</v>
      </c>
      <c r="BQ28">
        <v>15</v>
      </c>
    </row>
    <row r="29" spans="2:69" x14ac:dyDescent="0.3">
      <c r="B29" t="s">
        <v>158</v>
      </c>
      <c r="C29">
        <v>20</v>
      </c>
      <c r="D29">
        <v>60</v>
      </c>
      <c r="E29">
        <v>80</v>
      </c>
      <c r="F29" t="s">
        <v>76</v>
      </c>
      <c r="G29" t="s">
        <v>71</v>
      </c>
      <c r="H29" t="s">
        <v>116</v>
      </c>
      <c r="I29" t="s">
        <v>159</v>
      </c>
      <c r="J29">
        <v>47.13</v>
      </c>
      <c r="K29">
        <v>58.91</v>
      </c>
      <c r="L29">
        <v>1</v>
      </c>
      <c r="M29">
        <v>1</v>
      </c>
      <c r="N29">
        <v>1</v>
      </c>
      <c r="O29">
        <v>1</v>
      </c>
      <c r="P29">
        <v>1</v>
      </c>
      <c r="Q29">
        <v>1</v>
      </c>
      <c r="R29">
        <v>16</v>
      </c>
      <c r="S29">
        <v>20</v>
      </c>
      <c r="T29">
        <v>1</v>
      </c>
      <c r="U29">
        <v>8</v>
      </c>
      <c r="V29">
        <v>9</v>
      </c>
      <c r="W29" t="s">
        <v>95</v>
      </c>
      <c r="X29">
        <v>13</v>
      </c>
      <c r="Y29">
        <v>10</v>
      </c>
      <c r="Z29">
        <v>11</v>
      </c>
      <c r="AA29">
        <v>11</v>
      </c>
      <c r="AB29">
        <v>20</v>
      </c>
      <c r="AC29">
        <v>6</v>
      </c>
      <c r="AD29">
        <v>7</v>
      </c>
      <c r="AE29">
        <v>1</v>
      </c>
      <c r="AF29">
        <v>1</v>
      </c>
      <c r="AG29">
        <v>3</v>
      </c>
      <c r="AH29">
        <v>3</v>
      </c>
      <c r="AI29">
        <v>3</v>
      </c>
      <c r="AJ29">
        <v>2</v>
      </c>
      <c r="AK29">
        <v>2</v>
      </c>
      <c r="AL29">
        <v>3</v>
      </c>
      <c r="AM29">
        <v>1</v>
      </c>
      <c r="AN29">
        <v>3</v>
      </c>
      <c r="AO29">
        <v>4</v>
      </c>
      <c r="AP29">
        <v>15</v>
      </c>
      <c r="AQ29">
        <v>7</v>
      </c>
      <c r="AR29">
        <v>11</v>
      </c>
      <c r="AS29">
        <v>12</v>
      </c>
      <c r="AT29">
        <v>7</v>
      </c>
      <c r="AU29">
        <v>12</v>
      </c>
      <c r="AV29">
        <v>5</v>
      </c>
      <c r="AW29">
        <v>6</v>
      </c>
      <c r="AX29">
        <v>4</v>
      </c>
      <c r="AY29">
        <v>5</v>
      </c>
      <c r="AZ29">
        <v>11</v>
      </c>
      <c r="BA29">
        <v>7</v>
      </c>
      <c r="BB29">
        <v>3</v>
      </c>
      <c r="BC29">
        <v>8</v>
      </c>
      <c r="BD29">
        <v>6</v>
      </c>
      <c r="BE29">
        <v>6</v>
      </c>
      <c r="BF29">
        <v>6</v>
      </c>
      <c r="BG29">
        <v>3</v>
      </c>
      <c r="BH29">
        <v>8</v>
      </c>
      <c r="BI29">
        <v>6</v>
      </c>
      <c r="BJ29">
        <v>9</v>
      </c>
      <c r="BK29">
        <v>4</v>
      </c>
      <c r="BL29">
        <v>10</v>
      </c>
      <c r="BM29">
        <v>9</v>
      </c>
      <c r="BN29">
        <v>6</v>
      </c>
      <c r="BO29">
        <v>1</v>
      </c>
      <c r="BP29">
        <v>11</v>
      </c>
      <c r="BQ29">
        <v>7</v>
      </c>
    </row>
    <row r="30" spans="2:69" x14ac:dyDescent="0.3">
      <c r="B30" t="s">
        <v>160</v>
      </c>
      <c r="C30">
        <v>20</v>
      </c>
      <c r="D30">
        <v>40</v>
      </c>
      <c r="E30">
        <v>78</v>
      </c>
      <c r="F30" t="s">
        <v>115</v>
      </c>
      <c r="G30" t="s">
        <v>71</v>
      </c>
      <c r="H30" t="s">
        <v>116</v>
      </c>
      <c r="I30" t="s">
        <v>161</v>
      </c>
      <c r="J30">
        <v>38.840000000000003</v>
      </c>
      <c r="K30">
        <v>57.46</v>
      </c>
      <c r="L30">
        <v>1</v>
      </c>
      <c r="M30">
        <v>7</v>
      </c>
      <c r="N30">
        <v>1</v>
      </c>
      <c r="O30">
        <v>1</v>
      </c>
      <c r="P30">
        <v>1</v>
      </c>
      <c r="Q30">
        <v>20</v>
      </c>
      <c r="R30">
        <v>1</v>
      </c>
      <c r="S30">
        <v>1</v>
      </c>
      <c r="T30">
        <v>1</v>
      </c>
      <c r="U30">
        <v>13</v>
      </c>
      <c r="V30">
        <v>13</v>
      </c>
      <c r="W30" t="s">
        <v>162</v>
      </c>
      <c r="X30">
        <v>5</v>
      </c>
      <c r="Y30">
        <v>20</v>
      </c>
      <c r="Z30">
        <v>15</v>
      </c>
      <c r="AA30">
        <v>14</v>
      </c>
      <c r="AB30">
        <v>8</v>
      </c>
      <c r="AC30">
        <v>8</v>
      </c>
      <c r="AD30">
        <v>2</v>
      </c>
      <c r="AE30">
        <v>1</v>
      </c>
      <c r="AF30">
        <v>3</v>
      </c>
      <c r="AG30">
        <v>1</v>
      </c>
      <c r="AH30">
        <v>2</v>
      </c>
      <c r="AI30">
        <v>2</v>
      </c>
      <c r="AJ30">
        <v>3</v>
      </c>
      <c r="AK30">
        <v>4</v>
      </c>
      <c r="AL30">
        <v>3</v>
      </c>
      <c r="AM30">
        <v>2</v>
      </c>
      <c r="AN30">
        <v>2</v>
      </c>
      <c r="AO30">
        <v>3</v>
      </c>
      <c r="AP30">
        <v>10</v>
      </c>
      <c r="AQ30">
        <v>7</v>
      </c>
      <c r="AR30">
        <v>6</v>
      </c>
      <c r="AS30">
        <v>6</v>
      </c>
      <c r="AT30">
        <v>6</v>
      </c>
      <c r="AU30">
        <v>10</v>
      </c>
      <c r="AV30">
        <v>3</v>
      </c>
      <c r="AW30">
        <v>7</v>
      </c>
      <c r="AX30">
        <v>5</v>
      </c>
      <c r="AY30">
        <v>3</v>
      </c>
      <c r="AZ30">
        <v>6</v>
      </c>
      <c r="BA30">
        <v>7</v>
      </c>
      <c r="BB30">
        <v>2</v>
      </c>
      <c r="BC30">
        <v>6</v>
      </c>
      <c r="BD30">
        <v>3</v>
      </c>
      <c r="BE30">
        <v>8</v>
      </c>
      <c r="BF30">
        <v>6</v>
      </c>
      <c r="BG30">
        <v>2</v>
      </c>
      <c r="BH30">
        <v>5</v>
      </c>
      <c r="BI30">
        <v>1</v>
      </c>
      <c r="BJ30">
        <v>4</v>
      </c>
      <c r="BK30">
        <v>4</v>
      </c>
      <c r="BL30">
        <v>5</v>
      </c>
      <c r="BM30">
        <v>5</v>
      </c>
      <c r="BN30">
        <v>8</v>
      </c>
      <c r="BO30">
        <v>1</v>
      </c>
      <c r="BP30">
        <v>9</v>
      </c>
      <c r="BQ30">
        <v>10</v>
      </c>
    </row>
    <row r="31" spans="2:69" x14ac:dyDescent="0.3">
      <c r="B31" t="s">
        <v>163</v>
      </c>
      <c r="C31">
        <v>20</v>
      </c>
      <c r="D31">
        <v>46</v>
      </c>
      <c r="E31">
        <v>71</v>
      </c>
      <c r="F31" t="s">
        <v>76</v>
      </c>
      <c r="G31" t="s">
        <v>71</v>
      </c>
      <c r="H31" t="s">
        <v>116</v>
      </c>
      <c r="I31" t="s">
        <v>164</v>
      </c>
      <c r="J31">
        <v>42.24</v>
      </c>
      <c r="K31">
        <v>57.11</v>
      </c>
      <c r="L31">
        <v>18</v>
      </c>
      <c r="M31">
        <v>20</v>
      </c>
      <c r="N31">
        <v>12</v>
      </c>
      <c r="O31">
        <v>1</v>
      </c>
      <c r="P31">
        <v>1</v>
      </c>
      <c r="Q31">
        <v>1</v>
      </c>
      <c r="R31">
        <v>1</v>
      </c>
      <c r="S31">
        <v>1</v>
      </c>
      <c r="T31">
        <v>1</v>
      </c>
      <c r="U31">
        <v>13</v>
      </c>
      <c r="V31">
        <v>10</v>
      </c>
      <c r="W31" t="s">
        <v>113</v>
      </c>
      <c r="X31">
        <v>5</v>
      </c>
      <c r="Y31">
        <v>20</v>
      </c>
      <c r="Z31">
        <v>15</v>
      </c>
      <c r="AA31">
        <v>12</v>
      </c>
      <c r="AB31">
        <v>8</v>
      </c>
      <c r="AC31">
        <v>8</v>
      </c>
      <c r="AD31">
        <v>3</v>
      </c>
      <c r="AE31">
        <v>3</v>
      </c>
      <c r="AF31">
        <v>1</v>
      </c>
      <c r="AG31">
        <v>4</v>
      </c>
      <c r="AH31">
        <v>2</v>
      </c>
      <c r="AI31">
        <v>4</v>
      </c>
      <c r="AJ31">
        <v>1</v>
      </c>
      <c r="AK31">
        <v>3</v>
      </c>
      <c r="AL31">
        <v>3</v>
      </c>
      <c r="AM31">
        <v>3</v>
      </c>
      <c r="AN31">
        <v>1</v>
      </c>
      <c r="AO31">
        <v>3</v>
      </c>
      <c r="AP31">
        <v>12</v>
      </c>
      <c r="AQ31">
        <v>6</v>
      </c>
      <c r="AR31">
        <v>5</v>
      </c>
      <c r="AS31">
        <v>6</v>
      </c>
      <c r="AT31">
        <v>5</v>
      </c>
      <c r="AU31">
        <v>9</v>
      </c>
      <c r="AV31">
        <v>4</v>
      </c>
      <c r="AW31">
        <v>8</v>
      </c>
      <c r="AX31">
        <v>10</v>
      </c>
      <c r="AY31">
        <v>9</v>
      </c>
      <c r="AZ31">
        <v>4</v>
      </c>
      <c r="BA31">
        <v>4</v>
      </c>
      <c r="BB31">
        <v>5</v>
      </c>
      <c r="BC31">
        <v>6</v>
      </c>
      <c r="BD31">
        <v>3</v>
      </c>
      <c r="BE31">
        <v>6</v>
      </c>
      <c r="BF31">
        <v>10</v>
      </c>
      <c r="BG31">
        <v>9</v>
      </c>
      <c r="BH31">
        <v>4</v>
      </c>
      <c r="BI31">
        <v>3</v>
      </c>
      <c r="BJ31">
        <v>6</v>
      </c>
      <c r="BK31">
        <v>6</v>
      </c>
      <c r="BL31">
        <v>3</v>
      </c>
      <c r="BM31">
        <v>2</v>
      </c>
      <c r="BN31">
        <v>7</v>
      </c>
      <c r="BO31">
        <v>4</v>
      </c>
      <c r="BP31">
        <v>1</v>
      </c>
      <c r="BQ31">
        <v>9</v>
      </c>
    </row>
    <row r="32" spans="2:69" x14ac:dyDescent="0.3">
      <c r="B32" t="s">
        <v>165</v>
      </c>
      <c r="C32">
        <v>19</v>
      </c>
      <c r="D32">
        <v>52</v>
      </c>
      <c r="E32">
        <v>81</v>
      </c>
      <c r="F32" t="s">
        <v>76</v>
      </c>
      <c r="G32" t="s">
        <v>71</v>
      </c>
      <c r="H32" t="s">
        <v>116</v>
      </c>
      <c r="I32" t="s">
        <v>166</v>
      </c>
      <c r="J32">
        <v>41.79</v>
      </c>
      <c r="K32">
        <v>56.76</v>
      </c>
      <c r="L32">
        <v>1</v>
      </c>
      <c r="M32">
        <v>2</v>
      </c>
      <c r="N32">
        <v>17</v>
      </c>
      <c r="O32">
        <v>3</v>
      </c>
      <c r="P32">
        <v>7</v>
      </c>
      <c r="Q32">
        <v>1</v>
      </c>
      <c r="R32">
        <v>1</v>
      </c>
      <c r="S32">
        <v>1</v>
      </c>
      <c r="T32">
        <v>1</v>
      </c>
      <c r="U32">
        <v>7</v>
      </c>
      <c r="V32">
        <v>11</v>
      </c>
      <c r="W32" t="s">
        <v>119</v>
      </c>
      <c r="X32">
        <v>11</v>
      </c>
      <c r="Y32">
        <v>11</v>
      </c>
      <c r="Z32">
        <v>7</v>
      </c>
      <c r="AA32">
        <v>12</v>
      </c>
      <c r="AB32">
        <v>20</v>
      </c>
      <c r="AC32">
        <v>7</v>
      </c>
      <c r="AD32">
        <v>3</v>
      </c>
      <c r="AE32">
        <v>2</v>
      </c>
      <c r="AF32">
        <v>1</v>
      </c>
      <c r="AG32">
        <v>2</v>
      </c>
      <c r="AH32">
        <v>1</v>
      </c>
      <c r="AI32">
        <v>1</v>
      </c>
      <c r="AJ32">
        <v>1</v>
      </c>
      <c r="AK32">
        <v>2</v>
      </c>
      <c r="AL32">
        <v>1</v>
      </c>
      <c r="AM32">
        <v>1</v>
      </c>
      <c r="AN32">
        <v>3</v>
      </c>
      <c r="AO32">
        <v>2</v>
      </c>
      <c r="AP32">
        <v>10</v>
      </c>
      <c r="AQ32">
        <v>7</v>
      </c>
      <c r="AR32">
        <v>6</v>
      </c>
      <c r="AS32">
        <v>7</v>
      </c>
      <c r="AT32">
        <v>5</v>
      </c>
      <c r="AU32">
        <v>12</v>
      </c>
      <c r="AV32">
        <v>5</v>
      </c>
      <c r="AW32">
        <v>12</v>
      </c>
      <c r="AX32">
        <v>2</v>
      </c>
      <c r="AY32">
        <v>8</v>
      </c>
      <c r="AZ32">
        <v>4</v>
      </c>
      <c r="BA32">
        <v>5</v>
      </c>
      <c r="BB32">
        <v>11</v>
      </c>
      <c r="BC32">
        <v>10</v>
      </c>
      <c r="BD32">
        <v>4</v>
      </c>
      <c r="BE32">
        <v>3</v>
      </c>
      <c r="BF32">
        <v>7</v>
      </c>
      <c r="BG32">
        <v>8</v>
      </c>
      <c r="BH32">
        <v>13</v>
      </c>
      <c r="BI32">
        <v>3</v>
      </c>
      <c r="BJ32">
        <v>4</v>
      </c>
      <c r="BK32">
        <v>5</v>
      </c>
      <c r="BL32">
        <v>3</v>
      </c>
      <c r="BM32">
        <v>7</v>
      </c>
      <c r="BN32">
        <v>6</v>
      </c>
      <c r="BO32">
        <v>2</v>
      </c>
      <c r="BP32">
        <v>6</v>
      </c>
      <c r="BQ32">
        <v>12</v>
      </c>
    </row>
    <row r="33" spans="2:69" x14ac:dyDescent="0.3">
      <c r="B33" t="s">
        <v>167</v>
      </c>
      <c r="C33">
        <v>20</v>
      </c>
      <c r="D33">
        <v>53</v>
      </c>
      <c r="E33">
        <v>73</v>
      </c>
      <c r="F33" t="s">
        <v>76</v>
      </c>
      <c r="G33" t="s">
        <v>71</v>
      </c>
      <c r="H33" t="s">
        <v>116</v>
      </c>
      <c r="I33" t="s">
        <v>168</v>
      </c>
      <c r="J33">
        <v>44.1</v>
      </c>
      <c r="K33">
        <v>56.19</v>
      </c>
      <c r="L33">
        <v>20</v>
      </c>
      <c r="M33">
        <v>1</v>
      </c>
      <c r="N33">
        <v>13</v>
      </c>
      <c r="O33">
        <v>18</v>
      </c>
      <c r="P33">
        <v>1</v>
      </c>
      <c r="Q33">
        <v>1</v>
      </c>
      <c r="R33">
        <v>1</v>
      </c>
      <c r="S33">
        <v>1</v>
      </c>
      <c r="T33">
        <v>1</v>
      </c>
      <c r="U33">
        <v>11</v>
      </c>
      <c r="V33">
        <v>9</v>
      </c>
      <c r="W33" t="s">
        <v>169</v>
      </c>
      <c r="X33">
        <v>6</v>
      </c>
      <c r="Y33">
        <v>12</v>
      </c>
      <c r="Z33">
        <v>12</v>
      </c>
      <c r="AA33">
        <v>11</v>
      </c>
      <c r="AB33">
        <v>20</v>
      </c>
      <c r="AC33">
        <v>11</v>
      </c>
      <c r="AD33">
        <v>8</v>
      </c>
      <c r="AE33">
        <v>1</v>
      </c>
      <c r="AF33">
        <v>3</v>
      </c>
      <c r="AG33">
        <v>1</v>
      </c>
      <c r="AH33">
        <v>1</v>
      </c>
      <c r="AI33">
        <v>2</v>
      </c>
      <c r="AJ33">
        <v>3</v>
      </c>
      <c r="AK33">
        <v>1</v>
      </c>
      <c r="AL33">
        <v>2</v>
      </c>
      <c r="AM33">
        <v>2</v>
      </c>
      <c r="AN33">
        <v>1</v>
      </c>
      <c r="AO33">
        <v>3</v>
      </c>
      <c r="AP33">
        <v>6</v>
      </c>
      <c r="AQ33">
        <v>8</v>
      </c>
      <c r="AR33">
        <v>6</v>
      </c>
      <c r="AS33">
        <v>7</v>
      </c>
      <c r="AT33">
        <v>7</v>
      </c>
      <c r="AU33">
        <v>6</v>
      </c>
      <c r="AV33">
        <v>16</v>
      </c>
      <c r="AW33">
        <v>7</v>
      </c>
      <c r="AX33">
        <v>5</v>
      </c>
      <c r="AY33">
        <v>11</v>
      </c>
      <c r="AZ33">
        <v>8</v>
      </c>
      <c r="BA33">
        <v>7</v>
      </c>
      <c r="BB33">
        <v>6</v>
      </c>
      <c r="BC33">
        <v>9</v>
      </c>
      <c r="BD33">
        <v>5</v>
      </c>
      <c r="BE33">
        <v>7</v>
      </c>
      <c r="BF33">
        <v>11</v>
      </c>
      <c r="BG33">
        <v>8</v>
      </c>
      <c r="BH33">
        <v>7</v>
      </c>
      <c r="BI33">
        <v>6</v>
      </c>
      <c r="BJ33">
        <v>6</v>
      </c>
      <c r="BK33">
        <v>4</v>
      </c>
      <c r="BL33">
        <v>6</v>
      </c>
      <c r="BM33">
        <v>7</v>
      </c>
      <c r="BN33">
        <v>8</v>
      </c>
      <c r="BO33">
        <v>5</v>
      </c>
      <c r="BP33">
        <v>4</v>
      </c>
      <c r="BQ33">
        <v>7</v>
      </c>
    </row>
    <row r="34" spans="2:69" x14ac:dyDescent="0.3">
      <c r="B34" t="s">
        <v>170</v>
      </c>
      <c r="C34">
        <v>20</v>
      </c>
      <c r="D34">
        <v>55</v>
      </c>
      <c r="E34">
        <v>63</v>
      </c>
      <c r="F34" t="s">
        <v>76</v>
      </c>
      <c r="G34" t="s">
        <v>71</v>
      </c>
      <c r="H34" t="s">
        <v>171</v>
      </c>
      <c r="I34" t="s">
        <v>172</v>
      </c>
      <c r="J34">
        <v>46.2</v>
      </c>
      <c r="K34">
        <v>52.07</v>
      </c>
      <c r="L34">
        <v>1</v>
      </c>
      <c r="M34">
        <v>1</v>
      </c>
      <c r="N34">
        <v>15</v>
      </c>
      <c r="O34">
        <v>1</v>
      </c>
      <c r="P34">
        <v>3</v>
      </c>
      <c r="Q34">
        <v>1</v>
      </c>
      <c r="R34">
        <v>1</v>
      </c>
      <c r="S34">
        <v>3</v>
      </c>
      <c r="T34">
        <v>1</v>
      </c>
      <c r="U34">
        <v>9</v>
      </c>
      <c r="V34">
        <v>8</v>
      </c>
      <c r="W34" t="s">
        <v>99</v>
      </c>
      <c r="X34">
        <v>6</v>
      </c>
      <c r="Y34">
        <v>12</v>
      </c>
      <c r="Z34">
        <v>12</v>
      </c>
      <c r="AA34">
        <v>10</v>
      </c>
      <c r="AB34">
        <v>20</v>
      </c>
      <c r="AC34">
        <v>9</v>
      </c>
      <c r="AD34">
        <v>6</v>
      </c>
      <c r="AE34">
        <v>3</v>
      </c>
      <c r="AF34">
        <v>2</v>
      </c>
      <c r="AG34">
        <v>1</v>
      </c>
      <c r="AH34">
        <v>3</v>
      </c>
      <c r="AI34">
        <v>2</v>
      </c>
      <c r="AJ34">
        <v>2</v>
      </c>
      <c r="AK34">
        <v>2</v>
      </c>
      <c r="AL34">
        <v>2</v>
      </c>
      <c r="AM34">
        <v>3</v>
      </c>
      <c r="AN34">
        <v>3</v>
      </c>
      <c r="AO34">
        <v>1</v>
      </c>
      <c r="AP34">
        <v>6</v>
      </c>
      <c r="AQ34">
        <v>6</v>
      </c>
      <c r="AR34">
        <v>3</v>
      </c>
      <c r="AS34">
        <v>6</v>
      </c>
      <c r="AT34">
        <v>2</v>
      </c>
      <c r="AU34">
        <v>12</v>
      </c>
      <c r="AV34">
        <v>14</v>
      </c>
      <c r="AW34">
        <v>11</v>
      </c>
      <c r="AX34">
        <v>12</v>
      </c>
      <c r="AY34">
        <v>12</v>
      </c>
      <c r="AZ34">
        <v>5</v>
      </c>
      <c r="BA34">
        <v>13</v>
      </c>
      <c r="BB34">
        <v>8</v>
      </c>
      <c r="BC34">
        <v>8</v>
      </c>
      <c r="BD34">
        <v>5</v>
      </c>
      <c r="BE34">
        <v>7</v>
      </c>
      <c r="BF34">
        <v>6</v>
      </c>
      <c r="BG34">
        <v>8</v>
      </c>
      <c r="BH34">
        <v>14</v>
      </c>
      <c r="BI34">
        <v>5</v>
      </c>
      <c r="BJ34">
        <v>5</v>
      </c>
      <c r="BK34">
        <v>6</v>
      </c>
      <c r="BL34">
        <v>3</v>
      </c>
      <c r="BM34">
        <v>7</v>
      </c>
      <c r="BN34">
        <v>12</v>
      </c>
      <c r="BO34">
        <v>3</v>
      </c>
      <c r="BP34">
        <v>3</v>
      </c>
      <c r="BQ34">
        <v>12</v>
      </c>
    </row>
    <row r="35" spans="2:69" x14ac:dyDescent="0.3">
      <c r="B35" t="s">
        <v>173</v>
      </c>
      <c r="C35">
        <v>16</v>
      </c>
      <c r="D35">
        <v>54</v>
      </c>
      <c r="E35">
        <v>59</v>
      </c>
      <c r="F35" t="s">
        <v>76</v>
      </c>
      <c r="G35" t="s">
        <v>71</v>
      </c>
      <c r="H35" t="s">
        <v>174</v>
      </c>
      <c r="I35" t="s">
        <v>123</v>
      </c>
      <c r="J35">
        <v>40.61</v>
      </c>
      <c r="K35">
        <v>44.06</v>
      </c>
      <c r="L35">
        <v>1</v>
      </c>
      <c r="M35">
        <v>12</v>
      </c>
      <c r="N35">
        <v>1</v>
      </c>
      <c r="O35">
        <v>16</v>
      </c>
      <c r="P35">
        <v>1</v>
      </c>
      <c r="Q35">
        <v>1</v>
      </c>
      <c r="R35">
        <v>1</v>
      </c>
      <c r="S35">
        <v>1</v>
      </c>
      <c r="T35">
        <v>1</v>
      </c>
      <c r="U35">
        <v>15</v>
      </c>
      <c r="V35">
        <v>12</v>
      </c>
      <c r="W35" t="s">
        <v>113</v>
      </c>
      <c r="X35">
        <v>5</v>
      </c>
      <c r="Y35">
        <v>11</v>
      </c>
      <c r="Z35">
        <v>16</v>
      </c>
      <c r="AA35">
        <v>13</v>
      </c>
      <c r="AB35">
        <v>20</v>
      </c>
      <c r="AC35">
        <v>9</v>
      </c>
      <c r="AD35">
        <v>3</v>
      </c>
      <c r="AE35">
        <v>3</v>
      </c>
      <c r="AF35">
        <v>3</v>
      </c>
      <c r="AG35">
        <v>1</v>
      </c>
      <c r="AH35">
        <v>3</v>
      </c>
      <c r="AI35">
        <v>2</v>
      </c>
      <c r="AJ35">
        <v>3</v>
      </c>
      <c r="AK35">
        <v>1</v>
      </c>
      <c r="AL35">
        <v>3</v>
      </c>
      <c r="AM35">
        <v>1</v>
      </c>
      <c r="AN35">
        <v>3</v>
      </c>
      <c r="AO35">
        <v>1</v>
      </c>
      <c r="AP35">
        <v>8</v>
      </c>
      <c r="AQ35">
        <v>4</v>
      </c>
      <c r="AR35">
        <v>4</v>
      </c>
      <c r="AS35">
        <v>5</v>
      </c>
      <c r="AT35">
        <v>4</v>
      </c>
      <c r="AU35">
        <v>4</v>
      </c>
      <c r="AV35">
        <v>4</v>
      </c>
      <c r="AW35">
        <v>6</v>
      </c>
      <c r="AX35">
        <v>9</v>
      </c>
      <c r="AY35">
        <v>6</v>
      </c>
      <c r="AZ35">
        <v>3</v>
      </c>
      <c r="BA35">
        <v>6</v>
      </c>
      <c r="BB35">
        <v>6</v>
      </c>
      <c r="BC35">
        <v>5</v>
      </c>
      <c r="BD35">
        <v>4</v>
      </c>
      <c r="BE35">
        <v>8</v>
      </c>
      <c r="BF35">
        <v>8</v>
      </c>
      <c r="BG35">
        <v>5</v>
      </c>
      <c r="BH35">
        <v>7</v>
      </c>
      <c r="BI35">
        <v>5</v>
      </c>
      <c r="BJ35">
        <v>5</v>
      </c>
      <c r="BK35">
        <v>6</v>
      </c>
      <c r="BL35">
        <v>3</v>
      </c>
      <c r="BM35">
        <v>3</v>
      </c>
      <c r="BN35">
        <v>6</v>
      </c>
      <c r="BO35">
        <v>1</v>
      </c>
      <c r="BP35">
        <v>4</v>
      </c>
      <c r="BQ35">
        <v>10</v>
      </c>
    </row>
    <row r="36" spans="2:69" x14ac:dyDescent="0.3">
      <c r="B36" t="s">
        <v>175</v>
      </c>
      <c r="C36">
        <v>16</v>
      </c>
      <c r="D36">
        <v>13</v>
      </c>
      <c r="E36">
        <v>61</v>
      </c>
      <c r="F36" t="s">
        <v>76</v>
      </c>
      <c r="G36" t="s">
        <v>71</v>
      </c>
      <c r="H36" t="s">
        <v>176</v>
      </c>
      <c r="I36" t="s">
        <v>73</v>
      </c>
      <c r="J36">
        <v>36.1</v>
      </c>
      <c r="K36">
        <v>62.96</v>
      </c>
      <c r="L36">
        <v>20</v>
      </c>
      <c r="M36">
        <v>1</v>
      </c>
      <c r="N36">
        <v>1</v>
      </c>
      <c r="O36">
        <v>1</v>
      </c>
      <c r="P36">
        <v>2</v>
      </c>
      <c r="Q36">
        <v>1</v>
      </c>
      <c r="R36">
        <v>1</v>
      </c>
      <c r="S36">
        <v>1</v>
      </c>
      <c r="T36">
        <v>1</v>
      </c>
      <c r="U36">
        <v>10</v>
      </c>
      <c r="V36">
        <v>10</v>
      </c>
      <c r="W36" t="s">
        <v>177</v>
      </c>
      <c r="X36">
        <v>9</v>
      </c>
      <c r="Y36">
        <v>9</v>
      </c>
      <c r="Z36">
        <v>12</v>
      </c>
      <c r="AA36">
        <v>11</v>
      </c>
      <c r="AB36">
        <v>20</v>
      </c>
      <c r="AC36">
        <v>4</v>
      </c>
      <c r="AD36">
        <v>1</v>
      </c>
      <c r="AE36">
        <v>1</v>
      </c>
      <c r="AF36">
        <v>3</v>
      </c>
      <c r="AG36">
        <v>3</v>
      </c>
      <c r="AH36">
        <v>1</v>
      </c>
      <c r="AI36">
        <v>4</v>
      </c>
      <c r="AJ36">
        <v>1</v>
      </c>
      <c r="AK36">
        <v>1</v>
      </c>
      <c r="AL36">
        <v>1</v>
      </c>
      <c r="AM36">
        <v>1</v>
      </c>
      <c r="AN36">
        <v>4</v>
      </c>
      <c r="AO36">
        <v>1</v>
      </c>
      <c r="AP36">
        <v>8</v>
      </c>
      <c r="AQ36">
        <v>5</v>
      </c>
      <c r="AR36">
        <v>7</v>
      </c>
      <c r="AS36">
        <v>7</v>
      </c>
      <c r="AT36">
        <v>2</v>
      </c>
      <c r="AU36">
        <v>4</v>
      </c>
      <c r="AV36">
        <v>13</v>
      </c>
      <c r="AW36">
        <v>11</v>
      </c>
      <c r="AX36">
        <v>10</v>
      </c>
      <c r="AY36">
        <v>6</v>
      </c>
      <c r="AZ36">
        <v>2</v>
      </c>
      <c r="BA36">
        <v>4</v>
      </c>
      <c r="BB36">
        <v>2</v>
      </c>
      <c r="BC36">
        <v>3</v>
      </c>
      <c r="BD36">
        <v>1</v>
      </c>
      <c r="BE36">
        <v>2</v>
      </c>
      <c r="BF36">
        <v>8</v>
      </c>
      <c r="BG36">
        <v>13</v>
      </c>
      <c r="BH36">
        <v>5</v>
      </c>
      <c r="BI36">
        <v>3</v>
      </c>
      <c r="BJ36">
        <v>4</v>
      </c>
      <c r="BK36">
        <v>2</v>
      </c>
      <c r="BL36">
        <v>2</v>
      </c>
      <c r="BM36">
        <v>1</v>
      </c>
      <c r="BN36">
        <v>1</v>
      </c>
      <c r="BO36">
        <v>6</v>
      </c>
      <c r="BP36">
        <v>1</v>
      </c>
      <c r="BQ36">
        <v>10</v>
      </c>
    </row>
    <row r="37" spans="2:69" x14ac:dyDescent="0.3">
      <c r="B37" t="s">
        <v>178</v>
      </c>
      <c r="C37">
        <v>16</v>
      </c>
      <c r="D37">
        <v>43</v>
      </c>
      <c r="E37">
        <v>98</v>
      </c>
      <c r="F37" t="s">
        <v>179</v>
      </c>
      <c r="G37" t="s">
        <v>71</v>
      </c>
      <c r="H37" t="s">
        <v>180</v>
      </c>
      <c r="I37" t="s">
        <v>145</v>
      </c>
      <c r="J37">
        <v>38.43</v>
      </c>
      <c r="K37">
        <v>58.91</v>
      </c>
      <c r="L37">
        <v>1</v>
      </c>
      <c r="M37">
        <v>1</v>
      </c>
      <c r="N37">
        <v>1</v>
      </c>
      <c r="O37">
        <v>20</v>
      </c>
      <c r="P37">
        <v>1</v>
      </c>
      <c r="Q37">
        <v>1</v>
      </c>
      <c r="R37">
        <v>1</v>
      </c>
      <c r="S37">
        <v>1</v>
      </c>
      <c r="T37">
        <v>1</v>
      </c>
      <c r="U37">
        <v>14</v>
      </c>
      <c r="V37">
        <v>12</v>
      </c>
      <c r="W37" t="s">
        <v>133</v>
      </c>
      <c r="X37">
        <v>4</v>
      </c>
      <c r="Y37">
        <v>10</v>
      </c>
      <c r="Z37">
        <v>13</v>
      </c>
      <c r="AA37">
        <v>13</v>
      </c>
      <c r="AB37">
        <v>20</v>
      </c>
      <c r="AC37">
        <v>6</v>
      </c>
      <c r="AD37">
        <v>1</v>
      </c>
      <c r="AE37">
        <v>3</v>
      </c>
      <c r="AF37">
        <v>3</v>
      </c>
      <c r="AG37">
        <v>2</v>
      </c>
      <c r="AH37">
        <v>2</v>
      </c>
      <c r="AI37">
        <v>3</v>
      </c>
      <c r="AJ37">
        <v>3</v>
      </c>
      <c r="AK37">
        <v>1</v>
      </c>
      <c r="AL37">
        <v>1</v>
      </c>
      <c r="AM37">
        <v>1</v>
      </c>
      <c r="AN37">
        <v>2</v>
      </c>
      <c r="AO37">
        <v>1</v>
      </c>
      <c r="AP37">
        <v>9</v>
      </c>
      <c r="AQ37">
        <v>4</v>
      </c>
      <c r="AR37">
        <v>8</v>
      </c>
      <c r="AS37">
        <v>4</v>
      </c>
      <c r="AT37">
        <v>3</v>
      </c>
      <c r="AU37">
        <v>3</v>
      </c>
      <c r="AV37">
        <v>8</v>
      </c>
      <c r="AW37">
        <v>11</v>
      </c>
      <c r="AX37">
        <v>6</v>
      </c>
      <c r="AY37">
        <v>5</v>
      </c>
      <c r="AZ37">
        <v>1</v>
      </c>
      <c r="BA37">
        <v>2</v>
      </c>
      <c r="BB37">
        <v>6</v>
      </c>
      <c r="BC37">
        <v>6</v>
      </c>
      <c r="BD37">
        <v>3</v>
      </c>
      <c r="BE37">
        <v>6</v>
      </c>
      <c r="BF37">
        <v>5</v>
      </c>
      <c r="BG37">
        <v>7</v>
      </c>
      <c r="BH37">
        <v>13</v>
      </c>
      <c r="BI37">
        <v>1</v>
      </c>
      <c r="BJ37">
        <v>1</v>
      </c>
      <c r="BK37">
        <v>2</v>
      </c>
      <c r="BL37">
        <v>3</v>
      </c>
      <c r="BM37">
        <v>1</v>
      </c>
      <c r="BN37">
        <v>7</v>
      </c>
      <c r="BO37">
        <v>1</v>
      </c>
      <c r="BP37">
        <v>1</v>
      </c>
      <c r="BQ37">
        <v>10</v>
      </c>
    </row>
    <row r="38" spans="2:69" x14ac:dyDescent="0.3">
      <c r="B38" t="s">
        <v>181</v>
      </c>
      <c r="C38">
        <v>16</v>
      </c>
      <c r="D38">
        <v>58</v>
      </c>
      <c r="E38">
        <v>86</v>
      </c>
      <c r="F38" t="s">
        <v>182</v>
      </c>
      <c r="G38" t="s">
        <v>71</v>
      </c>
      <c r="H38" t="s">
        <v>183</v>
      </c>
      <c r="I38" t="s">
        <v>123</v>
      </c>
      <c r="J38">
        <v>42.69</v>
      </c>
      <c r="K38">
        <v>56.59</v>
      </c>
      <c r="L38">
        <v>1</v>
      </c>
      <c r="M38">
        <v>16</v>
      </c>
      <c r="N38">
        <v>1</v>
      </c>
      <c r="O38">
        <v>1</v>
      </c>
      <c r="P38">
        <v>1</v>
      </c>
      <c r="Q38">
        <v>1</v>
      </c>
      <c r="R38">
        <v>1</v>
      </c>
      <c r="S38">
        <v>1</v>
      </c>
      <c r="T38">
        <v>1</v>
      </c>
      <c r="U38">
        <v>11</v>
      </c>
      <c r="V38">
        <v>14</v>
      </c>
      <c r="W38" t="s">
        <v>169</v>
      </c>
      <c r="X38">
        <v>4</v>
      </c>
      <c r="Y38">
        <v>20</v>
      </c>
      <c r="Z38">
        <v>7</v>
      </c>
      <c r="AA38">
        <v>13</v>
      </c>
      <c r="AB38">
        <v>8</v>
      </c>
      <c r="AC38">
        <v>11</v>
      </c>
      <c r="AD38">
        <v>5</v>
      </c>
      <c r="AE38">
        <v>2</v>
      </c>
      <c r="AF38">
        <v>3</v>
      </c>
      <c r="AG38">
        <v>1</v>
      </c>
      <c r="AH38">
        <v>2</v>
      </c>
      <c r="AI38">
        <v>3</v>
      </c>
      <c r="AJ38">
        <v>3</v>
      </c>
      <c r="AK38">
        <v>1</v>
      </c>
      <c r="AL38">
        <v>3</v>
      </c>
      <c r="AM38">
        <v>2</v>
      </c>
      <c r="AN38">
        <v>1</v>
      </c>
      <c r="AO38">
        <v>2</v>
      </c>
      <c r="AP38">
        <v>12</v>
      </c>
      <c r="AQ38">
        <v>6</v>
      </c>
      <c r="AR38">
        <v>8</v>
      </c>
      <c r="AS38">
        <v>6</v>
      </c>
      <c r="AT38">
        <v>4</v>
      </c>
      <c r="AU38">
        <v>5</v>
      </c>
      <c r="AV38">
        <v>4</v>
      </c>
      <c r="AW38">
        <v>8</v>
      </c>
      <c r="AX38">
        <v>6</v>
      </c>
      <c r="AY38">
        <v>7</v>
      </c>
      <c r="AZ38">
        <v>2</v>
      </c>
      <c r="BA38">
        <v>10</v>
      </c>
      <c r="BB38">
        <v>5</v>
      </c>
      <c r="BC38">
        <v>15</v>
      </c>
      <c r="BD38">
        <v>6</v>
      </c>
      <c r="BE38">
        <v>8</v>
      </c>
      <c r="BF38">
        <v>10</v>
      </c>
      <c r="BG38">
        <v>6</v>
      </c>
      <c r="BH38">
        <v>6</v>
      </c>
      <c r="BI38">
        <v>11</v>
      </c>
      <c r="BJ38">
        <v>1</v>
      </c>
      <c r="BK38">
        <v>4</v>
      </c>
      <c r="BL38">
        <v>4</v>
      </c>
      <c r="BM38">
        <v>2</v>
      </c>
      <c r="BN38">
        <v>5</v>
      </c>
      <c r="BO38">
        <v>1</v>
      </c>
      <c r="BP38">
        <v>4</v>
      </c>
      <c r="BQ38">
        <v>8</v>
      </c>
    </row>
    <row r="39" spans="2:69" x14ac:dyDescent="0.3">
      <c r="B39" t="s">
        <v>184</v>
      </c>
      <c r="C39">
        <v>16</v>
      </c>
      <c r="D39">
        <v>37</v>
      </c>
      <c r="E39">
        <v>85</v>
      </c>
      <c r="F39" t="s">
        <v>76</v>
      </c>
      <c r="G39" t="s">
        <v>71</v>
      </c>
      <c r="H39" t="s">
        <v>185</v>
      </c>
      <c r="I39" t="s">
        <v>186</v>
      </c>
      <c r="J39">
        <v>36.26</v>
      </c>
      <c r="K39">
        <v>56.26</v>
      </c>
      <c r="L39">
        <v>1</v>
      </c>
      <c r="M39">
        <v>2</v>
      </c>
      <c r="N39">
        <v>1</v>
      </c>
      <c r="O39">
        <v>1</v>
      </c>
      <c r="P39">
        <v>1</v>
      </c>
      <c r="Q39">
        <v>20</v>
      </c>
      <c r="R39">
        <v>1</v>
      </c>
      <c r="S39">
        <v>6</v>
      </c>
      <c r="T39">
        <v>1</v>
      </c>
      <c r="U39">
        <v>11</v>
      </c>
      <c r="V39">
        <v>13</v>
      </c>
      <c r="W39" t="s">
        <v>139</v>
      </c>
      <c r="X39">
        <v>6</v>
      </c>
      <c r="Y39">
        <v>20</v>
      </c>
      <c r="Z39">
        <v>8</v>
      </c>
      <c r="AA39">
        <v>12</v>
      </c>
      <c r="AB39">
        <v>9</v>
      </c>
      <c r="AC39">
        <v>9</v>
      </c>
      <c r="AD39">
        <v>4</v>
      </c>
      <c r="AE39">
        <v>3</v>
      </c>
      <c r="AF39">
        <v>3</v>
      </c>
      <c r="AG39">
        <v>3</v>
      </c>
      <c r="AH39">
        <v>2</v>
      </c>
      <c r="AI39">
        <v>2</v>
      </c>
      <c r="AJ39">
        <v>2</v>
      </c>
      <c r="AK39">
        <v>3</v>
      </c>
      <c r="AL39">
        <v>1</v>
      </c>
      <c r="AM39">
        <v>1</v>
      </c>
      <c r="AN39">
        <v>3</v>
      </c>
      <c r="AO39">
        <v>3</v>
      </c>
      <c r="AP39">
        <v>7</v>
      </c>
      <c r="AQ39">
        <v>3</v>
      </c>
      <c r="AR39">
        <v>15</v>
      </c>
      <c r="AS39">
        <v>4</v>
      </c>
      <c r="AT39">
        <v>4</v>
      </c>
      <c r="AU39">
        <v>9</v>
      </c>
      <c r="AV39">
        <v>9</v>
      </c>
      <c r="AW39">
        <v>9</v>
      </c>
      <c r="AX39">
        <v>10</v>
      </c>
      <c r="AY39">
        <v>5</v>
      </c>
      <c r="AZ39">
        <v>6</v>
      </c>
      <c r="BA39">
        <v>9</v>
      </c>
      <c r="BB39">
        <v>3</v>
      </c>
      <c r="BC39">
        <v>13</v>
      </c>
      <c r="BD39">
        <v>2</v>
      </c>
      <c r="BE39">
        <v>6</v>
      </c>
      <c r="BF39">
        <v>4</v>
      </c>
      <c r="BG39">
        <v>3</v>
      </c>
      <c r="BH39">
        <v>4</v>
      </c>
      <c r="BI39">
        <v>2</v>
      </c>
      <c r="BJ39">
        <v>3</v>
      </c>
      <c r="BK39">
        <v>1</v>
      </c>
      <c r="BL39">
        <v>1</v>
      </c>
      <c r="BM39">
        <v>7</v>
      </c>
      <c r="BN39">
        <v>6</v>
      </c>
      <c r="BO39">
        <v>2</v>
      </c>
      <c r="BP39">
        <v>5</v>
      </c>
      <c r="BQ39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S65"/>
  <sheetViews>
    <sheetView tabSelected="1" topLeftCell="BZ1" workbookViewId="0">
      <selection activeCell="DF10" sqref="DF10"/>
    </sheetView>
  </sheetViews>
  <sheetFormatPr defaultRowHeight="14.4" x14ac:dyDescent="0.3"/>
  <cols>
    <col min="3" max="3" width="15.88671875" bestFit="1" customWidth="1"/>
    <col min="4" max="4" width="12.88671875" bestFit="1" customWidth="1"/>
    <col min="5" max="5" width="40.5546875" bestFit="1" customWidth="1"/>
    <col min="15" max="15" width="14.88671875" bestFit="1" customWidth="1"/>
    <col min="31" max="31" width="8.88671875" style="39" customWidth="1"/>
  </cols>
  <sheetData>
    <row r="1" spans="1:97" x14ac:dyDescent="0.3">
      <c r="A1" t="s">
        <v>187</v>
      </c>
      <c r="B1" t="s">
        <v>0</v>
      </c>
      <c r="C1" t="s">
        <v>1</v>
      </c>
      <c r="D1" t="s">
        <v>8</v>
      </c>
      <c r="E1" t="s">
        <v>5</v>
      </c>
      <c r="F1" t="s">
        <v>3</v>
      </c>
      <c r="G1" t="s">
        <v>4</v>
      </c>
      <c r="H1" t="s">
        <v>2</v>
      </c>
      <c r="I1" t="s">
        <v>188</v>
      </c>
      <c r="J1" t="s">
        <v>7</v>
      </c>
      <c r="K1" t="s">
        <v>189</v>
      </c>
      <c r="L1" t="s">
        <v>190</v>
      </c>
      <c r="M1" t="s">
        <v>191</v>
      </c>
      <c r="N1" t="s">
        <v>192</v>
      </c>
      <c r="O1" t="s">
        <v>193</v>
      </c>
      <c r="P1" t="s">
        <v>194</v>
      </c>
      <c r="Q1" t="s">
        <v>195</v>
      </c>
      <c r="R1" t="s">
        <v>196</v>
      </c>
      <c r="S1" t="s">
        <v>197</v>
      </c>
      <c r="T1" t="s">
        <v>198</v>
      </c>
      <c r="U1" t="s">
        <v>199</v>
      </c>
      <c r="V1" t="s">
        <v>200</v>
      </c>
      <c r="W1" t="s">
        <v>201</v>
      </c>
      <c r="X1" t="s">
        <v>202</v>
      </c>
      <c r="Y1" t="s">
        <v>203</v>
      </c>
      <c r="Z1" t="s">
        <v>204</v>
      </c>
      <c r="AA1" t="s">
        <v>205</v>
      </c>
      <c r="AB1" t="s">
        <v>206</v>
      </c>
      <c r="AC1" t="s">
        <v>207</v>
      </c>
      <c r="AD1" t="s">
        <v>21</v>
      </c>
      <c r="AE1" s="39" t="s">
        <v>22</v>
      </c>
      <c r="AF1" t="s">
        <v>23</v>
      </c>
      <c r="AG1" t="s">
        <v>24</v>
      </c>
      <c r="AH1" t="s">
        <v>25</v>
      </c>
      <c r="AI1" t="s">
        <v>26</v>
      </c>
      <c r="AJ1" t="s">
        <v>27</v>
      </c>
      <c r="AK1" t="s">
        <v>28</v>
      </c>
      <c r="AL1" t="s">
        <v>29</v>
      </c>
      <c r="AM1" t="s">
        <v>30</v>
      </c>
      <c r="AN1" t="s">
        <v>208</v>
      </c>
      <c r="AO1" t="s">
        <v>32</v>
      </c>
      <c r="AP1" t="s">
        <v>33</v>
      </c>
      <c r="AQ1" t="s">
        <v>34</v>
      </c>
      <c r="AR1" t="s">
        <v>35</v>
      </c>
      <c r="AS1" t="s">
        <v>209</v>
      </c>
      <c r="AT1" t="s">
        <v>37</v>
      </c>
      <c r="AU1" t="s">
        <v>38</v>
      </c>
      <c r="AV1" t="s">
        <v>210</v>
      </c>
      <c r="AW1" t="s">
        <v>40</v>
      </c>
      <c r="AX1" t="s">
        <v>41</v>
      </c>
      <c r="AY1" t="s">
        <v>42</v>
      </c>
      <c r="AZ1" t="s">
        <v>43</v>
      </c>
      <c r="BA1" t="s">
        <v>44</v>
      </c>
      <c r="BB1" t="s">
        <v>45</v>
      </c>
      <c r="BC1" t="s">
        <v>46</v>
      </c>
      <c r="BD1" t="s">
        <v>47</v>
      </c>
      <c r="BE1" t="s">
        <v>48</v>
      </c>
      <c r="BF1" t="s">
        <v>49</v>
      </c>
      <c r="BG1" t="s">
        <v>211</v>
      </c>
      <c r="BH1" t="s">
        <v>51</v>
      </c>
      <c r="BI1" t="s">
        <v>52</v>
      </c>
      <c r="BJ1" t="s">
        <v>53</v>
      </c>
      <c r="BK1" t="s">
        <v>54</v>
      </c>
      <c r="BL1" t="s">
        <v>55</v>
      </c>
      <c r="BM1" t="s">
        <v>56</v>
      </c>
      <c r="BN1" t="s">
        <v>57</v>
      </c>
      <c r="BO1" t="s">
        <v>58</v>
      </c>
      <c r="BP1" t="s">
        <v>59</v>
      </c>
      <c r="BQ1" t="s">
        <v>60</v>
      </c>
      <c r="BR1" t="s">
        <v>61</v>
      </c>
      <c r="BS1" t="s">
        <v>62</v>
      </c>
      <c r="BT1" t="s">
        <v>212</v>
      </c>
      <c r="BU1" t="s">
        <v>64</v>
      </c>
      <c r="BV1" t="s">
        <v>65</v>
      </c>
      <c r="BW1" t="s">
        <v>66</v>
      </c>
      <c r="BX1" t="s">
        <v>67</v>
      </c>
      <c r="BY1" t="s">
        <v>68</v>
      </c>
      <c r="BZ1" t="s">
        <v>213</v>
      </c>
      <c r="CA1" t="s">
        <v>214</v>
      </c>
      <c r="CB1" t="s">
        <v>215</v>
      </c>
      <c r="CC1" t="s">
        <v>216</v>
      </c>
      <c r="CD1" t="s">
        <v>217</v>
      </c>
      <c r="CE1" t="s">
        <v>218</v>
      </c>
      <c r="CF1" t="s">
        <v>219</v>
      </c>
      <c r="CG1" t="s">
        <v>220</v>
      </c>
      <c r="CH1" t="s">
        <v>11</v>
      </c>
      <c r="CI1" t="s">
        <v>6</v>
      </c>
      <c r="CJ1" t="s">
        <v>221</v>
      </c>
      <c r="CK1" t="s">
        <v>222</v>
      </c>
      <c r="CL1" t="s">
        <v>223</v>
      </c>
      <c r="CM1" t="s">
        <v>224</v>
      </c>
      <c r="CN1" t="s">
        <v>225</v>
      </c>
      <c r="CO1" t="s">
        <v>489</v>
      </c>
      <c r="CP1" t="s">
        <v>490</v>
      </c>
      <c r="CQ1" t="s">
        <v>491</v>
      </c>
      <c r="CR1" t="s">
        <v>492</v>
      </c>
      <c r="CS1" t="s">
        <v>493</v>
      </c>
    </row>
    <row r="2" spans="1:97" x14ac:dyDescent="0.3">
      <c r="A2">
        <v>29</v>
      </c>
      <c r="C2" t="s">
        <v>104</v>
      </c>
      <c r="D2" t="s">
        <v>226</v>
      </c>
      <c r="E2" t="s">
        <v>154</v>
      </c>
      <c r="F2">
        <v>108</v>
      </c>
      <c r="G2">
        <v>146</v>
      </c>
      <c r="H2">
        <v>19</v>
      </c>
      <c r="I2">
        <v>2420</v>
      </c>
      <c r="J2" t="s">
        <v>227</v>
      </c>
      <c r="K2">
        <v>9689</v>
      </c>
      <c r="L2" t="s">
        <v>228</v>
      </c>
      <c r="M2" t="s">
        <v>228</v>
      </c>
      <c r="N2">
        <v>-24</v>
      </c>
      <c r="O2">
        <v>10000</v>
      </c>
      <c r="P2">
        <v>13</v>
      </c>
      <c r="Q2">
        <v>8</v>
      </c>
      <c r="R2">
        <v>15</v>
      </c>
      <c r="S2">
        <v>8</v>
      </c>
      <c r="T2">
        <v>9</v>
      </c>
      <c r="U2">
        <v>11</v>
      </c>
      <c r="V2">
        <v>3</v>
      </c>
      <c r="W2">
        <v>7</v>
      </c>
      <c r="X2">
        <v>14</v>
      </c>
      <c r="Y2">
        <v>16</v>
      </c>
      <c r="Z2">
        <v>6</v>
      </c>
      <c r="AA2">
        <v>12</v>
      </c>
      <c r="AB2">
        <v>14</v>
      </c>
      <c r="AC2">
        <v>15</v>
      </c>
      <c r="AD2">
        <v>17</v>
      </c>
      <c r="AE2" t="s">
        <v>229</v>
      </c>
      <c r="AF2">
        <v>4</v>
      </c>
      <c r="AG2">
        <v>12</v>
      </c>
      <c r="AH2">
        <v>13</v>
      </c>
      <c r="AI2">
        <v>15</v>
      </c>
      <c r="AJ2">
        <v>20</v>
      </c>
      <c r="AK2">
        <v>15</v>
      </c>
      <c r="AL2">
        <v>7</v>
      </c>
      <c r="AM2">
        <v>3</v>
      </c>
      <c r="AN2">
        <v>1</v>
      </c>
      <c r="AO2">
        <v>2</v>
      </c>
      <c r="AP2">
        <v>2</v>
      </c>
      <c r="AQ2">
        <v>2</v>
      </c>
      <c r="AR2">
        <v>2</v>
      </c>
      <c r="AS2">
        <v>1</v>
      </c>
      <c r="AT2">
        <v>3</v>
      </c>
      <c r="AU2">
        <v>3</v>
      </c>
      <c r="AV2">
        <v>4</v>
      </c>
      <c r="AW2">
        <v>2</v>
      </c>
      <c r="AX2">
        <v>10</v>
      </c>
      <c r="AY2">
        <v>11</v>
      </c>
      <c r="AZ2">
        <v>13</v>
      </c>
      <c r="BA2">
        <v>9</v>
      </c>
      <c r="BB2">
        <v>7</v>
      </c>
      <c r="BC2">
        <v>13</v>
      </c>
      <c r="BD2">
        <v>13</v>
      </c>
      <c r="BE2">
        <v>11</v>
      </c>
      <c r="BF2">
        <v>4</v>
      </c>
      <c r="BG2">
        <v>8</v>
      </c>
      <c r="BH2">
        <v>5</v>
      </c>
      <c r="BI2">
        <v>9</v>
      </c>
      <c r="BJ2">
        <v>14</v>
      </c>
      <c r="BK2">
        <v>14</v>
      </c>
      <c r="BL2">
        <v>3</v>
      </c>
      <c r="BM2">
        <v>7</v>
      </c>
      <c r="BN2">
        <v>7</v>
      </c>
      <c r="BO2">
        <v>6</v>
      </c>
      <c r="BP2">
        <v>9</v>
      </c>
      <c r="BQ2">
        <v>3</v>
      </c>
      <c r="BR2">
        <v>3</v>
      </c>
      <c r="BS2">
        <v>6</v>
      </c>
      <c r="BT2">
        <v>3</v>
      </c>
      <c r="BU2">
        <v>7</v>
      </c>
      <c r="BV2">
        <v>11</v>
      </c>
      <c r="BW2">
        <v>6</v>
      </c>
      <c r="BX2">
        <v>4</v>
      </c>
      <c r="BY2">
        <v>10</v>
      </c>
      <c r="BZ2">
        <v>1</v>
      </c>
      <c r="CA2">
        <v>1</v>
      </c>
      <c r="CB2">
        <v>1</v>
      </c>
      <c r="CC2">
        <v>1</v>
      </c>
      <c r="CD2">
        <v>20</v>
      </c>
      <c r="CE2">
        <v>6</v>
      </c>
      <c r="CF2">
        <v>20</v>
      </c>
      <c r="CG2">
        <v>1</v>
      </c>
      <c r="CH2">
        <v>1</v>
      </c>
      <c r="CJ2" t="s">
        <v>230</v>
      </c>
      <c r="CK2" t="s">
        <v>231</v>
      </c>
      <c r="CL2">
        <v>47</v>
      </c>
      <c r="CM2">
        <v>23</v>
      </c>
      <c r="CN2">
        <v>31</v>
      </c>
    </row>
    <row r="3" spans="1:97" x14ac:dyDescent="0.3">
      <c r="A3">
        <v>4</v>
      </c>
      <c r="C3" t="s">
        <v>232</v>
      </c>
      <c r="D3" t="s">
        <v>112</v>
      </c>
      <c r="E3" t="s">
        <v>233</v>
      </c>
      <c r="F3">
        <v>73</v>
      </c>
      <c r="G3">
        <v>109</v>
      </c>
      <c r="H3">
        <v>20</v>
      </c>
      <c r="I3">
        <v>2950</v>
      </c>
      <c r="J3" t="s">
        <v>234</v>
      </c>
      <c r="K3">
        <v>9541</v>
      </c>
      <c r="L3" t="s">
        <v>228</v>
      </c>
      <c r="M3" t="s">
        <v>228</v>
      </c>
      <c r="N3">
        <v>-158</v>
      </c>
      <c r="O3">
        <v>10000</v>
      </c>
      <c r="P3">
        <v>11</v>
      </c>
      <c r="Q3">
        <v>6</v>
      </c>
      <c r="R3">
        <v>7</v>
      </c>
      <c r="S3">
        <v>6</v>
      </c>
      <c r="T3">
        <v>9</v>
      </c>
      <c r="U3">
        <v>10</v>
      </c>
      <c r="V3">
        <v>10</v>
      </c>
      <c r="W3">
        <v>10</v>
      </c>
      <c r="X3">
        <v>10</v>
      </c>
      <c r="Y3">
        <v>10</v>
      </c>
      <c r="Z3">
        <v>10</v>
      </c>
      <c r="AA3">
        <v>10</v>
      </c>
      <c r="AB3">
        <v>10</v>
      </c>
      <c r="AC3">
        <v>12</v>
      </c>
      <c r="AD3">
        <v>10</v>
      </c>
      <c r="AE3" t="s">
        <v>229</v>
      </c>
      <c r="AF3">
        <v>11</v>
      </c>
      <c r="AG3">
        <v>9</v>
      </c>
      <c r="AH3">
        <v>15</v>
      </c>
      <c r="AI3">
        <v>11</v>
      </c>
      <c r="AJ3">
        <v>20</v>
      </c>
      <c r="AK3">
        <v>15</v>
      </c>
      <c r="AL3">
        <v>12</v>
      </c>
      <c r="AM3">
        <v>2</v>
      </c>
      <c r="AN3">
        <v>1</v>
      </c>
      <c r="AO3">
        <v>1</v>
      </c>
      <c r="AP3">
        <v>3</v>
      </c>
      <c r="AQ3">
        <v>2</v>
      </c>
      <c r="AR3">
        <v>2</v>
      </c>
      <c r="AS3">
        <v>3</v>
      </c>
      <c r="AT3">
        <v>2</v>
      </c>
      <c r="AU3">
        <v>1</v>
      </c>
      <c r="AV3">
        <v>2</v>
      </c>
      <c r="AW3">
        <v>1</v>
      </c>
      <c r="AX3">
        <v>9</v>
      </c>
      <c r="AY3">
        <v>9</v>
      </c>
      <c r="AZ3">
        <v>10</v>
      </c>
      <c r="BA3">
        <v>4</v>
      </c>
      <c r="BB3">
        <v>9</v>
      </c>
      <c r="BC3">
        <v>11</v>
      </c>
      <c r="BD3">
        <v>7</v>
      </c>
      <c r="BE3">
        <v>5</v>
      </c>
      <c r="BF3">
        <v>10</v>
      </c>
      <c r="BG3">
        <v>4</v>
      </c>
      <c r="BH3">
        <v>11</v>
      </c>
      <c r="BI3">
        <v>8</v>
      </c>
      <c r="BJ3">
        <v>7</v>
      </c>
      <c r="BK3">
        <v>7</v>
      </c>
      <c r="BL3">
        <v>3</v>
      </c>
      <c r="BM3">
        <v>4</v>
      </c>
      <c r="BN3">
        <v>6</v>
      </c>
      <c r="BO3">
        <v>3</v>
      </c>
      <c r="BP3">
        <v>8</v>
      </c>
      <c r="BQ3">
        <v>1</v>
      </c>
      <c r="BR3">
        <v>10</v>
      </c>
      <c r="BS3">
        <v>3</v>
      </c>
      <c r="BT3">
        <v>2</v>
      </c>
      <c r="BU3">
        <v>11</v>
      </c>
      <c r="BV3">
        <v>5</v>
      </c>
      <c r="BW3">
        <v>2</v>
      </c>
      <c r="BX3">
        <v>8</v>
      </c>
      <c r="BY3">
        <v>7</v>
      </c>
      <c r="BZ3">
        <v>1</v>
      </c>
      <c r="CA3">
        <v>2</v>
      </c>
      <c r="CB3">
        <v>20</v>
      </c>
      <c r="CC3">
        <v>1</v>
      </c>
      <c r="CD3">
        <v>3</v>
      </c>
      <c r="CE3">
        <v>1</v>
      </c>
      <c r="CF3">
        <v>1</v>
      </c>
      <c r="CG3">
        <v>1</v>
      </c>
      <c r="CH3">
        <v>4</v>
      </c>
      <c r="CI3" t="s">
        <v>235</v>
      </c>
      <c r="CJ3" t="s">
        <v>230</v>
      </c>
      <c r="CK3" t="s">
        <v>236</v>
      </c>
      <c r="CL3">
        <v>161</v>
      </c>
      <c r="CM3">
        <v>70</v>
      </c>
      <c r="CN3">
        <v>7</v>
      </c>
    </row>
    <row r="4" spans="1:97" x14ac:dyDescent="0.3">
      <c r="A4">
        <v>1</v>
      </c>
      <c r="C4" t="s">
        <v>91</v>
      </c>
      <c r="D4" t="s">
        <v>94</v>
      </c>
      <c r="E4" t="s">
        <v>237</v>
      </c>
      <c r="F4">
        <v>99</v>
      </c>
      <c r="G4">
        <v>146</v>
      </c>
      <c r="H4">
        <v>20</v>
      </c>
      <c r="I4">
        <v>4530</v>
      </c>
      <c r="J4" t="s">
        <v>238</v>
      </c>
      <c r="K4">
        <v>10000</v>
      </c>
      <c r="L4" t="s">
        <v>228</v>
      </c>
      <c r="M4" t="s">
        <v>228</v>
      </c>
      <c r="N4">
        <v>-224</v>
      </c>
      <c r="O4">
        <v>8246</v>
      </c>
      <c r="P4">
        <v>15</v>
      </c>
      <c r="Q4">
        <v>9</v>
      </c>
      <c r="R4">
        <v>12</v>
      </c>
      <c r="S4">
        <v>14</v>
      </c>
      <c r="T4">
        <v>12</v>
      </c>
      <c r="U4">
        <v>12</v>
      </c>
      <c r="V4">
        <v>13</v>
      </c>
      <c r="W4">
        <v>7</v>
      </c>
      <c r="X4">
        <v>10</v>
      </c>
      <c r="Y4">
        <v>11</v>
      </c>
      <c r="Z4">
        <v>11</v>
      </c>
      <c r="AA4">
        <v>10</v>
      </c>
      <c r="AB4">
        <v>9</v>
      </c>
      <c r="AC4">
        <v>11</v>
      </c>
      <c r="AD4">
        <v>12</v>
      </c>
      <c r="AE4" t="s">
        <v>239</v>
      </c>
      <c r="AF4">
        <v>16</v>
      </c>
      <c r="AG4">
        <v>16</v>
      </c>
      <c r="AH4">
        <v>7</v>
      </c>
      <c r="AI4">
        <v>10</v>
      </c>
      <c r="AJ4">
        <v>20</v>
      </c>
      <c r="AK4">
        <v>6</v>
      </c>
      <c r="AL4">
        <v>8</v>
      </c>
      <c r="AM4">
        <v>10</v>
      </c>
      <c r="AN4">
        <v>8</v>
      </c>
      <c r="AO4">
        <v>9</v>
      </c>
      <c r="AP4">
        <v>2</v>
      </c>
      <c r="AQ4">
        <v>14</v>
      </c>
      <c r="AR4">
        <v>8</v>
      </c>
      <c r="AS4">
        <v>10</v>
      </c>
      <c r="AT4">
        <v>12</v>
      </c>
      <c r="AU4">
        <v>15</v>
      </c>
      <c r="AV4">
        <v>5</v>
      </c>
      <c r="AW4">
        <v>12</v>
      </c>
      <c r="AX4">
        <v>10</v>
      </c>
      <c r="AY4">
        <v>15</v>
      </c>
      <c r="AZ4">
        <v>6</v>
      </c>
      <c r="BA4">
        <v>5</v>
      </c>
      <c r="BB4">
        <v>13</v>
      </c>
      <c r="BC4">
        <v>15</v>
      </c>
      <c r="BD4">
        <v>12</v>
      </c>
      <c r="BE4">
        <v>3</v>
      </c>
      <c r="BF4">
        <v>8</v>
      </c>
      <c r="BG4">
        <v>3</v>
      </c>
      <c r="BH4">
        <v>10</v>
      </c>
      <c r="BI4">
        <v>12</v>
      </c>
      <c r="BJ4">
        <v>3</v>
      </c>
      <c r="BK4">
        <v>9</v>
      </c>
      <c r="BL4">
        <v>4</v>
      </c>
      <c r="BM4">
        <v>1</v>
      </c>
      <c r="BN4">
        <v>3</v>
      </c>
      <c r="BO4">
        <v>1</v>
      </c>
      <c r="BP4">
        <v>5</v>
      </c>
      <c r="BQ4">
        <v>4</v>
      </c>
      <c r="BR4">
        <v>1</v>
      </c>
      <c r="BS4">
        <v>2</v>
      </c>
      <c r="BT4">
        <v>2</v>
      </c>
      <c r="BU4">
        <v>1</v>
      </c>
      <c r="BV4">
        <v>5</v>
      </c>
      <c r="BW4">
        <v>1</v>
      </c>
      <c r="BX4">
        <v>1</v>
      </c>
      <c r="BY4">
        <v>9</v>
      </c>
      <c r="BZ4">
        <v>20</v>
      </c>
      <c r="CA4">
        <v>1</v>
      </c>
      <c r="CB4">
        <v>1</v>
      </c>
      <c r="CC4">
        <v>1</v>
      </c>
      <c r="CD4">
        <v>1</v>
      </c>
      <c r="CE4">
        <v>1</v>
      </c>
      <c r="CF4">
        <v>1</v>
      </c>
      <c r="CG4">
        <v>1</v>
      </c>
      <c r="CH4">
        <v>1</v>
      </c>
      <c r="CI4" t="s">
        <v>71</v>
      </c>
      <c r="CJ4" t="s">
        <v>230</v>
      </c>
      <c r="CK4" t="s">
        <v>240</v>
      </c>
      <c r="CL4">
        <v>269</v>
      </c>
      <c r="CM4">
        <v>210</v>
      </c>
      <c r="CN4">
        <v>43</v>
      </c>
    </row>
    <row r="5" spans="1:97" x14ac:dyDescent="0.3">
      <c r="A5">
        <v>7</v>
      </c>
      <c r="C5" t="s">
        <v>96</v>
      </c>
      <c r="D5" t="s">
        <v>241</v>
      </c>
      <c r="E5" t="s">
        <v>76</v>
      </c>
      <c r="F5">
        <v>119</v>
      </c>
      <c r="G5">
        <v>135</v>
      </c>
      <c r="H5">
        <v>19</v>
      </c>
      <c r="I5">
        <v>3239</v>
      </c>
      <c r="J5" t="s">
        <v>242</v>
      </c>
      <c r="K5">
        <v>9222</v>
      </c>
      <c r="L5" t="s">
        <v>228</v>
      </c>
      <c r="M5" t="s">
        <v>228</v>
      </c>
      <c r="N5">
        <v>-61</v>
      </c>
      <c r="O5">
        <v>9209</v>
      </c>
      <c r="P5">
        <v>20</v>
      </c>
      <c r="Q5">
        <v>1</v>
      </c>
      <c r="R5">
        <v>20</v>
      </c>
      <c r="S5">
        <v>1</v>
      </c>
      <c r="T5">
        <v>20</v>
      </c>
      <c r="U5">
        <v>20</v>
      </c>
      <c r="V5">
        <v>12</v>
      </c>
      <c r="W5">
        <v>1</v>
      </c>
      <c r="X5">
        <v>20</v>
      </c>
      <c r="Y5">
        <v>20</v>
      </c>
      <c r="Z5">
        <v>20</v>
      </c>
      <c r="AA5">
        <v>20</v>
      </c>
      <c r="AB5">
        <v>20</v>
      </c>
      <c r="AC5">
        <v>10</v>
      </c>
      <c r="AD5">
        <v>10</v>
      </c>
      <c r="AE5" t="s">
        <v>239</v>
      </c>
      <c r="AF5">
        <v>11</v>
      </c>
      <c r="AG5">
        <v>10</v>
      </c>
      <c r="AH5">
        <v>14</v>
      </c>
      <c r="AI5">
        <v>11</v>
      </c>
      <c r="AJ5">
        <v>20</v>
      </c>
      <c r="AK5">
        <v>15</v>
      </c>
      <c r="AL5">
        <v>10</v>
      </c>
      <c r="AM5">
        <v>2</v>
      </c>
      <c r="AN5">
        <v>2</v>
      </c>
      <c r="AO5">
        <v>3</v>
      </c>
      <c r="AP5">
        <v>1</v>
      </c>
      <c r="AQ5">
        <v>1</v>
      </c>
      <c r="AR5">
        <v>3</v>
      </c>
      <c r="AS5">
        <v>1</v>
      </c>
      <c r="AT5">
        <v>2</v>
      </c>
      <c r="AU5">
        <v>1</v>
      </c>
      <c r="AV5">
        <v>1</v>
      </c>
      <c r="AW5">
        <v>3</v>
      </c>
      <c r="AX5">
        <v>11</v>
      </c>
      <c r="AY5">
        <v>11</v>
      </c>
      <c r="AZ5">
        <v>9</v>
      </c>
      <c r="BA5">
        <v>12</v>
      </c>
      <c r="BB5">
        <v>14</v>
      </c>
      <c r="BC5">
        <v>16</v>
      </c>
      <c r="BD5">
        <v>20</v>
      </c>
      <c r="BE5">
        <v>11</v>
      </c>
      <c r="BF5">
        <v>20</v>
      </c>
      <c r="BG5">
        <v>13</v>
      </c>
      <c r="BH5">
        <v>10</v>
      </c>
      <c r="BI5">
        <v>20</v>
      </c>
      <c r="BJ5">
        <v>15</v>
      </c>
      <c r="BK5">
        <v>14</v>
      </c>
      <c r="BL5">
        <v>3</v>
      </c>
      <c r="BM5">
        <v>7</v>
      </c>
      <c r="BN5">
        <v>8</v>
      </c>
      <c r="BO5">
        <v>7</v>
      </c>
      <c r="BP5">
        <v>15</v>
      </c>
      <c r="BQ5">
        <v>3</v>
      </c>
      <c r="BR5">
        <v>3</v>
      </c>
      <c r="BS5">
        <v>9</v>
      </c>
      <c r="BT5">
        <v>3</v>
      </c>
      <c r="BU5">
        <v>10</v>
      </c>
      <c r="BV5">
        <v>10</v>
      </c>
      <c r="BW5">
        <v>5</v>
      </c>
      <c r="BX5">
        <v>7</v>
      </c>
      <c r="BY5">
        <v>12</v>
      </c>
      <c r="BZ5">
        <v>1</v>
      </c>
      <c r="CA5">
        <v>1</v>
      </c>
      <c r="CB5">
        <v>1</v>
      </c>
      <c r="CC5">
        <v>1</v>
      </c>
      <c r="CD5">
        <v>20</v>
      </c>
      <c r="CE5">
        <v>20</v>
      </c>
      <c r="CF5">
        <v>1</v>
      </c>
      <c r="CG5">
        <v>16</v>
      </c>
      <c r="CH5">
        <v>1</v>
      </c>
      <c r="CJ5" t="s">
        <v>230</v>
      </c>
      <c r="CK5" t="s">
        <v>243</v>
      </c>
      <c r="CL5">
        <v>108</v>
      </c>
      <c r="CM5">
        <v>47</v>
      </c>
      <c r="CN5">
        <v>31</v>
      </c>
    </row>
    <row r="6" spans="1:97" x14ac:dyDescent="0.3">
      <c r="A6">
        <v>20</v>
      </c>
      <c r="C6" t="s">
        <v>244</v>
      </c>
      <c r="D6" t="s">
        <v>78</v>
      </c>
      <c r="E6" t="s">
        <v>76</v>
      </c>
      <c r="F6">
        <v>83</v>
      </c>
      <c r="G6">
        <v>97</v>
      </c>
      <c r="H6">
        <v>21</v>
      </c>
      <c r="I6">
        <v>2963</v>
      </c>
      <c r="J6" t="s">
        <v>245</v>
      </c>
      <c r="K6">
        <v>10000</v>
      </c>
      <c r="L6" t="s">
        <v>228</v>
      </c>
      <c r="M6" t="s">
        <v>228</v>
      </c>
      <c r="N6">
        <v>-274</v>
      </c>
      <c r="O6">
        <v>8930</v>
      </c>
      <c r="P6">
        <v>9</v>
      </c>
      <c r="Q6">
        <v>11</v>
      </c>
      <c r="R6">
        <v>5</v>
      </c>
      <c r="S6">
        <v>7</v>
      </c>
      <c r="T6">
        <v>10</v>
      </c>
      <c r="U6">
        <v>9</v>
      </c>
      <c r="V6">
        <v>10</v>
      </c>
      <c r="W6">
        <v>6</v>
      </c>
      <c r="X6">
        <v>9</v>
      </c>
      <c r="Y6">
        <v>14</v>
      </c>
      <c r="Z6">
        <v>10</v>
      </c>
      <c r="AA6">
        <v>13</v>
      </c>
      <c r="AB6">
        <v>10</v>
      </c>
      <c r="AC6">
        <v>10</v>
      </c>
      <c r="AD6">
        <v>11</v>
      </c>
      <c r="AE6" t="s">
        <v>246</v>
      </c>
      <c r="AF6">
        <v>4</v>
      </c>
      <c r="AG6">
        <v>20</v>
      </c>
      <c r="AH6">
        <v>10</v>
      </c>
      <c r="AI6">
        <v>12</v>
      </c>
      <c r="AJ6">
        <v>8</v>
      </c>
      <c r="AK6">
        <v>10</v>
      </c>
      <c r="AL6">
        <v>9</v>
      </c>
      <c r="AM6">
        <v>2</v>
      </c>
      <c r="AN6">
        <v>2</v>
      </c>
      <c r="AO6">
        <v>1</v>
      </c>
      <c r="AP6">
        <v>2</v>
      </c>
      <c r="AQ6">
        <v>2</v>
      </c>
      <c r="AR6">
        <v>4</v>
      </c>
      <c r="AS6">
        <v>1</v>
      </c>
      <c r="AT6">
        <v>1</v>
      </c>
      <c r="AU6">
        <v>1</v>
      </c>
      <c r="AV6">
        <v>1</v>
      </c>
      <c r="AW6">
        <v>3</v>
      </c>
      <c r="AX6">
        <v>15</v>
      </c>
      <c r="AY6">
        <v>9</v>
      </c>
      <c r="AZ6">
        <v>9</v>
      </c>
      <c r="BA6">
        <v>7</v>
      </c>
      <c r="BB6">
        <v>11</v>
      </c>
      <c r="BC6">
        <v>13</v>
      </c>
      <c r="BD6">
        <v>15</v>
      </c>
      <c r="BE6">
        <v>8</v>
      </c>
      <c r="BF6">
        <v>12</v>
      </c>
      <c r="BG6">
        <v>8</v>
      </c>
      <c r="BH6">
        <v>10</v>
      </c>
      <c r="BI6">
        <v>11</v>
      </c>
      <c r="BJ6">
        <v>8</v>
      </c>
      <c r="BK6">
        <v>14</v>
      </c>
      <c r="BL6">
        <v>5</v>
      </c>
      <c r="BM6">
        <v>3</v>
      </c>
      <c r="BN6">
        <v>7</v>
      </c>
      <c r="BO6">
        <v>7</v>
      </c>
      <c r="BP6">
        <v>13</v>
      </c>
      <c r="BQ6">
        <v>5</v>
      </c>
      <c r="BR6">
        <v>5</v>
      </c>
      <c r="BS6">
        <v>7</v>
      </c>
      <c r="BT6">
        <v>5</v>
      </c>
      <c r="BU6">
        <v>11</v>
      </c>
      <c r="BV6">
        <v>12</v>
      </c>
      <c r="BW6">
        <v>7</v>
      </c>
      <c r="BX6">
        <v>11</v>
      </c>
      <c r="BY6">
        <v>14</v>
      </c>
      <c r="BZ6">
        <v>1</v>
      </c>
      <c r="CA6">
        <v>1</v>
      </c>
      <c r="CB6">
        <v>1</v>
      </c>
      <c r="CC6">
        <v>1</v>
      </c>
      <c r="CD6">
        <v>19</v>
      </c>
      <c r="CE6">
        <v>1</v>
      </c>
      <c r="CF6">
        <v>1</v>
      </c>
      <c r="CG6">
        <v>1</v>
      </c>
      <c r="CH6">
        <v>1</v>
      </c>
      <c r="CJ6" t="s">
        <v>230</v>
      </c>
      <c r="CK6" t="s">
        <v>247</v>
      </c>
      <c r="CL6">
        <v>189</v>
      </c>
      <c r="CM6">
        <v>70</v>
      </c>
      <c r="CN6">
        <v>7</v>
      </c>
    </row>
    <row r="7" spans="1:97" x14ac:dyDescent="0.3">
      <c r="A7">
        <v>37</v>
      </c>
      <c r="C7" t="s">
        <v>248</v>
      </c>
      <c r="D7" t="s">
        <v>249</v>
      </c>
      <c r="E7" t="s">
        <v>76</v>
      </c>
      <c r="F7">
        <v>99</v>
      </c>
      <c r="G7">
        <v>107</v>
      </c>
      <c r="H7">
        <v>22</v>
      </c>
      <c r="I7">
        <v>4741</v>
      </c>
      <c r="J7" t="s">
        <v>250</v>
      </c>
      <c r="K7">
        <v>10000</v>
      </c>
      <c r="L7" t="s">
        <v>228</v>
      </c>
      <c r="M7" t="s">
        <v>228</v>
      </c>
      <c r="N7">
        <v>-218</v>
      </c>
      <c r="O7">
        <v>9389</v>
      </c>
      <c r="P7">
        <v>15</v>
      </c>
      <c r="Q7">
        <v>5</v>
      </c>
      <c r="R7">
        <v>10</v>
      </c>
      <c r="S7">
        <v>5</v>
      </c>
      <c r="T7">
        <v>15</v>
      </c>
      <c r="U7">
        <v>20</v>
      </c>
      <c r="V7">
        <v>12</v>
      </c>
      <c r="W7">
        <v>2</v>
      </c>
      <c r="X7">
        <v>13</v>
      </c>
      <c r="Y7">
        <v>12</v>
      </c>
      <c r="Z7">
        <v>15</v>
      </c>
      <c r="AA7">
        <v>15</v>
      </c>
      <c r="AB7">
        <v>14</v>
      </c>
      <c r="AC7">
        <v>11</v>
      </c>
      <c r="AD7">
        <v>9</v>
      </c>
      <c r="AE7" t="s">
        <v>239</v>
      </c>
      <c r="AF7">
        <v>15</v>
      </c>
      <c r="AG7">
        <v>20</v>
      </c>
      <c r="AH7">
        <v>15</v>
      </c>
      <c r="AI7">
        <v>11</v>
      </c>
      <c r="AJ7">
        <v>10</v>
      </c>
      <c r="AK7">
        <v>11</v>
      </c>
      <c r="AL7">
        <v>13</v>
      </c>
      <c r="AM7">
        <v>2</v>
      </c>
      <c r="AN7">
        <v>2</v>
      </c>
      <c r="AO7">
        <v>2</v>
      </c>
      <c r="AP7">
        <v>3</v>
      </c>
      <c r="AQ7">
        <v>1</v>
      </c>
      <c r="AR7">
        <v>1</v>
      </c>
      <c r="AS7">
        <v>4</v>
      </c>
      <c r="AT7">
        <v>3</v>
      </c>
      <c r="AU7">
        <v>1</v>
      </c>
      <c r="AV7">
        <v>2</v>
      </c>
      <c r="AW7">
        <v>3</v>
      </c>
      <c r="AX7">
        <v>15</v>
      </c>
      <c r="AY7">
        <v>11</v>
      </c>
      <c r="AZ7">
        <v>9</v>
      </c>
      <c r="BA7">
        <v>9</v>
      </c>
      <c r="BB7">
        <v>11</v>
      </c>
      <c r="BC7">
        <v>12</v>
      </c>
      <c r="BD7">
        <v>5</v>
      </c>
      <c r="BE7">
        <v>6</v>
      </c>
      <c r="BF7">
        <v>12</v>
      </c>
      <c r="BG7">
        <v>12</v>
      </c>
      <c r="BH7">
        <v>11</v>
      </c>
      <c r="BI7">
        <v>14</v>
      </c>
      <c r="BJ7">
        <v>12</v>
      </c>
      <c r="BK7">
        <v>14</v>
      </c>
      <c r="BL7">
        <v>10</v>
      </c>
      <c r="BM7">
        <v>9</v>
      </c>
      <c r="BN7">
        <v>8</v>
      </c>
      <c r="BO7">
        <v>10</v>
      </c>
      <c r="BP7">
        <v>11</v>
      </c>
      <c r="BQ7">
        <v>12</v>
      </c>
      <c r="BR7">
        <v>8</v>
      </c>
      <c r="BS7">
        <v>11</v>
      </c>
      <c r="BT7">
        <v>5</v>
      </c>
      <c r="BU7">
        <v>8</v>
      </c>
      <c r="BV7">
        <v>12</v>
      </c>
      <c r="BW7">
        <v>10</v>
      </c>
      <c r="BX7">
        <v>10</v>
      </c>
      <c r="BY7">
        <v>12</v>
      </c>
      <c r="BZ7">
        <v>1</v>
      </c>
      <c r="CA7">
        <v>1</v>
      </c>
      <c r="CB7">
        <v>13</v>
      </c>
      <c r="CC7">
        <v>15</v>
      </c>
      <c r="CD7">
        <v>20</v>
      </c>
      <c r="CE7">
        <v>1</v>
      </c>
      <c r="CF7">
        <v>1</v>
      </c>
      <c r="CG7">
        <v>1</v>
      </c>
      <c r="CH7">
        <v>1</v>
      </c>
      <c r="CJ7" t="s">
        <v>230</v>
      </c>
      <c r="CK7" t="s">
        <v>251</v>
      </c>
      <c r="CL7">
        <v>331</v>
      </c>
      <c r="CM7">
        <v>199</v>
      </c>
      <c r="CN7">
        <v>19</v>
      </c>
    </row>
    <row r="8" spans="1:97" x14ac:dyDescent="0.3">
      <c r="A8">
        <v>25</v>
      </c>
      <c r="C8" t="s">
        <v>100</v>
      </c>
      <c r="D8" t="s">
        <v>102</v>
      </c>
      <c r="E8" t="s">
        <v>237</v>
      </c>
      <c r="F8">
        <v>120</v>
      </c>
      <c r="G8">
        <v>149</v>
      </c>
      <c r="H8">
        <v>19</v>
      </c>
      <c r="I8">
        <v>3613</v>
      </c>
      <c r="J8" t="s">
        <v>242</v>
      </c>
      <c r="K8">
        <v>9060</v>
      </c>
      <c r="L8" t="s">
        <v>228</v>
      </c>
      <c r="M8" t="s">
        <v>228</v>
      </c>
      <c r="N8">
        <v>-35</v>
      </c>
      <c r="O8">
        <v>9500</v>
      </c>
      <c r="P8">
        <v>10</v>
      </c>
      <c r="Q8">
        <v>14</v>
      </c>
      <c r="R8">
        <v>15</v>
      </c>
      <c r="S8">
        <v>4</v>
      </c>
      <c r="T8">
        <v>14</v>
      </c>
      <c r="U8">
        <v>11</v>
      </c>
      <c r="V8">
        <v>16</v>
      </c>
      <c r="W8">
        <v>16</v>
      </c>
      <c r="X8">
        <v>12</v>
      </c>
      <c r="Y8">
        <v>16</v>
      </c>
      <c r="Z8">
        <v>13</v>
      </c>
      <c r="AA8">
        <v>4</v>
      </c>
      <c r="AB8">
        <v>7</v>
      </c>
      <c r="AC8">
        <v>16</v>
      </c>
      <c r="AD8">
        <v>17</v>
      </c>
      <c r="AE8" t="s">
        <v>252</v>
      </c>
      <c r="AF8">
        <v>9</v>
      </c>
      <c r="AG8">
        <v>20</v>
      </c>
      <c r="AH8">
        <v>6</v>
      </c>
      <c r="AI8">
        <v>15</v>
      </c>
      <c r="AJ8">
        <v>11</v>
      </c>
      <c r="AK8">
        <v>16</v>
      </c>
      <c r="AL8">
        <v>7</v>
      </c>
      <c r="AM8">
        <v>3</v>
      </c>
      <c r="AN8">
        <v>1</v>
      </c>
      <c r="AO8">
        <v>1</v>
      </c>
      <c r="AP8">
        <v>2</v>
      </c>
      <c r="AQ8">
        <v>1</v>
      </c>
      <c r="AR8">
        <v>1</v>
      </c>
      <c r="AS8">
        <v>1</v>
      </c>
      <c r="AT8">
        <v>2</v>
      </c>
      <c r="AU8">
        <v>3</v>
      </c>
      <c r="AV8">
        <v>1</v>
      </c>
      <c r="AW8">
        <v>1</v>
      </c>
      <c r="AX8">
        <v>7</v>
      </c>
      <c r="AY8">
        <v>11</v>
      </c>
      <c r="AZ8">
        <v>11</v>
      </c>
      <c r="BA8">
        <v>11</v>
      </c>
      <c r="BB8">
        <v>4</v>
      </c>
      <c r="BC8">
        <v>11</v>
      </c>
      <c r="BD8">
        <v>18</v>
      </c>
      <c r="BE8">
        <v>12</v>
      </c>
      <c r="BF8">
        <v>9</v>
      </c>
      <c r="BG8">
        <v>11</v>
      </c>
      <c r="BH8">
        <v>3</v>
      </c>
      <c r="BI8">
        <v>6</v>
      </c>
      <c r="BJ8">
        <v>13</v>
      </c>
      <c r="BK8">
        <v>12</v>
      </c>
      <c r="BL8">
        <v>6</v>
      </c>
      <c r="BM8">
        <v>7</v>
      </c>
      <c r="BN8">
        <v>9</v>
      </c>
      <c r="BO8">
        <v>10</v>
      </c>
      <c r="BP8">
        <v>12</v>
      </c>
      <c r="BQ8">
        <v>6</v>
      </c>
      <c r="BR8">
        <v>4</v>
      </c>
      <c r="BS8">
        <v>6</v>
      </c>
      <c r="BT8">
        <v>3</v>
      </c>
      <c r="BU8">
        <v>9</v>
      </c>
      <c r="BV8">
        <v>10</v>
      </c>
      <c r="BW8">
        <v>8</v>
      </c>
      <c r="BX8">
        <v>3</v>
      </c>
      <c r="BY8">
        <v>13</v>
      </c>
      <c r="BZ8">
        <v>1</v>
      </c>
      <c r="CA8">
        <v>1</v>
      </c>
      <c r="CB8">
        <v>1</v>
      </c>
      <c r="CC8">
        <v>1</v>
      </c>
      <c r="CD8">
        <v>1</v>
      </c>
      <c r="CE8">
        <v>1</v>
      </c>
      <c r="CF8">
        <v>10</v>
      </c>
      <c r="CG8">
        <v>20</v>
      </c>
      <c r="CH8">
        <v>4</v>
      </c>
      <c r="CJ8" t="s">
        <v>230</v>
      </c>
      <c r="CK8" t="s">
        <v>253</v>
      </c>
      <c r="CL8">
        <v>111</v>
      </c>
      <c r="CM8">
        <v>64</v>
      </c>
      <c r="CN8">
        <v>31</v>
      </c>
    </row>
    <row r="9" spans="1:97" x14ac:dyDescent="0.3">
      <c r="A9">
        <v>8</v>
      </c>
      <c r="C9" t="s">
        <v>254</v>
      </c>
      <c r="D9" t="s">
        <v>255</v>
      </c>
      <c r="E9" t="s">
        <v>256</v>
      </c>
      <c r="F9">
        <v>121</v>
      </c>
      <c r="G9">
        <v>140</v>
      </c>
      <c r="H9">
        <v>34</v>
      </c>
      <c r="I9">
        <v>5938</v>
      </c>
      <c r="J9" t="s">
        <v>257</v>
      </c>
      <c r="K9">
        <v>9041</v>
      </c>
      <c r="L9" t="s">
        <v>228</v>
      </c>
      <c r="M9" t="s">
        <v>228</v>
      </c>
      <c r="N9">
        <v>256</v>
      </c>
      <c r="O9">
        <v>10000</v>
      </c>
      <c r="P9">
        <v>20</v>
      </c>
      <c r="Q9">
        <v>1</v>
      </c>
      <c r="R9">
        <v>20</v>
      </c>
      <c r="S9">
        <v>1</v>
      </c>
      <c r="T9">
        <v>20</v>
      </c>
      <c r="U9">
        <v>20</v>
      </c>
      <c r="V9">
        <v>12</v>
      </c>
      <c r="W9">
        <v>1</v>
      </c>
      <c r="X9">
        <v>20</v>
      </c>
      <c r="Y9">
        <v>20</v>
      </c>
      <c r="Z9">
        <v>20</v>
      </c>
      <c r="AA9">
        <v>20</v>
      </c>
      <c r="AB9">
        <v>20</v>
      </c>
      <c r="AC9">
        <v>13</v>
      </c>
      <c r="AD9">
        <v>12</v>
      </c>
      <c r="AE9" t="s">
        <v>229</v>
      </c>
      <c r="AF9">
        <v>14</v>
      </c>
      <c r="AG9">
        <v>20</v>
      </c>
      <c r="AH9">
        <v>20</v>
      </c>
      <c r="AI9">
        <v>11</v>
      </c>
      <c r="AJ9">
        <v>20</v>
      </c>
      <c r="AK9">
        <v>14</v>
      </c>
      <c r="AL9">
        <v>14</v>
      </c>
      <c r="AM9">
        <v>2</v>
      </c>
      <c r="AN9">
        <v>2</v>
      </c>
      <c r="AO9">
        <v>3</v>
      </c>
      <c r="AP9">
        <v>1</v>
      </c>
      <c r="AQ9">
        <v>2</v>
      </c>
      <c r="AR9">
        <v>3</v>
      </c>
      <c r="AS9">
        <v>3</v>
      </c>
      <c r="AT9">
        <v>4</v>
      </c>
      <c r="AU9">
        <v>1</v>
      </c>
      <c r="AV9">
        <v>2</v>
      </c>
      <c r="AW9">
        <v>4</v>
      </c>
      <c r="AX9">
        <v>12</v>
      </c>
      <c r="AY9">
        <v>9</v>
      </c>
      <c r="AZ9">
        <v>14</v>
      </c>
      <c r="BA9">
        <v>10</v>
      </c>
      <c r="BB9">
        <v>10</v>
      </c>
      <c r="BC9">
        <v>10</v>
      </c>
      <c r="BD9">
        <v>20</v>
      </c>
      <c r="BE9">
        <v>12</v>
      </c>
      <c r="BF9">
        <v>20</v>
      </c>
      <c r="BG9">
        <v>10</v>
      </c>
      <c r="BH9">
        <v>13</v>
      </c>
      <c r="BI9">
        <v>20</v>
      </c>
      <c r="BJ9">
        <v>7</v>
      </c>
      <c r="BK9">
        <v>14</v>
      </c>
      <c r="BL9">
        <v>4</v>
      </c>
      <c r="BM9">
        <v>9</v>
      </c>
      <c r="BN9">
        <v>11</v>
      </c>
      <c r="BO9">
        <v>4</v>
      </c>
      <c r="BP9">
        <v>8</v>
      </c>
      <c r="BQ9">
        <v>3</v>
      </c>
      <c r="BR9">
        <v>12</v>
      </c>
      <c r="BS9">
        <v>4</v>
      </c>
      <c r="BT9">
        <v>10</v>
      </c>
      <c r="BU9">
        <v>11</v>
      </c>
      <c r="BV9">
        <v>9</v>
      </c>
      <c r="BW9">
        <v>4</v>
      </c>
      <c r="BX9">
        <v>12</v>
      </c>
      <c r="BY9">
        <v>9</v>
      </c>
      <c r="BZ9">
        <v>1</v>
      </c>
      <c r="CA9">
        <v>20</v>
      </c>
      <c r="CB9">
        <v>20</v>
      </c>
      <c r="CC9">
        <v>20</v>
      </c>
      <c r="CD9">
        <v>1</v>
      </c>
      <c r="CE9">
        <v>1</v>
      </c>
      <c r="CF9">
        <v>1</v>
      </c>
      <c r="CG9">
        <v>1</v>
      </c>
      <c r="CH9">
        <v>1</v>
      </c>
      <c r="CJ9" t="s">
        <v>230</v>
      </c>
      <c r="CK9" t="s">
        <v>258</v>
      </c>
      <c r="CL9">
        <v>1046</v>
      </c>
      <c r="CM9">
        <v>713</v>
      </c>
      <c r="CN9">
        <v>127</v>
      </c>
    </row>
    <row r="10" spans="1:97" x14ac:dyDescent="0.3">
      <c r="A10">
        <v>28</v>
      </c>
      <c r="C10" t="s">
        <v>259</v>
      </c>
      <c r="D10" t="s">
        <v>260</v>
      </c>
      <c r="E10" t="s">
        <v>261</v>
      </c>
      <c r="F10">
        <v>96</v>
      </c>
      <c r="G10">
        <v>114</v>
      </c>
      <c r="H10">
        <v>21</v>
      </c>
      <c r="I10">
        <v>4033</v>
      </c>
      <c r="J10" t="s">
        <v>262</v>
      </c>
      <c r="K10">
        <v>9324</v>
      </c>
      <c r="L10" t="s">
        <v>228</v>
      </c>
      <c r="M10" t="s">
        <v>228</v>
      </c>
      <c r="N10">
        <v>-126</v>
      </c>
      <c r="O10">
        <v>10000</v>
      </c>
      <c r="P10">
        <v>8</v>
      </c>
      <c r="Q10">
        <v>7</v>
      </c>
      <c r="R10">
        <v>7</v>
      </c>
      <c r="S10">
        <v>13</v>
      </c>
      <c r="T10">
        <v>11</v>
      </c>
      <c r="U10">
        <v>10</v>
      </c>
      <c r="V10">
        <v>11</v>
      </c>
      <c r="W10">
        <v>9</v>
      </c>
      <c r="X10">
        <v>11</v>
      </c>
      <c r="Y10">
        <v>11</v>
      </c>
      <c r="Z10">
        <v>12</v>
      </c>
      <c r="AA10">
        <v>10</v>
      </c>
      <c r="AB10">
        <v>11</v>
      </c>
      <c r="AC10">
        <v>14</v>
      </c>
      <c r="AD10">
        <v>12</v>
      </c>
      <c r="AE10" t="s">
        <v>263</v>
      </c>
      <c r="AF10">
        <v>13</v>
      </c>
      <c r="AG10">
        <v>20</v>
      </c>
      <c r="AH10">
        <v>12</v>
      </c>
      <c r="AI10">
        <v>16</v>
      </c>
      <c r="AJ10">
        <v>12</v>
      </c>
      <c r="AK10">
        <v>9</v>
      </c>
      <c r="AL10">
        <v>7</v>
      </c>
      <c r="AM10">
        <v>1</v>
      </c>
      <c r="AN10">
        <v>1</v>
      </c>
      <c r="AO10">
        <v>1</v>
      </c>
      <c r="AP10">
        <v>3</v>
      </c>
      <c r="AQ10">
        <v>1</v>
      </c>
      <c r="AR10">
        <v>1</v>
      </c>
      <c r="AS10">
        <v>4</v>
      </c>
      <c r="AT10">
        <v>1</v>
      </c>
      <c r="AU10">
        <v>2</v>
      </c>
      <c r="AV10">
        <v>3</v>
      </c>
      <c r="AW10">
        <v>3</v>
      </c>
      <c r="AX10">
        <v>10</v>
      </c>
      <c r="AY10">
        <v>10</v>
      </c>
      <c r="AZ10">
        <v>6</v>
      </c>
      <c r="BA10">
        <v>8</v>
      </c>
      <c r="BB10">
        <v>9</v>
      </c>
      <c r="BC10">
        <v>9</v>
      </c>
      <c r="BD10">
        <v>16</v>
      </c>
      <c r="BE10">
        <v>10</v>
      </c>
      <c r="BF10">
        <v>8</v>
      </c>
      <c r="BG10">
        <v>10</v>
      </c>
      <c r="BH10">
        <v>6</v>
      </c>
      <c r="BI10">
        <v>8</v>
      </c>
      <c r="BJ10">
        <v>12</v>
      </c>
      <c r="BK10">
        <v>9</v>
      </c>
      <c r="BL10">
        <v>4</v>
      </c>
      <c r="BM10">
        <v>8</v>
      </c>
      <c r="BN10">
        <v>9</v>
      </c>
      <c r="BO10">
        <v>13</v>
      </c>
      <c r="BP10">
        <v>11</v>
      </c>
      <c r="BQ10">
        <v>4</v>
      </c>
      <c r="BR10">
        <v>6</v>
      </c>
      <c r="BS10">
        <v>8</v>
      </c>
      <c r="BT10">
        <v>4</v>
      </c>
      <c r="BU10">
        <v>7</v>
      </c>
      <c r="BV10">
        <v>10</v>
      </c>
      <c r="BW10">
        <v>4</v>
      </c>
      <c r="BX10">
        <v>4</v>
      </c>
      <c r="BY10">
        <v>10</v>
      </c>
      <c r="BZ10">
        <v>1</v>
      </c>
      <c r="CA10">
        <v>1</v>
      </c>
      <c r="CB10">
        <v>1</v>
      </c>
      <c r="CC10">
        <v>1</v>
      </c>
      <c r="CD10">
        <v>1</v>
      </c>
      <c r="CE10">
        <v>1</v>
      </c>
      <c r="CF10">
        <v>20</v>
      </c>
      <c r="CG10">
        <v>18</v>
      </c>
      <c r="CH10">
        <v>1</v>
      </c>
      <c r="CJ10" t="s">
        <v>230</v>
      </c>
      <c r="CK10" t="s">
        <v>264</v>
      </c>
      <c r="CL10">
        <v>340</v>
      </c>
      <c r="CM10">
        <v>216</v>
      </c>
      <c r="CN10">
        <v>7</v>
      </c>
    </row>
    <row r="11" spans="1:97" x14ac:dyDescent="0.3">
      <c r="A11">
        <v>5</v>
      </c>
      <c r="C11" t="s">
        <v>265</v>
      </c>
      <c r="D11" t="s">
        <v>112</v>
      </c>
      <c r="E11" t="s">
        <v>76</v>
      </c>
      <c r="F11">
        <v>111</v>
      </c>
      <c r="G11">
        <v>131</v>
      </c>
      <c r="H11">
        <v>23</v>
      </c>
      <c r="I11">
        <v>5412</v>
      </c>
      <c r="J11" t="s">
        <v>266</v>
      </c>
      <c r="K11">
        <v>9115</v>
      </c>
      <c r="L11" t="s">
        <v>228</v>
      </c>
      <c r="M11" t="s">
        <v>228</v>
      </c>
      <c r="N11">
        <v>-1</v>
      </c>
      <c r="O11">
        <v>10000</v>
      </c>
      <c r="P11">
        <v>16</v>
      </c>
      <c r="Q11">
        <v>11</v>
      </c>
      <c r="R11">
        <v>3</v>
      </c>
      <c r="S11">
        <v>5</v>
      </c>
      <c r="T11">
        <v>13</v>
      </c>
      <c r="U11">
        <v>10</v>
      </c>
      <c r="V11">
        <v>10</v>
      </c>
      <c r="W11">
        <v>10</v>
      </c>
      <c r="X11">
        <v>10</v>
      </c>
      <c r="Y11">
        <v>10</v>
      </c>
      <c r="Z11">
        <v>15</v>
      </c>
      <c r="AA11">
        <v>10</v>
      </c>
      <c r="AB11">
        <v>10</v>
      </c>
      <c r="AC11">
        <v>11</v>
      </c>
      <c r="AD11">
        <v>11</v>
      </c>
      <c r="AE11" t="s">
        <v>239</v>
      </c>
      <c r="AF11">
        <v>13</v>
      </c>
      <c r="AG11">
        <v>8</v>
      </c>
      <c r="AH11">
        <v>12</v>
      </c>
      <c r="AI11">
        <v>13</v>
      </c>
      <c r="AJ11">
        <v>20</v>
      </c>
      <c r="AK11">
        <v>12</v>
      </c>
      <c r="AL11">
        <v>12</v>
      </c>
      <c r="AM11">
        <v>3</v>
      </c>
      <c r="AN11">
        <v>2</v>
      </c>
      <c r="AO11">
        <v>1</v>
      </c>
      <c r="AP11">
        <v>4</v>
      </c>
      <c r="AQ11">
        <v>2</v>
      </c>
      <c r="AR11">
        <v>2</v>
      </c>
      <c r="AS11">
        <v>3</v>
      </c>
      <c r="AT11">
        <v>2</v>
      </c>
      <c r="AU11">
        <v>2</v>
      </c>
      <c r="AV11">
        <v>1</v>
      </c>
      <c r="AW11">
        <v>3</v>
      </c>
      <c r="AX11">
        <v>15</v>
      </c>
      <c r="AY11">
        <v>13</v>
      </c>
      <c r="AZ11">
        <v>12</v>
      </c>
      <c r="BA11">
        <v>13</v>
      </c>
      <c r="BB11">
        <v>11</v>
      </c>
      <c r="BC11">
        <v>15</v>
      </c>
      <c r="BD11">
        <v>12</v>
      </c>
      <c r="BE11">
        <v>6</v>
      </c>
      <c r="BF11">
        <v>13</v>
      </c>
      <c r="BG11">
        <v>10</v>
      </c>
      <c r="BH11">
        <v>12</v>
      </c>
      <c r="BI11">
        <v>12</v>
      </c>
      <c r="BJ11">
        <v>9</v>
      </c>
      <c r="BK11">
        <v>10</v>
      </c>
      <c r="BL11">
        <v>4</v>
      </c>
      <c r="BM11">
        <v>5</v>
      </c>
      <c r="BN11">
        <v>5</v>
      </c>
      <c r="BO11">
        <v>5</v>
      </c>
      <c r="BP11">
        <v>10</v>
      </c>
      <c r="BQ11">
        <v>3</v>
      </c>
      <c r="BR11">
        <v>11</v>
      </c>
      <c r="BS11">
        <v>5</v>
      </c>
      <c r="BT11">
        <v>4</v>
      </c>
      <c r="BU11">
        <v>12</v>
      </c>
      <c r="BV11">
        <v>12</v>
      </c>
      <c r="BW11">
        <v>1</v>
      </c>
      <c r="BX11">
        <v>12</v>
      </c>
      <c r="BY11">
        <v>5</v>
      </c>
      <c r="BZ11">
        <v>1</v>
      </c>
      <c r="CA11">
        <v>1</v>
      </c>
      <c r="CB11">
        <v>20</v>
      </c>
      <c r="CC11">
        <v>1</v>
      </c>
      <c r="CD11">
        <v>1</v>
      </c>
      <c r="CE11">
        <v>1</v>
      </c>
      <c r="CF11">
        <v>1</v>
      </c>
      <c r="CG11">
        <v>1</v>
      </c>
      <c r="CH11">
        <v>1</v>
      </c>
      <c r="CI11" t="s">
        <v>71</v>
      </c>
      <c r="CJ11" t="s">
        <v>230</v>
      </c>
      <c r="CK11" t="s">
        <v>267</v>
      </c>
      <c r="CL11">
        <v>7667</v>
      </c>
      <c r="CM11">
        <v>11315</v>
      </c>
      <c r="CN11">
        <v>19</v>
      </c>
    </row>
    <row r="12" spans="1:97" x14ac:dyDescent="0.3">
      <c r="A12">
        <v>24</v>
      </c>
      <c r="C12" t="s">
        <v>268</v>
      </c>
      <c r="D12" t="s">
        <v>269</v>
      </c>
      <c r="E12" t="s">
        <v>270</v>
      </c>
      <c r="F12">
        <v>103</v>
      </c>
      <c r="G12">
        <v>140</v>
      </c>
      <c r="H12">
        <v>18</v>
      </c>
      <c r="I12">
        <v>2499</v>
      </c>
      <c r="J12" t="s">
        <v>227</v>
      </c>
      <c r="K12">
        <v>9781</v>
      </c>
      <c r="L12" t="s">
        <v>228</v>
      </c>
      <c r="M12" t="s">
        <v>228</v>
      </c>
      <c r="N12">
        <v>-29</v>
      </c>
      <c r="O12">
        <v>10000</v>
      </c>
      <c r="P12">
        <v>11</v>
      </c>
      <c r="Q12">
        <v>8</v>
      </c>
      <c r="R12">
        <v>11</v>
      </c>
      <c r="S12">
        <v>2</v>
      </c>
      <c r="T12">
        <v>10</v>
      </c>
      <c r="U12">
        <v>8</v>
      </c>
      <c r="V12">
        <v>12</v>
      </c>
      <c r="W12">
        <v>7</v>
      </c>
      <c r="X12">
        <v>14</v>
      </c>
      <c r="Y12">
        <v>13</v>
      </c>
      <c r="Z12">
        <v>15</v>
      </c>
      <c r="AA12">
        <v>12</v>
      </c>
      <c r="AB12">
        <v>19</v>
      </c>
      <c r="AC12">
        <v>16</v>
      </c>
      <c r="AD12">
        <v>13</v>
      </c>
      <c r="AE12" t="s">
        <v>271</v>
      </c>
      <c r="AF12">
        <v>7</v>
      </c>
      <c r="AG12">
        <v>16</v>
      </c>
      <c r="AH12">
        <v>12</v>
      </c>
      <c r="AI12">
        <v>11</v>
      </c>
      <c r="AJ12">
        <v>20</v>
      </c>
      <c r="AK12">
        <v>10</v>
      </c>
      <c r="AL12">
        <v>11</v>
      </c>
      <c r="AM12">
        <v>1</v>
      </c>
      <c r="AN12">
        <v>1</v>
      </c>
      <c r="AO12">
        <v>4</v>
      </c>
      <c r="AP12">
        <v>1</v>
      </c>
      <c r="AQ12">
        <v>1</v>
      </c>
      <c r="AR12">
        <v>3</v>
      </c>
      <c r="AS12">
        <v>1</v>
      </c>
      <c r="AT12">
        <v>2</v>
      </c>
      <c r="AU12">
        <v>2</v>
      </c>
      <c r="AV12">
        <v>1</v>
      </c>
      <c r="AW12">
        <v>1</v>
      </c>
      <c r="AX12">
        <v>9</v>
      </c>
      <c r="AY12">
        <v>11</v>
      </c>
      <c r="AZ12">
        <v>5</v>
      </c>
      <c r="BA12">
        <v>9</v>
      </c>
      <c r="BB12">
        <v>4</v>
      </c>
      <c r="BC12">
        <v>9</v>
      </c>
      <c r="BD12">
        <v>14</v>
      </c>
      <c r="BE12">
        <v>14</v>
      </c>
      <c r="BF12">
        <v>13</v>
      </c>
      <c r="BG12">
        <v>13</v>
      </c>
      <c r="BH12">
        <v>4</v>
      </c>
      <c r="BI12">
        <v>8</v>
      </c>
      <c r="BJ12">
        <v>10</v>
      </c>
      <c r="BK12">
        <v>7</v>
      </c>
      <c r="BL12">
        <v>7</v>
      </c>
      <c r="BM12">
        <v>6</v>
      </c>
      <c r="BN12">
        <v>10</v>
      </c>
      <c r="BO12">
        <v>8</v>
      </c>
      <c r="BP12">
        <v>11</v>
      </c>
      <c r="BQ12">
        <v>4</v>
      </c>
      <c r="BR12">
        <v>15</v>
      </c>
      <c r="BS12">
        <v>9</v>
      </c>
      <c r="BT12">
        <v>3</v>
      </c>
      <c r="BU12">
        <v>2</v>
      </c>
      <c r="BV12">
        <v>10</v>
      </c>
      <c r="BW12">
        <v>8</v>
      </c>
      <c r="BX12">
        <v>3</v>
      </c>
      <c r="BY12">
        <v>14</v>
      </c>
      <c r="BZ12">
        <v>1</v>
      </c>
      <c r="CA12">
        <v>1</v>
      </c>
      <c r="CB12">
        <v>1</v>
      </c>
      <c r="CC12">
        <v>1</v>
      </c>
      <c r="CD12">
        <v>1</v>
      </c>
      <c r="CE12">
        <v>1</v>
      </c>
      <c r="CF12">
        <v>1</v>
      </c>
      <c r="CG12">
        <v>16</v>
      </c>
      <c r="CH12">
        <v>20</v>
      </c>
      <c r="CJ12" t="s">
        <v>230</v>
      </c>
      <c r="CK12" t="s">
        <v>272</v>
      </c>
      <c r="CL12">
        <v>100</v>
      </c>
      <c r="CM12">
        <v>41</v>
      </c>
      <c r="CN12">
        <v>19</v>
      </c>
    </row>
    <row r="13" spans="1:97" x14ac:dyDescent="0.3">
      <c r="A13">
        <v>16</v>
      </c>
      <c r="C13" t="s">
        <v>273</v>
      </c>
      <c r="D13" t="s">
        <v>112</v>
      </c>
      <c r="E13" t="s">
        <v>70</v>
      </c>
      <c r="F13">
        <v>99</v>
      </c>
      <c r="G13">
        <v>137</v>
      </c>
      <c r="H13">
        <v>31</v>
      </c>
      <c r="I13">
        <v>5186</v>
      </c>
      <c r="J13" t="s">
        <v>274</v>
      </c>
      <c r="K13">
        <v>9489</v>
      </c>
      <c r="L13" t="s">
        <v>228</v>
      </c>
      <c r="M13" t="s">
        <v>228</v>
      </c>
      <c r="N13">
        <v>-71</v>
      </c>
      <c r="O13">
        <v>9600</v>
      </c>
      <c r="P13">
        <v>15</v>
      </c>
      <c r="Q13">
        <v>10</v>
      </c>
      <c r="R13">
        <v>12</v>
      </c>
      <c r="S13">
        <v>7</v>
      </c>
      <c r="T13">
        <v>15</v>
      </c>
      <c r="U13">
        <v>12</v>
      </c>
      <c r="V13">
        <v>14</v>
      </c>
      <c r="W13">
        <v>6</v>
      </c>
      <c r="X13">
        <v>14</v>
      </c>
      <c r="Y13">
        <v>14</v>
      </c>
      <c r="Z13">
        <v>14</v>
      </c>
      <c r="AA13">
        <v>12</v>
      </c>
      <c r="AB13">
        <v>14</v>
      </c>
      <c r="AC13">
        <v>10</v>
      </c>
      <c r="AD13">
        <v>9</v>
      </c>
      <c r="AE13" t="s">
        <v>246</v>
      </c>
      <c r="AF13">
        <v>11</v>
      </c>
      <c r="AG13">
        <v>20</v>
      </c>
      <c r="AH13">
        <v>10</v>
      </c>
      <c r="AI13">
        <v>13</v>
      </c>
      <c r="AJ13">
        <v>10</v>
      </c>
      <c r="AK13">
        <v>13</v>
      </c>
      <c r="AL13">
        <v>14</v>
      </c>
      <c r="AM13">
        <v>2</v>
      </c>
      <c r="AN13">
        <v>3</v>
      </c>
      <c r="AO13">
        <v>1</v>
      </c>
      <c r="AP13">
        <v>1</v>
      </c>
      <c r="AQ13">
        <v>3</v>
      </c>
      <c r="AR13">
        <v>1</v>
      </c>
      <c r="AS13">
        <v>2</v>
      </c>
      <c r="AT13">
        <v>3</v>
      </c>
      <c r="AU13">
        <v>1</v>
      </c>
      <c r="AV13">
        <v>3</v>
      </c>
      <c r="AW13">
        <v>3</v>
      </c>
      <c r="AX13">
        <v>13</v>
      </c>
      <c r="AY13">
        <v>13</v>
      </c>
      <c r="AZ13">
        <v>14</v>
      </c>
      <c r="BA13">
        <v>12</v>
      </c>
      <c r="BB13">
        <v>11</v>
      </c>
      <c r="BC13">
        <v>11</v>
      </c>
      <c r="BD13">
        <v>14</v>
      </c>
      <c r="BE13">
        <v>5</v>
      </c>
      <c r="BF13">
        <v>13</v>
      </c>
      <c r="BG13">
        <v>11</v>
      </c>
      <c r="BH13">
        <v>12</v>
      </c>
      <c r="BI13">
        <v>13</v>
      </c>
      <c r="BJ13">
        <v>10</v>
      </c>
      <c r="BK13">
        <v>10</v>
      </c>
      <c r="BL13">
        <v>4</v>
      </c>
      <c r="BM13">
        <v>5</v>
      </c>
      <c r="BN13">
        <v>6</v>
      </c>
      <c r="BO13">
        <v>5</v>
      </c>
      <c r="BP13">
        <v>9</v>
      </c>
      <c r="BQ13">
        <v>4</v>
      </c>
      <c r="BR13">
        <v>11</v>
      </c>
      <c r="BS13">
        <v>4</v>
      </c>
      <c r="BT13">
        <v>4</v>
      </c>
      <c r="BU13">
        <v>13</v>
      </c>
      <c r="BV13">
        <v>8</v>
      </c>
      <c r="BW13">
        <v>4</v>
      </c>
      <c r="BX13">
        <v>13</v>
      </c>
      <c r="BY13">
        <v>11</v>
      </c>
      <c r="BZ13">
        <v>1</v>
      </c>
      <c r="CA13">
        <v>1</v>
      </c>
      <c r="CB13">
        <v>20</v>
      </c>
      <c r="CC13">
        <v>12</v>
      </c>
      <c r="CD13">
        <v>1</v>
      </c>
      <c r="CE13">
        <v>1</v>
      </c>
      <c r="CF13">
        <v>1</v>
      </c>
      <c r="CG13">
        <v>1</v>
      </c>
      <c r="CH13">
        <v>1</v>
      </c>
      <c r="CJ13" t="s">
        <v>230</v>
      </c>
      <c r="CK13" t="s">
        <v>275</v>
      </c>
      <c r="CL13">
        <v>663</v>
      </c>
      <c r="CM13">
        <v>327</v>
      </c>
      <c r="CN13">
        <v>7</v>
      </c>
    </row>
    <row r="14" spans="1:97" x14ac:dyDescent="0.3">
      <c r="A14">
        <v>17</v>
      </c>
      <c r="C14" t="s">
        <v>276</v>
      </c>
      <c r="D14" t="s">
        <v>277</v>
      </c>
      <c r="E14" t="s">
        <v>76</v>
      </c>
      <c r="F14">
        <v>101</v>
      </c>
      <c r="G14">
        <v>124</v>
      </c>
      <c r="H14">
        <v>24</v>
      </c>
      <c r="I14">
        <v>4695</v>
      </c>
      <c r="J14" t="s">
        <v>278</v>
      </c>
      <c r="K14">
        <v>10000</v>
      </c>
      <c r="L14" t="s">
        <v>228</v>
      </c>
      <c r="M14" t="s">
        <v>228</v>
      </c>
      <c r="N14">
        <v>-207</v>
      </c>
      <c r="O14">
        <v>9540</v>
      </c>
      <c r="P14">
        <v>19</v>
      </c>
      <c r="Q14">
        <v>8</v>
      </c>
      <c r="R14">
        <v>7</v>
      </c>
      <c r="S14">
        <v>8</v>
      </c>
      <c r="T14">
        <v>17</v>
      </c>
      <c r="U14">
        <v>10</v>
      </c>
      <c r="V14">
        <v>10</v>
      </c>
      <c r="W14">
        <v>10</v>
      </c>
      <c r="X14">
        <v>10</v>
      </c>
      <c r="Y14">
        <v>10</v>
      </c>
      <c r="Z14">
        <v>10</v>
      </c>
      <c r="AA14">
        <v>10</v>
      </c>
      <c r="AB14">
        <v>10</v>
      </c>
      <c r="AC14">
        <v>13</v>
      </c>
      <c r="AD14">
        <v>9</v>
      </c>
      <c r="AE14" t="s">
        <v>279</v>
      </c>
      <c r="AF14">
        <v>13</v>
      </c>
      <c r="AG14">
        <v>11</v>
      </c>
      <c r="AH14">
        <v>10</v>
      </c>
      <c r="AI14">
        <v>10</v>
      </c>
      <c r="AJ14">
        <v>20</v>
      </c>
      <c r="AK14">
        <v>9</v>
      </c>
      <c r="AL14">
        <v>10</v>
      </c>
      <c r="AM14">
        <v>1</v>
      </c>
      <c r="AN14">
        <v>3</v>
      </c>
      <c r="AO14">
        <v>1</v>
      </c>
      <c r="AP14">
        <v>3</v>
      </c>
      <c r="AQ14">
        <v>3</v>
      </c>
      <c r="AR14">
        <v>3</v>
      </c>
      <c r="AS14">
        <v>3</v>
      </c>
      <c r="AT14">
        <v>1</v>
      </c>
      <c r="AU14">
        <v>4</v>
      </c>
      <c r="AV14">
        <v>1</v>
      </c>
      <c r="AW14">
        <v>3</v>
      </c>
      <c r="AX14">
        <v>15</v>
      </c>
      <c r="AY14">
        <v>14</v>
      </c>
      <c r="AZ14">
        <v>15</v>
      </c>
      <c r="BA14">
        <v>11</v>
      </c>
      <c r="BB14">
        <v>10</v>
      </c>
      <c r="BC14">
        <v>13</v>
      </c>
      <c r="BD14">
        <v>12</v>
      </c>
      <c r="BE14">
        <v>6</v>
      </c>
      <c r="BF14">
        <v>3</v>
      </c>
      <c r="BG14">
        <v>5</v>
      </c>
      <c r="BH14">
        <v>14</v>
      </c>
      <c r="BI14">
        <v>8</v>
      </c>
      <c r="BJ14">
        <v>9</v>
      </c>
      <c r="BK14">
        <v>9</v>
      </c>
      <c r="BL14">
        <v>3</v>
      </c>
      <c r="BM14">
        <v>3</v>
      </c>
      <c r="BN14">
        <v>11</v>
      </c>
      <c r="BO14">
        <v>1</v>
      </c>
      <c r="BP14">
        <v>12</v>
      </c>
      <c r="BQ14">
        <v>1</v>
      </c>
      <c r="BR14">
        <v>11</v>
      </c>
      <c r="BS14">
        <v>2</v>
      </c>
      <c r="BT14">
        <v>5</v>
      </c>
      <c r="BU14">
        <v>14</v>
      </c>
      <c r="BV14">
        <v>6</v>
      </c>
      <c r="BW14">
        <v>2</v>
      </c>
      <c r="BX14">
        <v>12</v>
      </c>
      <c r="BY14">
        <v>7</v>
      </c>
      <c r="BZ14">
        <v>1</v>
      </c>
      <c r="CA14">
        <v>1</v>
      </c>
      <c r="CB14">
        <v>20</v>
      </c>
      <c r="CC14">
        <v>1</v>
      </c>
      <c r="CD14">
        <v>16</v>
      </c>
      <c r="CE14">
        <v>1</v>
      </c>
      <c r="CF14">
        <v>1</v>
      </c>
      <c r="CG14">
        <v>1</v>
      </c>
      <c r="CH14">
        <v>1</v>
      </c>
      <c r="CJ14" t="s">
        <v>230</v>
      </c>
      <c r="CK14" t="s">
        <v>280</v>
      </c>
      <c r="CL14">
        <v>415</v>
      </c>
      <c r="CM14">
        <v>479</v>
      </c>
      <c r="CN14">
        <v>31</v>
      </c>
    </row>
    <row r="15" spans="1:97" x14ac:dyDescent="0.3">
      <c r="A15">
        <v>26</v>
      </c>
      <c r="C15" t="s">
        <v>146</v>
      </c>
      <c r="D15" t="s">
        <v>149</v>
      </c>
      <c r="E15" t="s">
        <v>147</v>
      </c>
      <c r="F15">
        <v>98</v>
      </c>
      <c r="G15">
        <v>144</v>
      </c>
      <c r="H15">
        <v>19</v>
      </c>
      <c r="I15">
        <v>3353</v>
      </c>
      <c r="J15" t="s">
        <v>227</v>
      </c>
      <c r="K15">
        <v>9553</v>
      </c>
      <c r="L15" t="s">
        <v>228</v>
      </c>
      <c r="M15" t="s">
        <v>228</v>
      </c>
      <c r="N15">
        <v>-196</v>
      </c>
      <c r="O15">
        <v>9600</v>
      </c>
      <c r="P15">
        <v>8</v>
      </c>
      <c r="Q15">
        <v>8</v>
      </c>
      <c r="R15">
        <v>15</v>
      </c>
      <c r="S15">
        <v>6</v>
      </c>
      <c r="T15">
        <v>12</v>
      </c>
      <c r="U15">
        <v>15</v>
      </c>
      <c r="V15">
        <v>4</v>
      </c>
      <c r="W15">
        <v>3</v>
      </c>
      <c r="X15">
        <v>14</v>
      </c>
      <c r="Y15">
        <v>15</v>
      </c>
      <c r="Z15">
        <v>7</v>
      </c>
      <c r="AA15">
        <v>14</v>
      </c>
      <c r="AB15">
        <v>17</v>
      </c>
      <c r="AC15">
        <v>10</v>
      </c>
      <c r="AD15">
        <v>7</v>
      </c>
      <c r="AE15" t="s">
        <v>279</v>
      </c>
      <c r="AF15">
        <v>17</v>
      </c>
      <c r="AG15">
        <v>12</v>
      </c>
      <c r="AH15">
        <v>11</v>
      </c>
      <c r="AI15">
        <v>10</v>
      </c>
      <c r="AJ15">
        <v>20</v>
      </c>
      <c r="AK15">
        <v>8</v>
      </c>
      <c r="AL15">
        <v>14</v>
      </c>
      <c r="AM15">
        <v>2</v>
      </c>
      <c r="AN15">
        <v>4</v>
      </c>
      <c r="AO15">
        <v>1</v>
      </c>
      <c r="AP15">
        <v>2</v>
      </c>
      <c r="AQ15">
        <v>3</v>
      </c>
      <c r="AR15">
        <v>2</v>
      </c>
      <c r="AS15">
        <v>3</v>
      </c>
      <c r="AT15">
        <v>2</v>
      </c>
      <c r="AU15">
        <v>2</v>
      </c>
      <c r="AV15">
        <v>1</v>
      </c>
      <c r="AW15">
        <v>1</v>
      </c>
      <c r="AX15">
        <v>19</v>
      </c>
      <c r="AY15">
        <v>13</v>
      </c>
      <c r="AZ15">
        <v>8</v>
      </c>
      <c r="BA15">
        <v>5</v>
      </c>
      <c r="BB15">
        <v>13</v>
      </c>
      <c r="BC15">
        <v>12</v>
      </c>
      <c r="BD15">
        <v>14</v>
      </c>
      <c r="BE15">
        <v>3</v>
      </c>
      <c r="BF15">
        <v>16</v>
      </c>
      <c r="BG15">
        <v>3</v>
      </c>
      <c r="BH15">
        <v>11</v>
      </c>
      <c r="BI15">
        <v>6</v>
      </c>
      <c r="BJ15">
        <v>8</v>
      </c>
      <c r="BK15">
        <v>8</v>
      </c>
      <c r="BL15">
        <v>3</v>
      </c>
      <c r="BM15">
        <v>4</v>
      </c>
      <c r="BN15">
        <v>5</v>
      </c>
      <c r="BO15">
        <v>1</v>
      </c>
      <c r="BP15">
        <v>6</v>
      </c>
      <c r="BQ15">
        <v>3</v>
      </c>
      <c r="BR15">
        <v>13</v>
      </c>
      <c r="BS15">
        <v>1</v>
      </c>
      <c r="BT15">
        <v>1</v>
      </c>
      <c r="BU15">
        <v>15</v>
      </c>
      <c r="BV15">
        <v>4</v>
      </c>
      <c r="BW15">
        <v>3</v>
      </c>
      <c r="BX15">
        <v>12</v>
      </c>
      <c r="BY15">
        <v>11</v>
      </c>
      <c r="BZ15">
        <v>1</v>
      </c>
      <c r="CA15">
        <v>1</v>
      </c>
      <c r="CB15">
        <v>20</v>
      </c>
      <c r="CC15">
        <v>16</v>
      </c>
      <c r="CD15">
        <v>1</v>
      </c>
      <c r="CE15">
        <v>1</v>
      </c>
      <c r="CF15">
        <v>1</v>
      </c>
      <c r="CG15">
        <v>1</v>
      </c>
      <c r="CH15">
        <v>1</v>
      </c>
      <c r="CJ15" t="s">
        <v>230</v>
      </c>
      <c r="CK15" t="s">
        <v>281</v>
      </c>
      <c r="CL15">
        <v>100</v>
      </c>
      <c r="CM15">
        <v>58</v>
      </c>
      <c r="CN15">
        <v>43</v>
      </c>
    </row>
    <row r="16" spans="1:97" x14ac:dyDescent="0.3">
      <c r="A16">
        <v>27</v>
      </c>
      <c r="C16" t="s">
        <v>282</v>
      </c>
      <c r="D16" t="s">
        <v>260</v>
      </c>
      <c r="E16" t="s">
        <v>76</v>
      </c>
      <c r="F16">
        <v>107</v>
      </c>
      <c r="G16">
        <v>130</v>
      </c>
      <c r="H16">
        <v>31</v>
      </c>
      <c r="I16">
        <v>5253</v>
      </c>
      <c r="J16" t="s">
        <v>283</v>
      </c>
      <c r="K16">
        <v>9189</v>
      </c>
      <c r="L16" t="s">
        <v>228</v>
      </c>
      <c r="M16" t="s">
        <v>228</v>
      </c>
      <c r="N16">
        <v>60</v>
      </c>
      <c r="O16">
        <v>10000</v>
      </c>
      <c r="P16">
        <v>20</v>
      </c>
      <c r="Q16">
        <v>1</v>
      </c>
      <c r="R16">
        <v>20</v>
      </c>
      <c r="S16">
        <v>1</v>
      </c>
      <c r="T16">
        <v>20</v>
      </c>
      <c r="U16">
        <v>20</v>
      </c>
      <c r="V16">
        <v>12</v>
      </c>
      <c r="W16">
        <v>1</v>
      </c>
      <c r="X16">
        <v>20</v>
      </c>
      <c r="Y16">
        <v>20</v>
      </c>
      <c r="Z16">
        <v>20</v>
      </c>
      <c r="AA16">
        <v>20</v>
      </c>
      <c r="AB16">
        <v>20</v>
      </c>
      <c r="AC16">
        <v>11</v>
      </c>
      <c r="AD16">
        <v>12</v>
      </c>
      <c r="AE16" t="s">
        <v>246</v>
      </c>
      <c r="AF16">
        <v>7</v>
      </c>
      <c r="AG16">
        <v>20</v>
      </c>
      <c r="AH16">
        <v>15</v>
      </c>
      <c r="AI16">
        <v>12</v>
      </c>
      <c r="AJ16">
        <v>12</v>
      </c>
      <c r="AK16">
        <v>12</v>
      </c>
      <c r="AL16">
        <v>9</v>
      </c>
      <c r="AM16">
        <v>1</v>
      </c>
      <c r="AN16">
        <v>2</v>
      </c>
      <c r="AO16">
        <v>2</v>
      </c>
      <c r="AP16">
        <v>2</v>
      </c>
      <c r="AQ16">
        <v>3</v>
      </c>
      <c r="AR16">
        <v>3</v>
      </c>
      <c r="AS16">
        <v>3</v>
      </c>
      <c r="AT16">
        <v>2</v>
      </c>
      <c r="AU16">
        <v>1</v>
      </c>
      <c r="AV16">
        <v>4</v>
      </c>
      <c r="AW16">
        <v>1</v>
      </c>
      <c r="AX16">
        <v>9</v>
      </c>
      <c r="AY16">
        <v>12</v>
      </c>
      <c r="AZ16">
        <v>10</v>
      </c>
      <c r="BA16">
        <v>12</v>
      </c>
      <c r="BB16">
        <v>11</v>
      </c>
      <c r="BC16">
        <v>11</v>
      </c>
      <c r="BD16">
        <v>20</v>
      </c>
      <c r="BE16">
        <v>12</v>
      </c>
      <c r="BF16">
        <v>20</v>
      </c>
      <c r="BG16">
        <v>11</v>
      </c>
      <c r="BH16">
        <v>8</v>
      </c>
      <c r="BI16">
        <v>20</v>
      </c>
      <c r="BJ16">
        <v>12</v>
      </c>
      <c r="BK16">
        <v>12</v>
      </c>
      <c r="BL16">
        <v>14</v>
      </c>
      <c r="BM16">
        <v>12</v>
      </c>
      <c r="BN16">
        <v>10</v>
      </c>
      <c r="BO16">
        <v>7</v>
      </c>
      <c r="BP16">
        <v>12</v>
      </c>
      <c r="BQ16">
        <v>11</v>
      </c>
      <c r="BR16">
        <v>7</v>
      </c>
      <c r="BS16">
        <v>11</v>
      </c>
      <c r="BT16">
        <v>5</v>
      </c>
      <c r="BU16">
        <v>7</v>
      </c>
      <c r="BV16">
        <v>12</v>
      </c>
      <c r="BW16">
        <v>10</v>
      </c>
      <c r="BX16">
        <v>7</v>
      </c>
      <c r="BY16">
        <v>12</v>
      </c>
      <c r="BZ16">
        <v>1</v>
      </c>
      <c r="CA16">
        <v>1</v>
      </c>
      <c r="CB16">
        <v>1</v>
      </c>
      <c r="CC16">
        <v>7</v>
      </c>
      <c r="CD16">
        <v>14</v>
      </c>
      <c r="CE16">
        <v>10</v>
      </c>
      <c r="CF16">
        <v>16</v>
      </c>
      <c r="CG16">
        <v>20</v>
      </c>
      <c r="CH16">
        <v>1</v>
      </c>
      <c r="CJ16" t="s">
        <v>230</v>
      </c>
      <c r="CK16" t="s">
        <v>258</v>
      </c>
      <c r="CL16">
        <v>625</v>
      </c>
      <c r="CM16">
        <v>380</v>
      </c>
      <c r="CN16">
        <v>127</v>
      </c>
    </row>
    <row r="17" spans="1:92" x14ac:dyDescent="0.3">
      <c r="A17">
        <v>33</v>
      </c>
      <c r="C17" t="s">
        <v>284</v>
      </c>
      <c r="D17" t="s">
        <v>149</v>
      </c>
      <c r="E17" t="s">
        <v>76</v>
      </c>
      <c r="F17">
        <v>106</v>
      </c>
      <c r="G17">
        <v>121</v>
      </c>
      <c r="H17">
        <v>23</v>
      </c>
      <c r="I17">
        <v>4919</v>
      </c>
      <c r="J17" t="s">
        <v>285</v>
      </c>
      <c r="K17">
        <v>10000</v>
      </c>
      <c r="L17" t="s">
        <v>228</v>
      </c>
      <c r="M17" t="s">
        <v>228</v>
      </c>
      <c r="N17">
        <v>-77</v>
      </c>
      <c r="O17">
        <v>10000</v>
      </c>
      <c r="P17">
        <v>13</v>
      </c>
      <c r="Q17">
        <v>5</v>
      </c>
      <c r="R17">
        <v>7</v>
      </c>
      <c r="S17">
        <v>10</v>
      </c>
      <c r="T17">
        <v>12</v>
      </c>
      <c r="U17">
        <v>10</v>
      </c>
      <c r="V17">
        <v>13</v>
      </c>
      <c r="W17">
        <v>5</v>
      </c>
      <c r="X17">
        <v>13</v>
      </c>
      <c r="Y17">
        <v>14</v>
      </c>
      <c r="Z17">
        <v>13</v>
      </c>
      <c r="AA17">
        <v>11</v>
      </c>
      <c r="AB17">
        <v>12</v>
      </c>
      <c r="AC17">
        <v>12</v>
      </c>
      <c r="AD17">
        <v>11</v>
      </c>
      <c r="AE17" t="s">
        <v>286</v>
      </c>
      <c r="AF17">
        <v>15</v>
      </c>
      <c r="AG17">
        <v>20</v>
      </c>
      <c r="AH17">
        <v>11</v>
      </c>
      <c r="AI17">
        <v>13</v>
      </c>
      <c r="AJ17">
        <v>7</v>
      </c>
      <c r="AK17">
        <v>13</v>
      </c>
      <c r="AL17">
        <v>14</v>
      </c>
      <c r="AM17">
        <v>3</v>
      </c>
      <c r="AN17">
        <v>2</v>
      </c>
      <c r="AO17">
        <v>1</v>
      </c>
      <c r="AP17">
        <v>1</v>
      </c>
      <c r="AQ17">
        <v>1</v>
      </c>
      <c r="AR17">
        <v>3</v>
      </c>
      <c r="AS17">
        <v>3</v>
      </c>
      <c r="AT17">
        <v>1</v>
      </c>
      <c r="AU17">
        <v>4</v>
      </c>
      <c r="AV17">
        <v>1</v>
      </c>
      <c r="AW17">
        <v>2</v>
      </c>
      <c r="AX17">
        <v>11</v>
      </c>
      <c r="AY17">
        <v>11</v>
      </c>
      <c r="AZ17">
        <v>9</v>
      </c>
      <c r="BA17">
        <v>7</v>
      </c>
      <c r="BB17">
        <v>14</v>
      </c>
      <c r="BC17">
        <v>11</v>
      </c>
      <c r="BD17">
        <v>13</v>
      </c>
      <c r="BE17">
        <v>5</v>
      </c>
      <c r="BF17">
        <v>8</v>
      </c>
      <c r="BG17">
        <v>5</v>
      </c>
      <c r="BH17">
        <v>13</v>
      </c>
      <c r="BI17">
        <v>12</v>
      </c>
      <c r="BJ17">
        <v>7</v>
      </c>
      <c r="BK17">
        <v>11</v>
      </c>
      <c r="BL17">
        <v>3</v>
      </c>
      <c r="BM17">
        <v>4</v>
      </c>
      <c r="BN17">
        <v>8</v>
      </c>
      <c r="BO17">
        <v>3</v>
      </c>
      <c r="BP17">
        <v>8</v>
      </c>
      <c r="BQ17">
        <v>2</v>
      </c>
      <c r="BR17">
        <v>13</v>
      </c>
      <c r="BS17">
        <v>5</v>
      </c>
      <c r="BT17">
        <v>10</v>
      </c>
      <c r="BU17">
        <v>13</v>
      </c>
      <c r="BV17">
        <v>9</v>
      </c>
      <c r="BW17">
        <v>4</v>
      </c>
      <c r="BX17">
        <v>13</v>
      </c>
      <c r="BY17">
        <v>10</v>
      </c>
      <c r="BZ17">
        <v>1</v>
      </c>
      <c r="CA17">
        <v>1</v>
      </c>
      <c r="CB17">
        <v>20</v>
      </c>
      <c r="CC17">
        <v>16</v>
      </c>
      <c r="CD17">
        <v>2</v>
      </c>
      <c r="CE17">
        <v>1</v>
      </c>
      <c r="CF17">
        <v>1</v>
      </c>
      <c r="CG17">
        <v>1</v>
      </c>
      <c r="CH17">
        <v>1</v>
      </c>
      <c r="CJ17" t="s">
        <v>230</v>
      </c>
      <c r="CK17" t="s">
        <v>280</v>
      </c>
      <c r="CL17">
        <v>457</v>
      </c>
      <c r="CM17">
        <v>491</v>
      </c>
      <c r="CN17">
        <v>19</v>
      </c>
    </row>
    <row r="18" spans="1:92" x14ac:dyDescent="0.3">
      <c r="A18">
        <v>22</v>
      </c>
      <c r="C18" t="s">
        <v>287</v>
      </c>
      <c r="D18" t="s">
        <v>168</v>
      </c>
      <c r="E18" t="s">
        <v>70</v>
      </c>
      <c r="F18">
        <v>118</v>
      </c>
      <c r="G18">
        <v>158</v>
      </c>
      <c r="H18">
        <v>18</v>
      </c>
      <c r="I18">
        <v>4981</v>
      </c>
      <c r="J18" t="s">
        <v>288</v>
      </c>
      <c r="K18">
        <v>7130</v>
      </c>
      <c r="L18" t="s">
        <v>228</v>
      </c>
      <c r="M18" t="s">
        <v>289</v>
      </c>
      <c r="N18">
        <v>53</v>
      </c>
      <c r="O18">
        <v>9292</v>
      </c>
      <c r="P18">
        <v>8</v>
      </c>
      <c r="Q18">
        <v>14</v>
      </c>
      <c r="R18">
        <v>15</v>
      </c>
      <c r="S18">
        <v>8</v>
      </c>
      <c r="T18">
        <v>9</v>
      </c>
      <c r="U18">
        <v>16</v>
      </c>
      <c r="V18">
        <v>14</v>
      </c>
      <c r="W18">
        <v>1</v>
      </c>
      <c r="X18">
        <v>19</v>
      </c>
      <c r="Y18">
        <v>20</v>
      </c>
      <c r="Z18">
        <v>19</v>
      </c>
      <c r="AA18">
        <v>20</v>
      </c>
      <c r="AB18">
        <v>20</v>
      </c>
      <c r="AC18">
        <v>15</v>
      </c>
      <c r="AD18">
        <v>16</v>
      </c>
      <c r="AE18" t="s">
        <v>239</v>
      </c>
      <c r="AF18">
        <v>13</v>
      </c>
      <c r="AG18">
        <v>12</v>
      </c>
      <c r="AH18">
        <v>14</v>
      </c>
      <c r="AI18">
        <v>15</v>
      </c>
      <c r="AJ18">
        <v>20</v>
      </c>
      <c r="AK18">
        <v>14</v>
      </c>
      <c r="AL18">
        <v>8</v>
      </c>
      <c r="AM18">
        <v>4</v>
      </c>
      <c r="AN18">
        <v>2</v>
      </c>
      <c r="AO18">
        <v>1</v>
      </c>
      <c r="AP18">
        <v>2</v>
      </c>
      <c r="AQ18">
        <v>3</v>
      </c>
      <c r="AR18">
        <v>2</v>
      </c>
      <c r="AS18">
        <v>2</v>
      </c>
      <c r="AT18">
        <v>1</v>
      </c>
      <c r="AU18">
        <v>2</v>
      </c>
      <c r="AV18">
        <v>2</v>
      </c>
      <c r="AW18">
        <v>3</v>
      </c>
      <c r="AX18">
        <v>7</v>
      </c>
      <c r="AY18">
        <v>11</v>
      </c>
      <c r="AZ18">
        <v>9</v>
      </c>
      <c r="BA18">
        <v>6</v>
      </c>
      <c r="BB18">
        <v>3</v>
      </c>
      <c r="BC18">
        <v>15</v>
      </c>
      <c r="BD18">
        <v>15</v>
      </c>
      <c r="BE18">
        <v>14</v>
      </c>
      <c r="BF18">
        <v>6</v>
      </c>
      <c r="BG18">
        <v>13</v>
      </c>
      <c r="BH18">
        <v>5</v>
      </c>
      <c r="BI18">
        <v>14</v>
      </c>
      <c r="BJ18">
        <v>7</v>
      </c>
      <c r="BK18">
        <v>16</v>
      </c>
      <c r="BL18">
        <v>7</v>
      </c>
      <c r="BM18">
        <v>10</v>
      </c>
      <c r="BN18">
        <v>12</v>
      </c>
      <c r="BO18">
        <v>6</v>
      </c>
      <c r="BP18">
        <v>11</v>
      </c>
      <c r="BQ18">
        <v>7</v>
      </c>
      <c r="BR18">
        <v>8</v>
      </c>
      <c r="BS18">
        <v>6</v>
      </c>
      <c r="BT18">
        <v>2</v>
      </c>
      <c r="BU18">
        <v>6</v>
      </c>
      <c r="BV18">
        <v>8</v>
      </c>
      <c r="BW18">
        <v>4</v>
      </c>
      <c r="BX18">
        <v>1</v>
      </c>
      <c r="BY18">
        <v>13</v>
      </c>
      <c r="BZ18">
        <v>1</v>
      </c>
      <c r="CA18">
        <v>1</v>
      </c>
      <c r="CB18">
        <v>1</v>
      </c>
      <c r="CC18">
        <v>1</v>
      </c>
      <c r="CD18">
        <v>1</v>
      </c>
      <c r="CE18">
        <v>20</v>
      </c>
      <c r="CF18">
        <v>1</v>
      </c>
      <c r="CG18">
        <v>12</v>
      </c>
      <c r="CH18">
        <v>20</v>
      </c>
      <c r="CJ18" t="s">
        <v>230</v>
      </c>
      <c r="CK18" t="s">
        <v>290</v>
      </c>
      <c r="CL18">
        <v>539</v>
      </c>
      <c r="CM18">
        <v>549</v>
      </c>
      <c r="CN18">
        <v>31</v>
      </c>
    </row>
    <row r="19" spans="1:92" x14ac:dyDescent="0.3">
      <c r="A19">
        <v>18</v>
      </c>
      <c r="C19" t="s">
        <v>291</v>
      </c>
      <c r="D19" t="s">
        <v>78</v>
      </c>
      <c r="E19" t="s">
        <v>182</v>
      </c>
      <c r="F19">
        <v>113</v>
      </c>
      <c r="G19">
        <v>125</v>
      </c>
      <c r="H19">
        <v>21</v>
      </c>
      <c r="I19">
        <v>3297</v>
      </c>
      <c r="J19" t="s">
        <v>292</v>
      </c>
      <c r="K19">
        <v>9167</v>
      </c>
      <c r="L19" t="s">
        <v>228</v>
      </c>
      <c r="M19" t="s">
        <v>228</v>
      </c>
      <c r="N19">
        <v>63</v>
      </c>
      <c r="O19">
        <v>10000</v>
      </c>
      <c r="P19">
        <v>7</v>
      </c>
      <c r="Q19">
        <v>5</v>
      </c>
      <c r="R19">
        <v>12</v>
      </c>
      <c r="S19">
        <v>9</v>
      </c>
      <c r="T19">
        <v>12</v>
      </c>
      <c r="U19">
        <v>18</v>
      </c>
      <c r="V19">
        <v>12</v>
      </c>
      <c r="W19">
        <v>1</v>
      </c>
      <c r="X19">
        <v>19</v>
      </c>
      <c r="Y19">
        <v>12</v>
      </c>
      <c r="Z19">
        <v>16</v>
      </c>
      <c r="AA19">
        <v>11</v>
      </c>
      <c r="AB19">
        <v>18</v>
      </c>
      <c r="AC19">
        <v>8</v>
      </c>
      <c r="AD19">
        <v>12</v>
      </c>
      <c r="AE19" t="s">
        <v>293</v>
      </c>
      <c r="AF19">
        <v>12</v>
      </c>
      <c r="AG19">
        <v>15</v>
      </c>
      <c r="AH19">
        <v>14</v>
      </c>
      <c r="AI19">
        <v>9</v>
      </c>
      <c r="AJ19">
        <v>20</v>
      </c>
      <c r="AK19">
        <v>12</v>
      </c>
      <c r="AL19">
        <v>10</v>
      </c>
      <c r="AM19">
        <v>1</v>
      </c>
      <c r="AN19">
        <v>1</v>
      </c>
      <c r="AO19">
        <v>2</v>
      </c>
      <c r="AP19">
        <v>2</v>
      </c>
      <c r="AQ19">
        <v>2</v>
      </c>
      <c r="AR19">
        <v>2</v>
      </c>
      <c r="AS19">
        <v>3</v>
      </c>
      <c r="AT19">
        <v>3</v>
      </c>
      <c r="AU19">
        <v>1</v>
      </c>
      <c r="AV19">
        <v>1</v>
      </c>
      <c r="AW19">
        <v>3</v>
      </c>
      <c r="AX19">
        <v>12</v>
      </c>
      <c r="AY19">
        <v>10</v>
      </c>
      <c r="AZ19">
        <v>7</v>
      </c>
      <c r="BA19">
        <v>16</v>
      </c>
      <c r="BB19">
        <v>12</v>
      </c>
      <c r="BC19">
        <v>14</v>
      </c>
      <c r="BD19">
        <v>16</v>
      </c>
      <c r="BE19">
        <v>10</v>
      </c>
      <c r="BF19">
        <v>6</v>
      </c>
      <c r="BG19">
        <v>13</v>
      </c>
      <c r="BH19">
        <v>12</v>
      </c>
      <c r="BI19">
        <v>12</v>
      </c>
      <c r="BJ19">
        <v>16</v>
      </c>
      <c r="BK19">
        <v>14</v>
      </c>
      <c r="BL19">
        <v>4</v>
      </c>
      <c r="BM19">
        <v>3</v>
      </c>
      <c r="BN19">
        <v>7</v>
      </c>
      <c r="BO19">
        <v>5</v>
      </c>
      <c r="BP19">
        <v>15</v>
      </c>
      <c r="BQ19">
        <v>6</v>
      </c>
      <c r="BR19">
        <v>7</v>
      </c>
      <c r="BS19">
        <v>9</v>
      </c>
      <c r="BT19">
        <v>1</v>
      </c>
      <c r="BU19">
        <v>13</v>
      </c>
      <c r="BV19">
        <v>13</v>
      </c>
      <c r="BW19">
        <v>5</v>
      </c>
      <c r="BX19">
        <v>7</v>
      </c>
      <c r="BY19">
        <v>13</v>
      </c>
      <c r="BZ19">
        <v>1</v>
      </c>
      <c r="CA19">
        <v>1</v>
      </c>
      <c r="CB19">
        <v>1</v>
      </c>
      <c r="CC19">
        <v>1</v>
      </c>
      <c r="CD19">
        <v>20</v>
      </c>
      <c r="CE19">
        <v>1</v>
      </c>
      <c r="CF19">
        <v>1</v>
      </c>
      <c r="CG19">
        <v>1</v>
      </c>
      <c r="CH19">
        <v>1</v>
      </c>
      <c r="CJ19" t="s">
        <v>230</v>
      </c>
      <c r="CK19" t="s">
        <v>294</v>
      </c>
      <c r="CL19">
        <v>717</v>
      </c>
      <c r="CM19">
        <v>169</v>
      </c>
      <c r="CN19">
        <v>19</v>
      </c>
    </row>
    <row r="20" spans="1:92" x14ac:dyDescent="0.3">
      <c r="A20">
        <v>30</v>
      </c>
      <c r="C20" t="s">
        <v>295</v>
      </c>
      <c r="D20" t="s">
        <v>296</v>
      </c>
      <c r="E20" t="s">
        <v>297</v>
      </c>
      <c r="F20">
        <v>81</v>
      </c>
      <c r="G20">
        <v>92</v>
      </c>
      <c r="H20">
        <v>22</v>
      </c>
      <c r="I20">
        <v>4268</v>
      </c>
      <c r="J20" t="s">
        <v>298</v>
      </c>
      <c r="K20">
        <v>10000</v>
      </c>
      <c r="L20" t="s">
        <v>228</v>
      </c>
      <c r="M20" t="s">
        <v>228</v>
      </c>
      <c r="N20">
        <v>-249</v>
      </c>
      <c r="O20">
        <v>8447</v>
      </c>
      <c r="P20">
        <v>8</v>
      </c>
      <c r="Q20">
        <v>6</v>
      </c>
      <c r="R20">
        <v>8</v>
      </c>
      <c r="S20">
        <v>7</v>
      </c>
      <c r="T20">
        <v>12</v>
      </c>
      <c r="U20">
        <v>15</v>
      </c>
      <c r="V20">
        <v>6</v>
      </c>
      <c r="W20">
        <v>7</v>
      </c>
      <c r="X20">
        <v>16</v>
      </c>
      <c r="Y20">
        <v>8</v>
      </c>
      <c r="Z20">
        <v>15</v>
      </c>
      <c r="AA20">
        <v>12</v>
      </c>
      <c r="AB20">
        <v>15</v>
      </c>
      <c r="AC20">
        <v>12</v>
      </c>
      <c r="AD20">
        <v>10</v>
      </c>
      <c r="AE20" t="s">
        <v>229</v>
      </c>
      <c r="AF20">
        <v>7</v>
      </c>
      <c r="AG20">
        <v>9</v>
      </c>
      <c r="AH20">
        <v>9</v>
      </c>
      <c r="AI20">
        <v>11</v>
      </c>
      <c r="AJ20">
        <v>20</v>
      </c>
      <c r="AK20">
        <v>10</v>
      </c>
      <c r="AL20">
        <v>8</v>
      </c>
      <c r="AM20">
        <v>4</v>
      </c>
      <c r="AN20">
        <v>3</v>
      </c>
      <c r="AO20">
        <v>3</v>
      </c>
      <c r="AP20">
        <v>1</v>
      </c>
      <c r="AQ20">
        <v>2</v>
      </c>
      <c r="AR20">
        <v>1</v>
      </c>
      <c r="AS20">
        <v>3</v>
      </c>
      <c r="AT20">
        <v>3</v>
      </c>
      <c r="AU20">
        <v>3</v>
      </c>
      <c r="AV20">
        <v>4</v>
      </c>
      <c r="AW20">
        <v>1</v>
      </c>
      <c r="AX20">
        <v>7</v>
      </c>
      <c r="AY20">
        <v>9</v>
      </c>
      <c r="AZ20">
        <v>8</v>
      </c>
      <c r="BA20">
        <v>10</v>
      </c>
      <c r="BB20">
        <v>7</v>
      </c>
      <c r="BC20">
        <v>10</v>
      </c>
      <c r="BD20">
        <v>15</v>
      </c>
      <c r="BE20">
        <v>13</v>
      </c>
      <c r="BF20">
        <v>9</v>
      </c>
      <c r="BG20">
        <v>9</v>
      </c>
      <c r="BH20">
        <v>8</v>
      </c>
      <c r="BI20">
        <v>9</v>
      </c>
      <c r="BJ20">
        <v>10</v>
      </c>
      <c r="BK20">
        <v>12</v>
      </c>
      <c r="BL20">
        <v>11</v>
      </c>
      <c r="BM20">
        <v>10</v>
      </c>
      <c r="BN20">
        <v>12</v>
      </c>
      <c r="BO20">
        <v>12</v>
      </c>
      <c r="BP20">
        <v>9</v>
      </c>
      <c r="BQ20">
        <v>5</v>
      </c>
      <c r="BR20">
        <v>6</v>
      </c>
      <c r="BS20">
        <v>10</v>
      </c>
      <c r="BT20">
        <v>3</v>
      </c>
      <c r="BU20">
        <v>8</v>
      </c>
      <c r="BV20">
        <v>8</v>
      </c>
      <c r="BW20">
        <v>8</v>
      </c>
      <c r="BX20">
        <v>5</v>
      </c>
      <c r="BY20">
        <v>11</v>
      </c>
      <c r="BZ20">
        <v>1</v>
      </c>
      <c r="CA20">
        <v>1</v>
      </c>
      <c r="CB20">
        <v>1</v>
      </c>
      <c r="CC20">
        <v>1</v>
      </c>
      <c r="CD20">
        <v>1</v>
      </c>
      <c r="CE20">
        <v>16</v>
      </c>
      <c r="CF20">
        <v>16</v>
      </c>
      <c r="CG20">
        <v>16</v>
      </c>
      <c r="CH20">
        <v>20</v>
      </c>
      <c r="CJ20">
        <v>4</v>
      </c>
      <c r="CK20" t="s">
        <v>298</v>
      </c>
      <c r="CL20">
        <v>134</v>
      </c>
      <c r="CM20">
        <v>0</v>
      </c>
      <c r="CN20">
        <v>-1558</v>
      </c>
    </row>
    <row r="21" spans="1:92" x14ac:dyDescent="0.3">
      <c r="A21">
        <v>14</v>
      </c>
      <c r="C21" t="s">
        <v>142</v>
      </c>
      <c r="D21" t="s">
        <v>168</v>
      </c>
      <c r="E21" t="s">
        <v>299</v>
      </c>
      <c r="F21">
        <v>123</v>
      </c>
      <c r="G21">
        <v>165</v>
      </c>
      <c r="H21">
        <v>19</v>
      </c>
      <c r="I21">
        <v>3873</v>
      </c>
      <c r="J21" t="s">
        <v>300</v>
      </c>
      <c r="K21">
        <v>9087</v>
      </c>
      <c r="L21" t="s">
        <v>228</v>
      </c>
      <c r="M21" t="s">
        <v>228</v>
      </c>
      <c r="N21">
        <v>-90</v>
      </c>
      <c r="O21">
        <v>9100</v>
      </c>
      <c r="P21">
        <v>20</v>
      </c>
      <c r="Q21">
        <v>1</v>
      </c>
      <c r="R21">
        <v>20</v>
      </c>
      <c r="S21">
        <v>1</v>
      </c>
      <c r="T21">
        <v>20</v>
      </c>
      <c r="U21">
        <v>20</v>
      </c>
      <c r="V21">
        <v>12</v>
      </c>
      <c r="W21">
        <v>1</v>
      </c>
      <c r="X21">
        <v>20</v>
      </c>
      <c r="Y21">
        <v>20</v>
      </c>
      <c r="Z21">
        <v>20</v>
      </c>
      <c r="AA21">
        <v>20</v>
      </c>
      <c r="AB21">
        <v>20</v>
      </c>
      <c r="AC21">
        <v>14</v>
      </c>
      <c r="AD21">
        <v>14</v>
      </c>
      <c r="AE21" t="s">
        <v>271</v>
      </c>
      <c r="AF21">
        <v>14</v>
      </c>
      <c r="AG21">
        <v>9</v>
      </c>
      <c r="AH21">
        <v>11</v>
      </c>
      <c r="AI21">
        <v>14</v>
      </c>
      <c r="AJ21">
        <v>20</v>
      </c>
      <c r="AK21">
        <v>12</v>
      </c>
      <c r="AL21">
        <v>11</v>
      </c>
      <c r="AM21">
        <v>2</v>
      </c>
      <c r="AN21">
        <v>3</v>
      </c>
      <c r="AO21">
        <v>2</v>
      </c>
      <c r="AP21">
        <v>1</v>
      </c>
      <c r="AQ21">
        <v>1</v>
      </c>
      <c r="AR21">
        <v>1</v>
      </c>
      <c r="AS21">
        <v>2</v>
      </c>
      <c r="AT21">
        <v>2</v>
      </c>
      <c r="AU21">
        <v>3</v>
      </c>
      <c r="AV21">
        <v>1</v>
      </c>
      <c r="AW21">
        <v>2</v>
      </c>
      <c r="AX21">
        <v>12</v>
      </c>
      <c r="AY21">
        <v>14</v>
      </c>
      <c r="AZ21">
        <v>12</v>
      </c>
      <c r="BA21">
        <v>12</v>
      </c>
      <c r="BB21">
        <v>5</v>
      </c>
      <c r="BC21">
        <v>13</v>
      </c>
      <c r="BD21">
        <v>20</v>
      </c>
      <c r="BE21">
        <v>14</v>
      </c>
      <c r="BF21">
        <v>20</v>
      </c>
      <c r="BG21">
        <v>14</v>
      </c>
      <c r="BH21">
        <v>5</v>
      </c>
      <c r="BI21">
        <v>20</v>
      </c>
      <c r="BJ21">
        <v>9</v>
      </c>
      <c r="BK21">
        <v>13</v>
      </c>
      <c r="BL21">
        <v>8</v>
      </c>
      <c r="BM21">
        <v>10</v>
      </c>
      <c r="BN21">
        <v>10</v>
      </c>
      <c r="BO21">
        <v>15</v>
      </c>
      <c r="BP21">
        <v>12</v>
      </c>
      <c r="BQ21">
        <v>6</v>
      </c>
      <c r="BR21">
        <v>6</v>
      </c>
      <c r="BS21">
        <v>7</v>
      </c>
      <c r="BT21">
        <v>2</v>
      </c>
      <c r="BU21">
        <v>10</v>
      </c>
      <c r="BV21">
        <v>12</v>
      </c>
      <c r="BW21">
        <v>8</v>
      </c>
      <c r="BX21">
        <v>4</v>
      </c>
      <c r="BY21">
        <v>16</v>
      </c>
      <c r="BZ21">
        <v>1</v>
      </c>
      <c r="CA21">
        <v>1</v>
      </c>
      <c r="CB21">
        <v>1</v>
      </c>
      <c r="CC21">
        <v>1</v>
      </c>
      <c r="CD21">
        <v>1</v>
      </c>
      <c r="CE21">
        <v>20</v>
      </c>
      <c r="CF21">
        <v>10</v>
      </c>
      <c r="CG21">
        <v>1</v>
      </c>
      <c r="CH21">
        <v>20</v>
      </c>
      <c r="CJ21" t="s">
        <v>230</v>
      </c>
      <c r="CK21" t="s">
        <v>301</v>
      </c>
      <c r="CL21">
        <v>116</v>
      </c>
      <c r="CM21">
        <v>82</v>
      </c>
      <c r="CN21">
        <v>43</v>
      </c>
    </row>
    <row r="22" spans="1:92" x14ac:dyDescent="0.3">
      <c r="A22">
        <v>15</v>
      </c>
      <c r="C22" t="s">
        <v>302</v>
      </c>
      <c r="D22" t="s">
        <v>303</v>
      </c>
      <c r="E22" t="s">
        <v>76</v>
      </c>
      <c r="F22">
        <v>102</v>
      </c>
      <c r="G22">
        <v>120</v>
      </c>
      <c r="H22">
        <v>31</v>
      </c>
      <c r="I22">
        <v>4564</v>
      </c>
      <c r="J22" t="s">
        <v>304</v>
      </c>
      <c r="K22">
        <v>9135</v>
      </c>
      <c r="L22" t="s">
        <v>228</v>
      </c>
      <c r="M22" t="s">
        <v>228</v>
      </c>
      <c r="N22">
        <v>93</v>
      </c>
      <c r="O22">
        <v>10000</v>
      </c>
      <c r="P22">
        <v>20</v>
      </c>
      <c r="Q22">
        <v>1</v>
      </c>
      <c r="R22">
        <v>20</v>
      </c>
      <c r="S22">
        <v>1</v>
      </c>
      <c r="T22">
        <v>20</v>
      </c>
      <c r="U22">
        <v>20</v>
      </c>
      <c r="V22">
        <v>12</v>
      </c>
      <c r="W22">
        <v>1</v>
      </c>
      <c r="X22">
        <v>20</v>
      </c>
      <c r="Y22">
        <v>20</v>
      </c>
      <c r="Z22">
        <v>20</v>
      </c>
      <c r="AA22">
        <v>20</v>
      </c>
      <c r="AB22">
        <v>20</v>
      </c>
      <c r="AC22">
        <v>13</v>
      </c>
      <c r="AD22">
        <v>10</v>
      </c>
      <c r="AE22" t="s">
        <v>239</v>
      </c>
      <c r="AF22">
        <v>9</v>
      </c>
      <c r="AG22">
        <v>20</v>
      </c>
      <c r="AH22">
        <v>20</v>
      </c>
      <c r="AI22">
        <v>11</v>
      </c>
      <c r="AJ22">
        <v>20</v>
      </c>
      <c r="AK22">
        <v>13</v>
      </c>
      <c r="AL22">
        <v>10</v>
      </c>
      <c r="AM22">
        <v>1</v>
      </c>
      <c r="AN22">
        <v>1</v>
      </c>
      <c r="AO22">
        <v>4</v>
      </c>
      <c r="AP22">
        <v>2</v>
      </c>
      <c r="AQ22">
        <v>1</v>
      </c>
      <c r="AR22">
        <v>1</v>
      </c>
      <c r="AS22">
        <v>1</v>
      </c>
      <c r="AT22">
        <v>2</v>
      </c>
      <c r="AU22">
        <v>2</v>
      </c>
      <c r="AV22">
        <v>1</v>
      </c>
      <c r="AW22">
        <v>1</v>
      </c>
      <c r="AX22">
        <v>12</v>
      </c>
      <c r="AY22">
        <v>12</v>
      </c>
      <c r="AZ22">
        <v>12</v>
      </c>
      <c r="BA22">
        <v>10</v>
      </c>
      <c r="BB22">
        <v>12</v>
      </c>
      <c r="BC22">
        <v>10</v>
      </c>
      <c r="BD22">
        <v>20</v>
      </c>
      <c r="BE22">
        <v>5</v>
      </c>
      <c r="BF22">
        <v>20</v>
      </c>
      <c r="BG22">
        <v>9</v>
      </c>
      <c r="BH22">
        <v>10</v>
      </c>
      <c r="BI22">
        <v>20</v>
      </c>
      <c r="BJ22">
        <v>9</v>
      </c>
      <c r="BK22">
        <v>18</v>
      </c>
      <c r="BL22">
        <v>6</v>
      </c>
      <c r="BM22">
        <v>5</v>
      </c>
      <c r="BN22">
        <v>8</v>
      </c>
      <c r="BO22">
        <v>8</v>
      </c>
      <c r="BP22">
        <v>8</v>
      </c>
      <c r="BQ22">
        <v>4</v>
      </c>
      <c r="BR22">
        <v>7</v>
      </c>
      <c r="BS22">
        <v>6</v>
      </c>
      <c r="BT22">
        <v>5</v>
      </c>
      <c r="BU22">
        <v>7</v>
      </c>
      <c r="BV22">
        <v>10</v>
      </c>
      <c r="BW22">
        <v>6</v>
      </c>
      <c r="BX22">
        <v>9</v>
      </c>
      <c r="BY22">
        <v>10</v>
      </c>
      <c r="BZ22">
        <v>1</v>
      </c>
      <c r="CA22">
        <v>1</v>
      </c>
      <c r="CB22">
        <v>1</v>
      </c>
      <c r="CC22">
        <v>1</v>
      </c>
      <c r="CD22">
        <v>20</v>
      </c>
      <c r="CE22">
        <v>1</v>
      </c>
      <c r="CF22">
        <v>1</v>
      </c>
      <c r="CG22">
        <v>1</v>
      </c>
      <c r="CH22">
        <v>1</v>
      </c>
      <c r="CJ22" t="s">
        <v>230</v>
      </c>
      <c r="CK22" t="s">
        <v>258</v>
      </c>
      <c r="CL22">
        <v>300</v>
      </c>
      <c r="CM22">
        <v>345</v>
      </c>
      <c r="CN22">
        <v>127</v>
      </c>
    </row>
    <row r="23" spans="1:92" x14ac:dyDescent="0.3">
      <c r="A23">
        <v>31</v>
      </c>
      <c r="C23" t="s">
        <v>305</v>
      </c>
      <c r="D23" t="s">
        <v>306</v>
      </c>
      <c r="E23" t="s">
        <v>307</v>
      </c>
      <c r="F23">
        <v>97</v>
      </c>
      <c r="G23">
        <v>107</v>
      </c>
      <c r="H23">
        <v>22</v>
      </c>
      <c r="I23">
        <v>3711</v>
      </c>
      <c r="J23" t="s">
        <v>308</v>
      </c>
      <c r="K23">
        <v>10000</v>
      </c>
      <c r="L23" t="s">
        <v>228</v>
      </c>
      <c r="M23" t="s">
        <v>228</v>
      </c>
      <c r="N23">
        <v>-288</v>
      </c>
      <c r="O23">
        <v>9438</v>
      </c>
      <c r="P23">
        <v>9</v>
      </c>
      <c r="Q23">
        <v>8</v>
      </c>
      <c r="R23">
        <v>10</v>
      </c>
      <c r="S23">
        <v>9</v>
      </c>
      <c r="T23">
        <v>12</v>
      </c>
      <c r="U23">
        <v>10</v>
      </c>
      <c r="V23">
        <v>12</v>
      </c>
      <c r="W23">
        <v>9</v>
      </c>
      <c r="X23">
        <v>10</v>
      </c>
      <c r="Y23">
        <v>10</v>
      </c>
      <c r="Z23">
        <v>12</v>
      </c>
      <c r="AA23">
        <v>11</v>
      </c>
      <c r="AB23">
        <v>10</v>
      </c>
      <c r="AC23">
        <v>14</v>
      </c>
      <c r="AD23">
        <v>11</v>
      </c>
      <c r="AE23" t="s">
        <v>239</v>
      </c>
      <c r="AF23">
        <v>6</v>
      </c>
      <c r="AG23">
        <v>20</v>
      </c>
      <c r="AH23">
        <v>12</v>
      </c>
      <c r="AI23">
        <v>13</v>
      </c>
      <c r="AJ23">
        <v>20</v>
      </c>
      <c r="AK23">
        <v>13</v>
      </c>
      <c r="AL23">
        <v>6</v>
      </c>
      <c r="AM23">
        <v>4</v>
      </c>
      <c r="AN23">
        <v>3</v>
      </c>
      <c r="AO23">
        <v>2</v>
      </c>
      <c r="AP23">
        <v>3</v>
      </c>
      <c r="AQ23">
        <v>1</v>
      </c>
      <c r="AR23">
        <v>3</v>
      </c>
      <c r="AS23">
        <v>1</v>
      </c>
      <c r="AT23">
        <v>1</v>
      </c>
      <c r="AU23">
        <v>2</v>
      </c>
      <c r="AV23">
        <v>3</v>
      </c>
      <c r="AW23">
        <v>2</v>
      </c>
      <c r="AX23">
        <v>15</v>
      </c>
      <c r="AY23">
        <v>7</v>
      </c>
      <c r="AZ23">
        <v>7</v>
      </c>
      <c r="BA23">
        <v>6</v>
      </c>
      <c r="BB23">
        <v>5</v>
      </c>
      <c r="BC23">
        <v>10</v>
      </c>
      <c r="BD23">
        <v>7</v>
      </c>
      <c r="BE23">
        <v>10</v>
      </c>
      <c r="BF23">
        <v>3</v>
      </c>
      <c r="BG23">
        <v>12</v>
      </c>
      <c r="BH23">
        <v>8</v>
      </c>
      <c r="BI23">
        <v>8</v>
      </c>
      <c r="BJ23">
        <v>8</v>
      </c>
      <c r="BK23">
        <v>7</v>
      </c>
      <c r="BL23">
        <v>3</v>
      </c>
      <c r="BM23">
        <v>10</v>
      </c>
      <c r="BN23">
        <v>9</v>
      </c>
      <c r="BO23">
        <v>7</v>
      </c>
      <c r="BP23">
        <v>14</v>
      </c>
      <c r="BQ23">
        <v>4</v>
      </c>
      <c r="BR23">
        <v>3</v>
      </c>
      <c r="BS23">
        <v>5</v>
      </c>
      <c r="BT23">
        <v>3</v>
      </c>
      <c r="BU23">
        <v>6</v>
      </c>
      <c r="BV23">
        <v>11</v>
      </c>
      <c r="BW23">
        <v>4</v>
      </c>
      <c r="BX23">
        <v>6</v>
      </c>
      <c r="BY23">
        <v>9</v>
      </c>
      <c r="BZ23">
        <v>1</v>
      </c>
      <c r="CA23">
        <v>20</v>
      </c>
      <c r="CB23">
        <v>1</v>
      </c>
      <c r="CC23">
        <v>1</v>
      </c>
      <c r="CD23">
        <v>1</v>
      </c>
      <c r="CE23">
        <v>20</v>
      </c>
      <c r="CF23">
        <v>1</v>
      </c>
      <c r="CG23">
        <v>1</v>
      </c>
      <c r="CH23">
        <v>1</v>
      </c>
      <c r="CI23" t="s">
        <v>71</v>
      </c>
      <c r="CJ23" t="s">
        <v>230</v>
      </c>
      <c r="CK23" t="s">
        <v>309</v>
      </c>
      <c r="CL23">
        <v>389</v>
      </c>
      <c r="CM23">
        <v>240</v>
      </c>
      <c r="CN23">
        <v>7</v>
      </c>
    </row>
    <row r="24" spans="1:92" x14ac:dyDescent="0.3">
      <c r="A24">
        <v>2</v>
      </c>
      <c r="C24" t="s">
        <v>310</v>
      </c>
      <c r="D24" t="s">
        <v>311</v>
      </c>
      <c r="E24" t="s">
        <v>312</v>
      </c>
      <c r="F24">
        <v>104</v>
      </c>
      <c r="G24">
        <v>139</v>
      </c>
      <c r="H24">
        <v>18</v>
      </c>
      <c r="I24">
        <v>3118</v>
      </c>
      <c r="J24" t="s">
        <v>227</v>
      </c>
      <c r="K24">
        <v>9015</v>
      </c>
      <c r="L24" t="s">
        <v>228</v>
      </c>
      <c r="M24" t="s">
        <v>228</v>
      </c>
      <c r="N24">
        <v>70</v>
      </c>
      <c r="O24">
        <v>10000</v>
      </c>
      <c r="P24">
        <v>7</v>
      </c>
      <c r="Q24">
        <v>9</v>
      </c>
      <c r="R24">
        <v>9</v>
      </c>
      <c r="S24">
        <v>7</v>
      </c>
      <c r="T24">
        <v>11</v>
      </c>
      <c r="U24">
        <v>13</v>
      </c>
      <c r="V24">
        <v>18</v>
      </c>
      <c r="W24">
        <v>9</v>
      </c>
      <c r="X24">
        <v>13</v>
      </c>
      <c r="Y24">
        <v>4</v>
      </c>
      <c r="Z24">
        <v>11</v>
      </c>
      <c r="AA24">
        <v>12</v>
      </c>
      <c r="AB24">
        <v>13</v>
      </c>
      <c r="AC24">
        <v>14</v>
      </c>
      <c r="AD24">
        <v>11</v>
      </c>
      <c r="AE24" t="s">
        <v>279</v>
      </c>
      <c r="AF24">
        <v>6</v>
      </c>
      <c r="AG24">
        <v>9</v>
      </c>
      <c r="AH24">
        <v>9</v>
      </c>
      <c r="AI24">
        <v>12</v>
      </c>
      <c r="AJ24">
        <v>20</v>
      </c>
      <c r="AK24">
        <v>16</v>
      </c>
      <c r="AL24">
        <v>11</v>
      </c>
      <c r="AM24">
        <v>3</v>
      </c>
      <c r="AN24">
        <v>3</v>
      </c>
      <c r="AO24">
        <v>2</v>
      </c>
      <c r="AP24">
        <v>1</v>
      </c>
      <c r="AQ24">
        <v>2</v>
      </c>
      <c r="AR24">
        <v>1</v>
      </c>
      <c r="AS24">
        <v>3</v>
      </c>
      <c r="AT24">
        <v>1</v>
      </c>
      <c r="AU24">
        <v>1</v>
      </c>
      <c r="AV24">
        <v>2</v>
      </c>
      <c r="AW24">
        <v>3</v>
      </c>
      <c r="AX24">
        <v>10</v>
      </c>
      <c r="AY24">
        <v>12</v>
      </c>
      <c r="AZ24">
        <v>18</v>
      </c>
      <c r="BA24">
        <v>5</v>
      </c>
      <c r="BB24">
        <v>12</v>
      </c>
      <c r="BC24">
        <v>15</v>
      </c>
      <c r="BD24">
        <v>17</v>
      </c>
      <c r="BE24">
        <v>3</v>
      </c>
      <c r="BF24">
        <v>9</v>
      </c>
      <c r="BG24">
        <v>6</v>
      </c>
      <c r="BH24">
        <v>10</v>
      </c>
      <c r="BI24">
        <v>15</v>
      </c>
      <c r="BJ24">
        <v>6</v>
      </c>
      <c r="BK24">
        <v>13</v>
      </c>
      <c r="BL24">
        <v>3</v>
      </c>
      <c r="BM24">
        <v>12</v>
      </c>
      <c r="BN24">
        <v>6</v>
      </c>
      <c r="BO24">
        <v>4</v>
      </c>
      <c r="BP24">
        <v>8</v>
      </c>
      <c r="BQ24">
        <v>2</v>
      </c>
      <c r="BR24">
        <v>4</v>
      </c>
      <c r="BS24">
        <v>2</v>
      </c>
      <c r="BT24">
        <v>4</v>
      </c>
      <c r="BU24">
        <v>12</v>
      </c>
      <c r="BV24">
        <v>8</v>
      </c>
      <c r="BW24">
        <v>2</v>
      </c>
      <c r="BX24">
        <v>12</v>
      </c>
      <c r="BY24">
        <v>7</v>
      </c>
      <c r="BZ24">
        <v>1</v>
      </c>
      <c r="CA24">
        <v>20</v>
      </c>
      <c r="CB24">
        <v>1</v>
      </c>
      <c r="CC24">
        <v>16</v>
      </c>
      <c r="CD24">
        <v>7</v>
      </c>
      <c r="CE24">
        <v>1</v>
      </c>
      <c r="CF24">
        <v>1</v>
      </c>
      <c r="CG24">
        <v>1</v>
      </c>
      <c r="CH24">
        <v>1</v>
      </c>
      <c r="CJ24" t="s">
        <v>230</v>
      </c>
      <c r="CK24" t="s">
        <v>313</v>
      </c>
      <c r="CL24">
        <v>34</v>
      </c>
      <c r="CM24">
        <v>23</v>
      </c>
      <c r="CN24">
        <v>19</v>
      </c>
    </row>
    <row r="25" spans="1:92" x14ac:dyDescent="0.3">
      <c r="A25">
        <v>9</v>
      </c>
      <c r="C25" t="s">
        <v>69</v>
      </c>
      <c r="D25" t="s">
        <v>269</v>
      </c>
      <c r="E25" t="s">
        <v>70</v>
      </c>
      <c r="F25">
        <v>93</v>
      </c>
      <c r="G25">
        <v>163</v>
      </c>
      <c r="H25">
        <v>20</v>
      </c>
      <c r="I25">
        <v>3247</v>
      </c>
      <c r="J25" t="s">
        <v>314</v>
      </c>
      <c r="K25">
        <v>10000</v>
      </c>
      <c r="L25" t="s">
        <v>228</v>
      </c>
      <c r="M25" t="s">
        <v>228</v>
      </c>
      <c r="N25">
        <v>-224</v>
      </c>
      <c r="O25">
        <v>8195</v>
      </c>
      <c r="P25">
        <v>15</v>
      </c>
      <c r="Q25">
        <v>14</v>
      </c>
      <c r="R25">
        <v>9</v>
      </c>
      <c r="S25">
        <v>6</v>
      </c>
      <c r="T25">
        <v>10</v>
      </c>
      <c r="U25">
        <v>8</v>
      </c>
      <c r="V25">
        <v>4</v>
      </c>
      <c r="W25">
        <v>8</v>
      </c>
      <c r="X25">
        <v>11</v>
      </c>
      <c r="Y25">
        <v>10</v>
      </c>
      <c r="Z25">
        <v>10</v>
      </c>
      <c r="AA25">
        <v>10</v>
      </c>
      <c r="AB25">
        <v>13</v>
      </c>
      <c r="AC25">
        <v>12</v>
      </c>
      <c r="AD25">
        <v>12</v>
      </c>
      <c r="AE25" t="s">
        <v>252</v>
      </c>
      <c r="AF25">
        <v>4</v>
      </c>
      <c r="AG25">
        <v>20</v>
      </c>
      <c r="AH25">
        <v>10</v>
      </c>
      <c r="AI25">
        <v>13</v>
      </c>
      <c r="AJ25">
        <v>13</v>
      </c>
      <c r="AK25">
        <v>12</v>
      </c>
      <c r="AL25">
        <v>3</v>
      </c>
      <c r="AM25">
        <v>1</v>
      </c>
      <c r="AN25">
        <v>1</v>
      </c>
      <c r="AO25">
        <v>3</v>
      </c>
      <c r="AP25">
        <v>3</v>
      </c>
      <c r="AQ25">
        <v>2</v>
      </c>
      <c r="AR25">
        <v>2</v>
      </c>
      <c r="AS25">
        <v>3</v>
      </c>
      <c r="AT25">
        <v>3</v>
      </c>
      <c r="AU25">
        <v>1</v>
      </c>
      <c r="AV25">
        <v>1</v>
      </c>
      <c r="AW25">
        <v>2</v>
      </c>
      <c r="AX25">
        <v>11</v>
      </c>
      <c r="AY25">
        <v>12</v>
      </c>
      <c r="AZ25">
        <v>5</v>
      </c>
      <c r="BA25">
        <v>11</v>
      </c>
      <c r="BB25">
        <v>4</v>
      </c>
      <c r="BC25">
        <v>12</v>
      </c>
      <c r="BD25">
        <v>4</v>
      </c>
      <c r="BE25">
        <v>13</v>
      </c>
      <c r="BF25">
        <v>7</v>
      </c>
      <c r="BG25">
        <v>14</v>
      </c>
      <c r="BH25">
        <v>3</v>
      </c>
      <c r="BI25">
        <v>15</v>
      </c>
      <c r="BJ25">
        <v>9</v>
      </c>
      <c r="BK25">
        <v>14</v>
      </c>
      <c r="BL25">
        <v>9</v>
      </c>
      <c r="BM25">
        <v>11</v>
      </c>
      <c r="BN25">
        <v>10</v>
      </c>
      <c r="BO25">
        <v>12</v>
      </c>
      <c r="BP25">
        <v>14</v>
      </c>
      <c r="BQ25">
        <v>3</v>
      </c>
      <c r="BR25">
        <v>7</v>
      </c>
      <c r="BS25">
        <v>4</v>
      </c>
      <c r="BT25">
        <v>2</v>
      </c>
      <c r="BU25">
        <v>6</v>
      </c>
      <c r="BV25">
        <v>9</v>
      </c>
      <c r="BW25">
        <v>4</v>
      </c>
      <c r="BX25">
        <v>1</v>
      </c>
      <c r="BY25">
        <v>14</v>
      </c>
      <c r="BZ25">
        <v>1</v>
      </c>
      <c r="CA25">
        <v>1</v>
      </c>
      <c r="CB25">
        <v>1</v>
      </c>
      <c r="CC25">
        <v>1</v>
      </c>
      <c r="CD25">
        <v>1</v>
      </c>
      <c r="CE25">
        <v>10</v>
      </c>
      <c r="CF25">
        <v>1</v>
      </c>
      <c r="CG25">
        <v>20</v>
      </c>
      <c r="CH25">
        <v>20</v>
      </c>
      <c r="CJ25" t="s">
        <v>230</v>
      </c>
      <c r="CK25" t="s">
        <v>243</v>
      </c>
      <c r="CL25">
        <v>108</v>
      </c>
      <c r="CM25">
        <v>53</v>
      </c>
      <c r="CN25">
        <v>31</v>
      </c>
    </row>
    <row r="26" spans="1:92" x14ac:dyDescent="0.3">
      <c r="A26">
        <v>13</v>
      </c>
      <c r="C26" t="s">
        <v>315</v>
      </c>
      <c r="D26" t="s">
        <v>94</v>
      </c>
      <c r="E26" t="s">
        <v>76</v>
      </c>
      <c r="F26">
        <v>92</v>
      </c>
      <c r="G26">
        <v>154</v>
      </c>
      <c r="H26">
        <v>17</v>
      </c>
      <c r="I26">
        <v>2413</v>
      </c>
      <c r="J26" t="s">
        <v>227</v>
      </c>
      <c r="K26">
        <v>9982</v>
      </c>
      <c r="L26" t="s">
        <v>228</v>
      </c>
      <c r="M26" t="s">
        <v>228</v>
      </c>
      <c r="N26">
        <v>35</v>
      </c>
      <c r="O26">
        <v>10000</v>
      </c>
      <c r="P26">
        <v>10</v>
      </c>
      <c r="Q26">
        <v>11</v>
      </c>
      <c r="R26">
        <v>12</v>
      </c>
      <c r="S26">
        <v>9</v>
      </c>
      <c r="T26">
        <v>10</v>
      </c>
      <c r="U26">
        <v>13</v>
      </c>
      <c r="V26">
        <v>13</v>
      </c>
      <c r="W26">
        <v>10</v>
      </c>
      <c r="X26">
        <v>7</v>
      </c>
      <c r="Y26">
        <v>12</v>
      </c>
      <c r="Z26">
        <v>12</v>
      </c>
      <c r="AA26">
        <v>13</v>
      </c>
      <c r="AB26">
        <v>14</v>
      </c>
      <c r="AC26">
        <v>8</v>
      </c>
      <c r="AD26">
        <v>13</v>
      </c>
      <c r="AE26" t="s">
        <v>252</v>
      </c>
      <c r="AF26">
        <v>12</v>
      </c>
      <c r="AG26">
        <v>14</v>
      </c>
      <c r="AH26">
        <v>16</v>
      </c>
      <c r="AI26">
        <v>8</v>
      </c>
      <c r="AJ26">
        <v>20</v>
      </c>
      <c r="AK26">
        <v>8</v>
      </c>
      <c r="AL26">
        <v>8</v>
      </c>
      <c r="AM26">
        <v>7</v>
      </c>
      <c r="AN26">
        <v>9</v>
      </c>
      <c r="AO26">
        <v>8</v>
      </c>
      <c r="AP26">
        <v>19</v>
      </c>
      <c r="AQ26">
        <v>10</v>
      </c>
      <c r="AR26">
        <v>10</v>
      </c>
      <c r="AS26">
        <v>14</v>
      </c>
      <c r="AT26">
        <v>13</v>
      </c>
      <c r="AU26">
        <v>18</v>
      </c>
      <c r="AV26">
        <v>10</v>
      </c>
      <c r="AW26">
        <v>9</v>
      </c>
      <c r="AX26">
        <v>12</v>
      </c>
      <c r="AY26">
        <v>16</v>
      </c>
      <c r="AZ26">
        <v>8</v>
      </c>
      <c r="BA26">
        <v>12</v>
      </c>
      <c r="BB26">
        <v>12</v>
      </c>
      <c r="BC26">
        <v>14</v>
      </c>
      <c r="BD26">
        <v>12</v>
      </c>
      <c r="BE26">
        <v>2</v>
      </c>
      <c r="BF26">
        <v>3</v>
      </c>
      <c r="BG26">
        <v>1</v>
      </c>
      <c r="BH26">
        <v>14</v>
      </c>
      <c r="BI26">
        <v>7</v>
      </c>
      <c r="BJ26">
        <v>7</v>
      </c>
      <c r="BK26">
        <v>10</v>
      </c>
      <c r="BL26">
        <v>4</v>
      </c>
      <c r="BM26">
        <v>2</v>
      </c>
      <c r="BN26">
        <v>1</v>
      </c>
      <c r="BO26">
        <v>2</v>
      </c>
      <c r="BP26">
        <v>6</v>
      </c>
      <c r="BQ26">
        <v>4</v>
      </c>
      <c r="BR26">
        <v>1</v>
      </c>
      <c r="BS26">
        <v>2</v>
      </c>
      <c r="BT26">
        <v>2</v>
      </c>
      <c r="BU26">
        <v>1</v>
      </c>
      <c r="BV26">
        <v>9</v>
      </c>
      <c r="BW26">
        <v>1</v>
      </c>
      <c r="BX26">
        <v>1</v>
      </c>
      <c r="BY26">
        <v>10</v>
      </c>
      <c r="BZ26">
        <v>20</v>
      </c>
      <c r="CA26">
        <v>1</v>
      </c>
      <c r="CB26">
        <v>1</v>
      </c>
      <c r="CC26">
        <v>1</v>
      </c>
      <c r="CD26">
        <v>1</v>
      </c>
      <c r="CE26">
        <v>1</v>
      </c>
      <c r="CF26">
        <v>1</v>
      </c>
      <c r="CG26">
        <v>1</v>
      </c>
      <c r="CH26">
        <v>1</v>
      </c>
      <c r="CJ26" t="s">
        <v>230</v>
      </c>
      <c r="CK26" t="s">
        <v>316</v>
      </c>
      <c r="CL26">
        <v>65</v>
      </c>
      <c r="CM26">
        <v>0</v>
      </c>
      <c r="CN26">
        <v>19</v>
      </c>
    </row>
    <row r="27" spans="1:92" x14ac:dyDescent="0.3">
      <c r="A27">
        <v>19</v>
      </c>
      <c r="C27" t="s">
        <v>317</v>
      </c>
      <c r="D27" t="s">
        <v>311</v>
      </c>
      <c r="E27" t="s">
        <v>76</v>
      </c>
      <c r="F27">
        <v>88</v>
      </c>
      <c r="G27">
        <v>151</v>
      </c>
      <c r="H27">
        <v>17</v>
      </c>
      <c r="I27">
        <v>2198</v>
      </c>
      <c r="J27" t="s">
        <v>227</v>
      </c>
      <c r="K27">
        <v>9314</v>
      </c>
      <c r="L27" t="s">
        <v>228</v>
      </c>
      <c r="M27" t="s">
        <v>228</v>
      </c>
      <c r="N27">
        <v>19</v>
      </c>
      <c r="O27">
        <v>9400</v>
      </c>
      <c r="P27">
        <v>15</v>
      </c>
      <c r="Q27">
        <v>9</v>
      </c>
      <c r="R27">
        <v>15</v>
      </c>
      <c r="S27">
        <v>9</v>
      </c>
      <c r="T27">
        <v>11</v>
      </c>
      <c r="U27">
        <v>12</v>
      </c>
      <c r="V27">
        <v>11</v>
      </c>
      <c r="W27">
        <v>16</v>
      </c>
      <c r="X27">
        <v>13</v>
      </c>
      <c r="Y27">
        <v>16</v>
      </c>
      <c r="Z27">
        <v>10</v>
      </c>
      <c r="AA27">
        <v>4</v>
      </c>
      <c r="AB27">
        <v>5</v>
      </c>
      <c r="AC27">
        <v>13</v>
      </c>
      <c r="AD27">
        <v>10</v>
      </c>
      <c r="AE27" t="s">
        <v>286</v>
      </c>
      <c r="AF27">
        <v>17</v>
      </c>
      <c r="AG27">
        <v>13</v>
      </c>
      <c r="AH27">
        <v>14</v>
      </c>
      <c r="AI27">
        <v>11</v>
      </c>
      <c r="AJ27">
        <v>20</v>
      </c>
      <c r="AK27">
        <v>14</v>
      </c>
      <c r="AL27">
        <v>8</v>
      </c>
      <c r="AM27">
        <v>1</v>
      </c>
      <c r="AN27">
        <v>1</v>
      </c>
      <c r="AO27">
        <v>1</v>
      </c>
      <c r="AP27">
        <v>3</v>
      </c>
      <c r="AQ27">
        <v>2</v>
      </c>
      <c r="AR27">
        <v>2</v>
      </c>
      <c r="AS27">
        <v>2</v>
      </c>
      <c r="AT27">
        <v>1</v>
      </c>
      <c r="AU27">
        <v>3</v>
      </c>
      <c r="AV27">
        <v>4</v>
      </c>
      <c r="AW27">
        <v>1</v>
      </c>
      <c r="AX27">
        <v>13</v>
      </c>
      <c r="AY27">
        <v>11</v>
      </c>
      <c r="AZ27">
        <v>10</v>
      </c>
      <c r="BA27">
        <v>11</v>
      </c>
      <c r="BB27">
        <v>9</v>
      </c>
      <c r="BC27">
        <v>8</v>
      </c>
      <c r="BD27">
        <v>20</v>
      </c>
      <c r="BE27">
        <v>10</v>
      </c>
      <c r="BF27">
        <v>16</v>
      </c>
      <c r="BG27">
        <v>11</v>
      </c>
      <c r="BH27">
        <v>8</v>
      </c>
      <c r="BI27">
        <v>14</v>
      </c>
      <c r="BJ27">
        <v>8</v>
      </c>
      <c r="BK27">
        <v>12</v>
      </c>
      <c r="BL27">
        <v>6</v>
      </c>
      <c r="BM27">
        <v>9</v>
      </c>
      <c r="BN27">
        <v>9</v>
      </c>
      <c r="BO27">
        <v>8</v>
      </c>
      <c r="BP27">
        <v>10</v>
      </c>
      <c r="BQ27">
        <v>8</v>
      </c>
      <c r="BR27">
        <v>9</v>
      </c>
      <c r="BS27">
        <v>8</v>
      </c>
      <c r="BT27">
        <v>4</v>
      </c>
      <c r="BU27">
        <v>8</v>
      </c>
      <c r="BV27">
        <v>11</v>
      </c>
      <c r="BW27">
        <v>9</v>
      </c>
      <c r="BX27">
        <v>6</v>
      </c>
      <c r="BY27">
        <v>12</v>
      </c>
      <c r="BZ27">
        <v>1</v>
      </c>
      <c r="CA27">
        <v>20</v>
      </c>
      <c r="CB27">
        <v>2</v>
      </c>
      <c r="CC27">
        <v>5</v>
      </c>
      <c r="CD27">
        <v>1</v>
      </c>
      <c r="CE27">
        <v>1</v>
      </c>
      <c r="CF27">
        <v>1</v>
      </c>
      <c r="CG27">
        <v>1</v>
      </c>
      <c r="CH27">
        <v>3</v>
      </c>
      <c r="CJ27" t="s">
        <v>230</v>
      </c>
      <c r="CK27" t="s">
        <v>318</v>
      </c>
      <c r="CL27">
        <v>43</v>
      </c>
      <c r="CM27">
        <v>12</v>
      </c>
      <c r="CN27">
        <v>31</v>
      </c>
    </row>
    <row r="28" spans="1:92" x14ac:dyDescent="0.3">
      <c r="A28">
        <v>12</v>
      </c>
      <c r="C28" t="s">
        <v>319</v>
      </c>
      <c r="D28" t="s">
        <v>260</v>
      </c>
      <c r="E28" t="s">
        <v>320</v>
      </c>
      <c r="F28">
        <v>70</v>
      </c>
      <c r="G28">
        <v>108</v>
      </c>
      <c r="H28">
        <v>20</v>
      </c>
      <c r="I28">
        <v>2855</v>
      </c>
      <c r="J28" t="s">
        <v>321</v>
      </c>
      <c r="K28">
        <v>7620</v>
      </c>
      <c r="L28" t="s">
        <v>228</v>
      </c>
      <c r="M28" t="s">
        <v>228</v>
      </c>
      <c r="N28">
        <v>-21</v>
      </c>
      <c r="O28">
        <v>7400</v>
      </c>
      <c r="P28">
        <v>9</v>
      </c>
      <c r="Q28">
        <v>5</v>
      </c>
      <c r="R28">
        <v>12</v>
      </c>
      <c r="S28">
        <v>12</v>
      </c>
      <c r="T28">
        <v>8</v>
      </c>
      <c r="U28">
        <v>10</v>
      </c>
      <c r="V28">
        <v>10</v>
      </c>
      <c r="W28">
        <v>10</v>
      </c>
      <c r="X28">
        <v>10</v>
      </c>
      <c r="Y28">
        <v>10</v>
      </c>
      <c r="Z28">
        <v>10</v>
      </c>
      <c r="AA28">
        <v>10</v>
      </c>
      <c r="AB28">
        <v>10</v>
      </c>
      <c r="AC28">
        <v>13</v>
      </c>
      <c r="AD28">
        <v>11</v>
      </c>
      <c r="AE28" t="s">
        <v>279</v>
      </c>
      <c r="AF28">
        <v>9</v>
      </c>
      <c r="AG28">
        <v>20</v>
      </c>
      <c r="AH28">
        <v>9</v>
      </c>
      <c r="AI28">
        <v>13</v>
      </c>
      <c r="AJ28">
        <v>11</v>
      </c>
      <c r="AK28">
        <v>11</v>
      </c>
      <c r="AL28">
        <v>10</v>
      </c>
      <c r="AM28">
        <v>2</v>
      </c>
      <c r="AN28">
        <v>2</v>
      </c>
      <c r="AO28">
        <v>2</v>
      </c>
      <c r="AP28">
        <v>1</v>
      </c>
      <c r="AQ28">
        <v>2</v>
      </c>
      <c r="AR28">
        <v>4</v>
      </c>
      <c r="AS28">
        <v>1</v>
      </c>
      <c r="AT28">
        <v>2</v>
      </c>
      <c r="AU28">
        <v>4</v>
      </c>
      <c r="AV28">
        <v>1</v>
      </c>
      <c r="AW28">
        <v>2</v>
      </c>
      <c r="AX28">
        <v>14</v>
      </c>
      <c r="AY28">
        <v>4</v>
      </c>
      <c r="AZ28">
        <v>6</v>
      </c>
      <c r="BA28">
        <v>7</v>
      </c>
      <c r="BB28">
        <v>2</v>
      </c>
      <c r="BC28">
        <v>11</v>
      </c>
      <c r="BD28">
        <v>4</v>
      </c>
      <c r="BE28">
        <v>11</v>
      </c>
      <c r="BF28">
        <v>8</v>
      </c>
      <c r="BG28">
        <v>10</v>
      </c>
      <c r="BH28">
        <v>2</v>
      </c>
      <c r="BI28">
        <v>6</v>
      </c>
      <c r="BJ28">
        <v>6</v>
      </c>
      <c r="BK28">
        <v>8</v>
      </c>
      <c r="BL28">
        <v>3</v>
      </c>
      <c r="BM28">
        <v>6</v>
      </c>
      <c r="BN28">
        <v>13</v>
      </c>
      <c r="BO28">
        <v>5</v>
      </c>
      <c r="BP28">
        <v>10</v>
      </c>
      <c r="BQ28">
        <v>3</v>
      </c>
      <c r="BR28">
        <v>3</v>
      </c>
      <c r="BS28">
        <v>8</v>
      </c>
      <c r="BT28">
        <v>6</v>
      </c>
      <c r="BU28">
        <v>3</v>
      </c>
      <c r="BV28">
        <v>5</v>
      </c>
      <c r="BW28">
        <v>3</v>
      </c>
      <c r="BX28">
        <v>3</v>
      </c>
      <c r="BY28">
        <v>11</v>
      </c>
      <c r="BZ28">
        <v>1</v>
      </c>
      <c r="CA28">
        <v>1</v>
      </c>
      <c r="CB28">
        <v>1</v>
      </c>
      <c r="CC28">
        <v>1</v>
      </c>
      <c r="CD28">
        <v>1</v>
      </c>
      <c r="CE28">
        <v>1</v>
      </c>
      <c r="CF28">
        <v>19</v>
      </c>
      <c r="CG28">
        <v>20</v>
      </c>
      <c r="CH28">
        <v>1</v>
      </c>
      <c r="CI28" t="s">
        <v>322</v>
      </c>
      <c r="CJ28" t="s">
        <v>230</v>
      </c>
      <c r="CK28" t="s">
        <v>243</v>
      </c>
      <c r="CL28">
        <v>162</v>
      </c>
      <c r="CM28">
        <v>76</v>
      </c>
      <c r="CN28">
        <v>7</v>
      </c>
    </row>
    <row r="29" spans="1:92" x14ac:dyDescent="0.3">
      <c r="A29">
        <v>-1</v>
      </c>
      <c r="C29" t="s">
        <v>323</v>
      </c>
      <c r="D29" t="s">
        <v>186</v>
      </c>
      <c r="E29" t="s">
        <v>76</v>
      </c>
      <c r="F29">
        <v>58</v>
      </c>
      <c r="G29">
        <v>97</v>
      </c>
      <c r="H29">
        <v>20</v>
      </c>
      <c r="I29">
        <v>1334</v>
      </c>
      <c r="J29" t="s">
        <v>324</v>
      </c>
      <c r="K29">
        <v>9510</v>
      </c>
      <c r="L29" t="s">
        <v>228</v>
      </c>
      <c r="M29" t="s">
        <v>228</v>
      </c>
      <c r="N29">
        <v>-200</v>
      </c>
      <c r="O29">
        <v>8200</v>
      </c>
      <c r="P29">
        <v>16</v>
      </c>
      <c r="Q29">
        <v>12</v>
      </c>
      <c r="R29">
        <v>3</v>
      </c>
      <c r="S29">
        <v>10</v>
      </c>
      <c r="T29">
        <v>9</v>
      </c>
      <c r="U29">
        <v>10</v>
      </c>
      <c r="V29">
        <v>10</v>
      </c>
      <c r="W29">
        <v>10</v>
      </c>
      <c r="X29">
        <v>10</v>
      </c>
      <c r="Y29">
        <v>10</v>
      </c>
      <c r="Z29">
        <v>11</v>
      </c>
      <c r="AA29">
        <v>10</v>
      </c>
      <c r="AB29">
        <v>10</v>
      </c>
      <c r="AC29">
        <v>13</v>
      </c>
      <c r="AD29">
        <v>10</v>
      </c>
      <c r="AE29" t="s">
        <v>325</v>
      </c>
      <c r="AF29">
        <v>6</v>
      </c>
      <c r="AG29">
        <v>20</v>
      </c>
      <c r="AH29">
        <v>13</v>
      </c>
      <c r="AI29">
        <v>14</v>
      </c>
      <c r="AJ29">
        <v>10</v>
      </c>
      <c r="AK29">
        <v>13</v>
      </c>
      <c r="AL29">
        <v>6</v>
      </c>
      <c r="AM29">
        <v>3</v>
      </c>
      <c r="AN29">
        <v>3</v>
      </c>
      <c r="AO29">
        <v>3</v>
      </c>
      <c r="AP29">
        <v>3</v>
      </c>
      <c r="AQ29">
        <v>1</v>
      </c>
      <c r="AR29">
        <v>4</v>
      </c>
      <c r="AS29">
        <v>3</v>
      </c>
      <c r="AT29">
        <v>3</v>
      </c>
      <c r="AU29">
        <v>2</v>
      </c>
      <c r="AV29">
        <v>1</v>
      </c>
      <c r="AW29">
        <v>1</v>
      </c>
      <c r="AX29">
        <v>14</v>
      </c>
      <c r="AY29">
        <v>7</v>
      </c>
      <c r="AZ29">
        <v>5</v>
      </c>
      <c r="BA29">
        <v>4</v>
      </c>
      <c r="BB29">
        <v>13</v>
      </c>
      <c r="BC29">
        <v>12</v>
      </c>
      <c r="BD29">
        <v>15</v>
      </c>
      <c r="BE29">
        <v>7</v>
      </c>
      <c r="BF29">
        <v>2</v>
      </c>
      <c r="BG29">
        <v>3</v>
      </c>
      <c r="BH29">
        <v>9</v>
      </c>
      <c r="BI29">
        <v>5</v>
      </c>
      <c r="BJ29">
        <v>2</v>
      </c>
      <c r="BK29">
        <v>6</v>
      </c>
      <c r="BL29">
        <v>3</v>
      </c>
      <c r="BM29">
        <v>10</v>
      </c>
      <c r="BN29">
        <v>4</v>
      </c>
      <c r="BO29">
        <v>1</v>
      </c>
      <c r="BP29">
        <v>11</v>
      </c>
      <c r="BQ29">
        <v>1</v>
      </c>
      <c r="BR29">
        <v>2</v>
      </c>
      <c r="BS29">
        <v>2</v>
      </c>
      <c r="BT29">
        <v>3</v>
      </c>
      <c r="BU29">
        <v>5</v>
      </c>
      <c r="BV29">
        <v>5</v>
      </c>
      <c r="BW29">
        <v>1</v>
      </c>
      <c r="BX29">
        <v>8</v>
      </c>
      <c r="BY29">
        <v>6</v>
      </c>
      <c r="BZ29">
        <v>1</v>
      </c>
      <c r="CA29">
        <v>1</v>
      </c>
      <c r="CB29">
        <v>2</v>
      </c>
      <c r="CC29">
        <v>20</v>
      </c>
      <c r="CD29">
        <v>1</v>
      </c>
      <c r="CE29">
        <v>2</v>
      </c>
      <c r="CF29">
        <v>1</v>
      </c>
      <c r="CG29">
        <v>1</v>
      </c>
      <c r="CH29">
        <v>1</v>
      </c>
      <c r="CJ29" t="s">
        <v>230</v>
      </c>
      <c r="CK29" t="s">
        <v>326</v>
      </c>
      <c r="CL29">
        <v>41</v>
      </c>
      <c r="CM29">
        <v>18</v>
      </c>
      <c r="CN29">
        <v>7</v>
      </c>
    </row>
    <row r="30" spans="1:92" x14ac:dyDescent="0.3">
      <c r="A30">
        <v>3</v>
      </c>
      <c r="C30" t="s">
        <v>327</v>
      </c>
      <c r="D30" t="s">
        <v>328</v>
      </c>
      <c r="E30" t="s">
        <v>76</v>
      </c>
      <c r="F30">
        <v>70</v>
      </c>
      <c r="G30">
        <v>77</v>
      </c>
      <c r="H30">
        <v>18</v>
      </c>
      <c r="I30">
        <v>1052</v>
      </c>
      <c r="J30" t="s">
        <v>329</v>
      </c>
      <c r="K30">
        <v>8840</v>
      </c>
      <c r="L30" t="s">
        <v>228</v>
      </c>
      <c r="M30" t="s">
        <v>228</v>
      </c>
      <c r="N30">
        <v>-36</v>
      </c>
      <c r="O30">
        <v>10000</v>
      </c>
      <c r="P30">
        <v>7</v>
      </c>
      <c r="Q30">
        <v>11</v>
      </c>
      <c r="R30">
        <v>9</v>
      </c>
      <c r="S30">
        <v>12</v>
      </c>
      <c r="T30">
        <v>10</v>
      </c>
      <c r="U30">
        <v>10</v>
      </c>
      <c r="V30">
        <v>17</v>
      </c>
      <c r="W30">
        <v>10</v>
      </c>
      <c r="X30">
        <v>18</v>
      </c>
      <c r="Y30">
        <v>17</v>
      </c>
      <c r="Z30">
        <v>18</v>
      </c>
      <c r="AA30">
        <v>17</v>
      </c>
      <c r="AB30">
        <v>19</v>
      </c>
      <c r="AC30">
        <v>12</v>
      </c>
      <c r="AD30">
        <v>10</v>
      </c>
      <c r="AE30" t="s">
        <v>325</v>
      </c>
      <c r="AF30">
        <v>10</v>
      </c>
      <c r="AG30">
        <v>13</v>
      </c>
      <c r="AH30">
        <v>15</v>
      </c>
      <c r="AI30">
        <v>11</v>
      </c>
      <c r="AJ30">
        <v>20</v>
      </c>
      <c r="AK30">
        <v>14</v>
      </c>
      <c r="AL30">
        <v>9</v>
      </c>
      <c r="AM30">
        <v>2</v>
      </c>
      <c r="AN30">
        <v>1</v>
      </c>
      <c r="AO30">
        <v>2</v>
      </c>
      <c r="AP30">
        <v>1</v>
      </c>
      <c r="AQ30">
        <v>3</v>
      </c>
      <c r="AR30">
        <v>2</v>
      </c>
      <c r="AS30">
        <v>1</v>
      </c>
      <c r="AT30">
        <v>3</v>
      </c>
      <c r="AU30">
        <v>2</v>
      </c>
      <c r="AV30">
        <v>3</v>
      </c>
      <c r="AW30">
        <v>3</v>
      </c>
      <c r="AX30">
        <v>10</v>
      </c>
      <c r="AY30">
        <v>7</v>
      </c>
      <c r="AZ30">
        <v>18</v>
      </c>
      <c r="BA30">
        <v>5</v>
      </c>
      <c r="BB30">
        <v>7</v>
      </c>
      <c r="BC30">
        <v>11</v>
      </c>
      <c r="BD30">
        <v>11</v>
      </c>
      <c r="BE30">
        <v>7</v>
      </c>
      <c r="BF30">
        <v>7</v>
      </c>
      <c r="BG30">
        <v>4</v>
      </c>
      <c r="BH30">
        <v>8</v>
      </c>
      <c r="BI30">
        <v>15</v>
      </c>
      <c r="BJ30">
        <v>8</v>
      </c>
      <c r="BK30">
        <v>16</v>
      </c>
      <c r="BL30">
        <v>4</v>
      </c>
      <c r="BM30">
        <v>6</v>
      </c>
      <c r="BN30">
        <v>6</v>
      </c>
      <c r="BO30">
        <v>1</v>
      </c>
      <c r="BP30">
        <v>5</v>
      </c>
      <c r="BQ30">
        <v>4</v>
      </c>
      <c r="BR30">
        <v>8</v>
      </c>
      <c r="BS30">
        <v>3</v>
      </c>
      <c r="BT30">
        <v>3</v>
      </c>
      <c r="BU30">
        <v>7</v>
      </c>
      <c r="BV30">
        <v>6</v>
      </c>
      <c r="BW30">
        <v>5</v>
      </c>
      <c r="BX30">
        <v>4</v>
      </c>
      <c r="BY30">
        <v>9</v>
      </c>
      <c r="BZ30">
        <v>1</v>
      </c>
      <c r="CA30">
        <v>20</v>
      </c>
      <c r="CB30">
        <v>1</v>
      </c>
      <c r="CC30">
        <v>5</v>
      </c>
      <c r="CD30">
        <v>1</v>
      </c>
      <c r="CE30">
        <v>16</v>
      </c>
      <c r="CF30">
        <v>1</v>
      </c>
      <c r="CG30">
        <v>1</v>
      </c>
      <c r="CH30">
        <v>1</v>
      </c>
      <c r="CJ30" t="s">
        <v>230</v>
      </c>
      <c r="CK30" t="s">
        <v>318</v>
      </c>
      <c r="CL30">
        <v>46</v>
      </c>
      <c r="CM30">
        <v>0</v>
      </c>
      <c r="CN30">
        <v>31</v>
      </c>
    </row>
    <row r="31" spans="1:92" x14ac:dyDescent="0.3">
      <c r="A31">
        <v>21</v>
      </c>
      <c r="C31" t="s">
        <v>330</v>
      </c>
      <c r="D31" t="s">
        <v>94</v>
      </c>
      <c r="E31" t="s">
        <v>76</v>
      </c>
      <c r="F31">
        <v>38</v>
      </c>
      <c r="G31">
        <v>96</v>
      </c>
      <c r="H31">
        <v>21</v>
      </c>
      <c r="I31">
        <v>1006</v>
      </c>
      <c r="J31" t="s">
        <v>331</v>
      </c>
      <c r="K31">
        <v>9716</v>
      </c>
      <c r="L31" t="s">
        <v>228</v>
      </c>
      <c r="M31" t="s">
        <v>228</v>
      </c>
      <c r="N31">
        <v>-247</v>
      </c>
      <c r="O31">
        <v>10000</v>
      </c>
      <c r="P31">
        <v>17</v>
      </c>
      <c r="Q31">
        <v>5</v>
      </c>
      <c r="R31">
        <v>12</v>
      </c>
      <c r="S31">
        <v>4</v>
      </c>
      <c r="T31">
        <v>8</v>
      </c>
      <c r="U31">
        <v>10</v>
      </c>
      <c r="V31">
        <v>10</v>
      </c>
      <c r="W31">
        <v>10</v>
      </c>
      <c r="X31">
        <v>10</v>
      </c>
      <c r="Y31">
        <v>10</v>
      </c>
      <c r="Z31">
        <v>10</v>
      </c>
      <c r="AA31">
        <v>10</v>
      </c>
      <c r="AB31">
        <v>10</v>
      </c>
      <c r="AC31">
        <v>8</v>
      </c>
      <c r="AD31">
        <v>10</v>
      </c>
      <c r="AE31" t="s">
        <v>332</v>
      </c>
      <c r="AF31">
        <v>10</v>
      </c>
      <c r="AG31">
        <v>12</v>
      </c>
      <c r="AH31">
        <v>12</v>
      </c>
      <c r="AI31">
        <v>8</v>
      </c>
      <c r="AJ31">
        <v>20</v>
      </c>
      <c r="AK31">
        <v>1</v>
      </c>
      <c r="AL31">
        <v>2</v>
      </c>
      <c r="AM31">
        <v>11</v>
      </c>
      <c r="AN31">
        <v>6</v>
      </c>
      <c r="AO31">
        <v>6</v>
      </c>
      <c r="AP31">
        <v>11</v>
      </c>
      <c r="AQ31">
        <v>12</v>
      </c>
      <c r="AR31">
        <v>5</v>
      </c>
      <c r="AS31">
        <v>8</v>
      </c>
      <c r="AT31">
        <v>11</v>
      </c>
      <c r="AU31">
        <v>6</v>
      </c>
      <c r="AV31">
        <v>11</v>
      </c>
      <c r="AW31">
        <v>4</v>
      </c>
      <c r="AX31">
        <v>10</v>
      </c>
      <c r="AY31">
        <v>2</v>
      </c>
      <c r="AZ31">
        <v>10</v>
      </c>
      <c r="BA31">
        <v>4</v>
      </c>
      <c r="BB31">
        <v>7</v>
      </c>
      <c r="BC31">
        <v>11</v>
      </c>
      <c r="BD31">
        <v>18</v>
      </c>
      <c r="BE31">
        <v>3</v>
      </c>
      <c r="BF31">
        <v>2</v>
      </c>
      <c r="BG31">
        <v>1</v>
      </c>
      <c r="BH31">
        <v>4</v>
      </c>
      <c r="BI31">
        <v>4</v>
      </c>
      <c r="BJ31">
        <v>2</v>
      </c>
      <c r="BK31">
        <v>3</v>
      </c>
      <c r="BL31">
        <v>3</v>
      </c>
      <c r="BM31">
        <v>2</v>
      </c>
      <c r="BN31">
        <v>1</v>
      </c>
      <c r="BO31">
        <v>2</v>
      </c>
      <c r="BP31">
        <v>1</v>
      </c>
      <c r="BQ31">
        <v>3</v>
      </c>
      <c r="BR31">
        <v>1</v>
      </c>
      <c r="BS31">
        <v>1</v>
      </c>
      <c r="BT31">
        <v>3</v>
      </c>
      <c r="BU31">
        <v>3</v>
      </c>
      <c r="BV31">
        <v>8</v>
      </c>
      <c r="BW31">
        <v>1</v>
      </c>
      <c r="BX31">
        <v>3</v>
      </c>
      <c r="BY31">
        <v>1</v>
      </c>
      <c r="BZ31">
        <v>20</v>
      </c>
      <c r="CA31">
        <v>1</v>
      </c>
      <c r="CB31">
        <v>1</v>
      </c>
      <c r="CC31">
        <v>1</v>
      </c>
      <c r="CD31">
        <v>1</v>
      </c>
      <c r="CE31">
        <v>1</v>
      </c>
      <c r="CF31">
        <v>1</v>
      </c>
      <c r="CG31">
        <v>1</v>
      </c>
      <c r="CH31">
        <v>1</v>
      </c>
      <c r="CJ31" t="s">
        <v>230</v>
      </c>
      <c r="CK31" t="s">
        <v>326</v>
      </c>
      <c r="CL31">
        <v>41</v>
      </c>
      <c r="CM31">
        <v>12</v>
      </c>
      <c r="CN31">
        <v>7</v>
      </c>
    </row>
    <row r="32" spans="1:92" x14ac:dyDescent="0.3">
      <c r="A32">
        <v>-1</v>
      </c>
      <c r="C32" t="s">
        <v>333</v>
      </c>
      <c r="D32" t="s">
        <v>123</v>
      </c>
      <c r="E32" t="s">
        <v>76</v>
      </c>
      <c r="F32">
        <v>53</v>
      </c>
      <c r="G32">
        <v>97</v>
      </c>
      <c r="H32">
        <v>20</v>
      </c>
      <c r="I32">
        <v>1013</v>
      </c>
      <c r="J32" t="s">
        <v>324</v>
      </c>
      <c r="K32">
        <v>9553</v>
      </c>
      <c r="L32" t="s">
        <v>228</v>
      </c>
      <c r="M32" t="s">
        <v>228</v>
      </c>
      <c r="N32">
        <v>-213</v>
      </c>
      <c r="O32">
        <v>5100</v>
      </c>
      <c r="P32">
        <v>4</v>
      </c>
      <c r="Q32">
        <v>8</v>
      </c>
      <c r="R32">
        <v>12</v>
      </c>
      <c r="S32">
        <v>14</v>
      </c>
      <c r="T32">
        <v>6</v>
      </c>
      <c r="U32">
        <v>10</v>
      </c>
      <c r="V32">
        <v>11</v>
      </c>
      <c r="W32">
        <v>10</v>
      </c>
      <c r="X32">
        <v>10</v>
      </c>
      <c r="Y32">
        <v>10</v>
      </c>
      <c r="Z32">
        <v>10</v>
      </c>
      <c r="AA32">
        <v>10</v>
      </c>
      <c r="AB32">
        <v>10</v>
      </c>
      <c r="AC32">
        <v>9</v>
      </c>
      <c r="AD32">
        <v>8</v>
      </c>
      <c r="AE32" t="s">
        <v>279</v>
      </c>
      <c r="AF32">
        <v>6</v>
      </c>
      <c r="AG32">
        <v>10</v>
      </c>
      <c r="AH32">
        <v>10</v>
      </c>
      <c r="AI32">
        <v>8</v>
      </c>
      <c r="AJ32">
        <v>20</v>
      </c>
      <c r="AK32">
        <v>11</v>
      </c>
      <c r="AL32">
        <v>6</v>
      </c>
      <c r="AM32">
        <v>2</v>
      </c>
      <c r="AN32">
        <v>4</v>
      </c>
      <c r="AO32">
        <v>4</v>
      </c>
      <c r="AP32">
        <v>3</v>
      </c>
      <c r="AQ32">
        <v>2</v>
      </c>
      <c r="AR32">
        <v>3</v>
      </c>
      <c r="AS32">
        <v>2</v>
      </c>
      <c r="AT32">
        <v>3</v>
      </c>
      <c r="AU32">
        <v>1</v>
      </c>
      <c r="AV32">
        <v>4</v>
      </c>
      <c r="AW32">
        <v>3</v>
      </c>
      <c r="AX32">
        <v>7</v>
      </c>
      <c r="AY32">
        <v>5</v>
      </c>
      <c r="AZ32">
        <v>6</v>
      </c>
      <c r="BA32">
        <v>14</v>
      </c>
      <c r="BB32">
        <v>6</v>
      </c>
      <c r="BC32">
        <v>8</v>
      </c>
      <c r="BD32">
        <v>13</v>
      </c>
      <c r="BE32">
        <v>12</v>
      </c>
      <c r="BF32">
        <v>10</v>
      </c>
      <c r="BG32">
        <v>11</v>
      </c>
      <c r="BH32">
        <v>4</v>
      </c>
      <c r="BI32">
        <v>6</v>
      </c>
      <c r="BJ32">
        <v>9</v>
      </c>
      <c r="BK32">
        <v>11</v>
      </c>
      <c r="BL32">
        <v>5</v>
      </c>
      <c r="BM32">
        <v>9</v>
      </c>
      <c r="BN32">
        <v>7</v>
      </c>
      <c r="BO32">
        <v>5</v>
      </c>
      <c r="BP32">
        <v>14</v>
      </c>
      <c r="BQ32">
        <v>3</v>
      </c>
      <c r="BR32">
        <v>2</v>
      </c>
      <c r="BS32">
        <v>6</v>
      </c>
      <c r="BT32">
        <v>3</v>
      </c>
      <c r="BU32">
        <v>4</v>
      </c>
      <c r="BV32">
        <v>7</v>
      </c>
      <c r="BW32">
        <v>2</v>
      </c>
      <c r="BX32">
        <v>6</v>
      </c>
      <c r="BY32">
        <v>10</v>
      </c>
      <c r="BZ32">
        <v>1</v>
      </c>
      <c r="CA32">
        <v>1</v>
      </c>
      <c r="CB32">
        <v>1</v>
      </c>
      <c r="CC32">
        <v>1</v>
      </c>
      <c r="CD32">
        <v>1</v>
      </c>
      <c r="CE32">
        <v>20</v>
      </c>
      <c r="CF32">
        <v>1</v>
      </c>
      <c r="CG32">
        <v>20</v>
      </c>
      <c r="CH32">
        <v>1</v>
      </c>
      <c r="CJ32" t="s">
        <v>230</v>
      </c>
      <c r="CK32" t="s">
        <v>326</v>
      </c>
      <c r="CL32">
        <v>41</v>
      </c>
      <c r="CM32">
        <v>12</v>
      </c>
      <c r="CN32">
        <v>7</v>
      </c>
    </row>
    <row r="33" spans="1:92" x14ac:dyDescent="0.3">
      <c r="A33">
        <v>40</v>
      </c>
      <c r="C33" t="s">
        <v>334</v>
      </c>
      <c r="D33" t="s">
        <v>335</v>
      </c>
      <c r="E33" t="s">
        <v>76</v>
      </c>
      <c r="F33">
        <v>64</v>
      </c>
      <c r="G33">
        <v>107</v>
      </c>
      <c r="H33">
        <v>21</v>
      </c>
      <c r="I33">
        <v>980</v>
      </c>
      <c r="J33" t="s">
        <v>336</v>
      </c>
      <c r="K33">
        <v>9054</v>
      </c>
      <c r="L33" t="s">
        <v>228</v>
      </c>
      <c r="M33" t="s">
        <v>228</v>
      </c>
      <c r="N33">
        <v>-194</v>
      </c>
      <c r="O33">
        <v>7400</v>
      </c>
      <c r="P33">
        <v>8</v>
      </c>
      <c r="Q33">
        <v>15</v>
      </c>
      <c r="R33">
        <v>5</v>
      </c>
      <c r="S33">
        <v>8</v>
      </c>
      <c r="T33">
        <v>11</v>
      </c>
      <c r="U33">
        <v>10</v>
      </c>
      <c r="V33">
        <v>10</v>
      </c>
      <c r="W33">
        <v>9</v>
      </c>
      <c r="X33">
        <v>10</v>
      </c>
      <c r="Y33">
        <v>11</v>
      </c>
      <c r="Z33">
        <v>10</v>
      </c>
      <c r="AA33">
        <v>10</v>
      </c>
      <c r="AB33">
        <v>11</v>
      </c>
      <c r="AC33">
        <v>12</v>
      </c>
      <c r="AD33">
        <v>10</v>
      </c>
      <c r="AE33" t="s">
        <v>337</v>
      </c>
      <c r="AF33">
        <v>8</v>
      </c>
      <c r="AG33">
        <v>8</v>
      </c>
      <c r="AH33">
        <v>9</v>
      </c>
      <c r="AI33">
        <v>9</v>
      </c>
      <c r="AJ33">
        <v>20</v>
      </c>
      <c r="AK33">
        <v>7</v>
      </c>
      <c r="AL33">
        <v>3</v>
      </c>
      <c r="AM33">
        <v>1</v>
      </c>
      <c r="AN33">
        <v>3</v>
      </c>
      <c r="AO33">
        <v>2</v>
      </c>
      <c r="AP33">
        <v>2</v>
      </c>
      <c r="AQ33">
        <v>2</v>
      </c>
      <c r="AR33">
        <v>1</v>
      </c>
      <c r="AS33">
        <v>2</v>
      </c>
      <c r="AT33">
        <v>1</v>
      </c>
      <c r="AU33">
        <v>1</v>
      </c>
      <c r="AV33">
        <v>4</v>
      </c>
      <c r="AW33">
        <v>2</v>
      </c>
      <c r="AX33">
        <v>13</v>
      </c>
      <c r="AY33">
        <v>12</v>
      </c>
      <c r="AZ33">
        <v>7</v>
      </c>
      <c r="BA33">
        <v>10</v>
      </c>
      <c r="BB33">
        <v>3</v>
      </c>
      <c r="BC33">
        <v>13</v>
      </c>
      <c r="BD33">
        <v>13</v>
      </c>
      <c r="BE33">
        <v>10</v>
      </c>
      <c r="BF33">
        <v>5</v>
      </c>
      <c r="BG33">
        <v>11</v>
      </c>
      <c r="BH33">
        <v>5</v>
      </c>
      <c r="BI33">
        <v>10</v>
      </c>
      <c r="BJ33">
        <v>13</v>
      </c>
      <c r="BK33">
        <v>8</v>
      </c>
      <c r="BL33">
        <v>1</v>
      </c>
      <c r="BM33">
        <v>6</v>
      </c>
      <c r="BN33">
        <v>8</v>
      </c>
      <c r="BO33">
        <v>12</v>
      </c>
      <c r="BP33">
        <v>10</v>
      </c>
      <c r="BQ33">
        <v>3</v>
      </c>
      <c r="BR33">
        <v>7</v>
      </c>
      <c r="BS33">
        <v>6</v>
      </c>
      <c r="BT33">
        <v>2</v>
      </c>
      <c r="BU33">
        <v>6</v>
      </c>
      <c r="BV33">
        <v>8</v>
      </c>
      <c r="BW33">
        <v>1</v>
      </c>
      <c r="BX33">
        <v>4</v>
      </c>
      <c r="BY33">
        <v>9</v>
      </c>
      <c r="BZ33">
        <v>1</v>
      </c>
      <c r="CA33">
        <v>1</v>
      </c>
      <c r="CB33">
        <v>1</v>
      </c>
      <c r="CC33">
        <v>1</v>
      </c>
      <c r="CD33">
        <v>7</v>
      </c>
      <c r="CE33">
        <v>6</v>
      </c>
      <c r="CF33">
        <v>20</v>
      </c>
      <c r="CG33">
        <v>3</v>
      </c>
      <c r="CH33">
        <v>20</v>
      </c>
      <c r="CJ33" t="s">
        <v>230</v>
      </c>
      <c r="CK33" t="s">
        <v>318</v>
      </c>
      <c r="CL33">
        <v>41</v>
      </c>
      <c r="CM33">
        <v>0</v>
      </c>
      <c r="CN33">
        <v>7</v>
      </c>
    </row>
    <row r="34" spans="1:92" x14ac:dyDescent="0.3">
      <c r="A34">
        <v>42</v>
      </c>
      <c r="C34" t="s">
        <v>338</v>
      </c>
      <c r="D34" t="s">
        <v>78</v>
      </c>
      <c r="E34" t="s">
        <v>76</v>
      </c>
      <c r="F34">
        <v>60</v>
      </c>
      <c r="G34">
        <v>102</v>
      </c>
      <c r="H34">
        <v>21</v>
      </c>
      <c r="I34">
        <v>1041</v>
      </c>
      <c r="J34" t="s">
        <v>339</v>
      </c>
      <c r="K34">
        <v>10000</v>
      </c>
      <c r="L34" t="s">
        <v>228</v>
      </c>
      <c r="M34" t="s">
        <v>228</v>
      </c>
      <c r="N34">
        <v>-277</v>
      </c>
      <c r="O34">
        <v>9542</v>
      </c>
      <c r="P34">
        <v>8</v>
      </c>
      <c r="Q34">
        <v>12</v>
      </c>
      <c r="R34">
        <v>8</v>
      </c>
      <c r="S34">
        <v>9</v>
      </c>
      <c r="T34">
        <v>10</v>
      </c>
      <c r="U34">
        <v>11</v>
      </c>
      <c r="V34">
        <v>10</v>
      </c>
      <c r="W34">
        <v>9</v>
      </c>
      <c r="X34">
        <v>10</v>
      </c>
      <c r="Y34">
        <v>10</v>
      </c>
      <c r="Z34">
        <v>11</v>
      </c>
      <c r="AA34">
        <v>11</v>
      </c>
      <c r="AB34">
        <v>10</v>
      </c>
      <c r="AC34">
        <v>6</v>
      </c>
      <c r="AD34">
        <v>10</v>
      </c>
      <c r="AE34" t="s">
        <v>337</v>
      </c>
      <c r="AF34">
        <v>12</v>
      </c>
      <c r="AG34">
        <v>12</v>
      </c>
      <c r="AH34">
        <v>13</v>
      </c>
      <c r="AI34">
        <v>10</v>
      </c>
      <c r="AJ34">
        <v>20</v>
      </c>
      <c r="AK34">
        <v>9</v>
      </c>
      <c r="AL34">
        <v>5</v>
      </c>
      <c r="AM34">
        <v>1</v>
      </c>
      <c r="AN34">
        <v>3</v>
      </c>
      <c r="AO34">
        <v>1</v>
      </c>
      <c r="AP34">
        <v>4</v>
      </c>
      <c r="AQ34">
        <v>2</v>
      </c>
      <c r="AR34">
        <v>2</v>
      </c>
      <c r="AS34">
        <v>4</v>
      </c>
      <c r="AT34">
        <v>3</v>
      </c>
      <c r="AU34">
        <v>1</v>
      </c>
      <c r="AV34">
        <v>1</v>
      </c>
      <c r="AW34">
        <v>3</v>
      </c>
      <c r="AX34">
        <v>5</v>
      </c>
      <c r="AY34">
        <v>8</v>
      </c>
      <c r="AZ34">
        <v>6</v>
      </c>
      <c r="BA34">
        <v>9</v>
      </c>
      <c r="BB34">
        <v>10</v>
      </c>
      <c r="BC34">
        <v>13</v>
      </c>
      <c r="BD34">
        <v>6</v>
      </c>
      <c r="BE34">
        <v>7</v>
      </c>
      <c r="BF34">
        <v>5</v>
      </c>
      <c r="BG34">
        <v>9</v>
      </c>
      <c r="BH34">
        <v>9</v>
      </c>
      <c r="BI34">
        <v>6</v>
      </c>
      <c r="BJ34">
        <v>11</v>
      </c>
      <c r="BK34">
        <v>10</v>
      </c>
      <c r="BL34">
        <v>3</v>
      </c>
      <c r="BM34">
        <v>3</v>
      </c>
      <c r="BN34">
        <v>12</v>
      </c>
      <c r="BO34">
        <v>1</v>
      </c>
      <c r="BP34">
        <v>10</v>
      </c>
      <c r="BQ34">
        <v>3</v>
      </c>
      <c r="BR34">
        <v>4</v>
      </c>
      <c r="BS34">
        <v>3</v>
      </c>
      <c r="BT34">
        <v>1</v>
      </c>
      <c r="BU34">
        <v>7</v>
      </c>
      <c r="BV34">
        <v>12</v>
      </c>
      <c r="BW34">
        <v>2</v>
      </c>
      <c r="BX34">
        <v>10</v>
      </c>
      <c r="BY34">
        <v>9</v>
      </c>
      <c r="BZ34">
        <v>1</v>
      </c>
      <c r="CA34">
        <v>1</v>
      </c>
      <c r="CB34">
        <v>1</v>
      </c>
      <c r="CC34">
        <v>1</v>
      </c>
      <c r="CD34">
        <v>19</v>
      </c>
      <c r="CE34">
        <v>1</v>
      </c>
      <c r="CF34">
        <v>1</v>
      </c>
      <c r="CG34">
        <v>1</v>
      </c>
      <c r="CH34">
        <v>1</v>
      </c>
      <c r="CJ34" t="s">
        <v>230</v>
      </c>
      <c r="CK34" t="s">
        <v>318</v>
      </c>
      <c r="CL34">
        <v>41</v>
      </c>
      <c r="CM34">
        <v>12</v>
      </c>
      <c r="CN34">
        <v>7</v>
      </c>
    </row>
    <row r="35" spans="1:92" x14ac:dyDescent="0.3">
      <c r="A35">
        <v>43</v>
      </c>
      <c r="C35" t="s">
        <v>340</v>
      </c>
      <c r="D35" t="s">
        <v>87</v>
      </c>
      <c r="E35" t="s">
        <v>76</v>
      </c>
      <c r="F35">
        <v>44</v>
      </c>
      <c r="G35">
        <v>110</v>
      </c>
      <c r="H35">
        <v>19</v>
      </c>
      <c r="I35">
        <v>1678</v>
      </c>
      <c r="J35" t="s">
        <v>341</v>
      </c>
      <c r="K35">
        <v>10000</v>
      </c>
      <c r="L35" t="s">
        <v>228</v>
      </c>
      <c r="M35" t="s">
        <v>228</v>
      </c>
      <c r="N35">
        <v>-224</v>
      </c>
      <c r="O35">
        <v>5250</v>
      </c>
      <c r="P35">
        <v>9</v>
      </c>
      <c r="Q35">
        <v>9</v>
      </c>
      <c r="R35">
        <v>6</v>
      </c>
      <c r="S35">
        <v>13</v>
      </c>
      <c r="T35">
        <v>8</v>
      </c>
      <c r="U35">
        <v>6</v>
      </c>
      <c r="V35">
        <v>3</v>
      </c>
      <c r="W35">
        <v>6</v>
      </c>
      <c r="X35">
        <v>12</v>
      </c>
      <c r="Y35">
        <v>8</v>
      </c>
      <c r="Z35">
        <v>14</v>
      </c>
      <c r="AA35">
        <v>10</v>
      </c>
      <c r="AB35">
        <v>14</v>
      </c>
      <c r="AC35">
        <v>13</v>
      </c>
      <c r="AD35">
        <v>10</v>
      </c>
      <c r="AE35" t="s">
        <v>342</v>
      </c>
      <c r="AF35">
        <v>8</v>
      </c>
      <c r="AG35">
        <v>9</v>
      </c>
      <c r="AH35">
        <v>13</v>
      </c>
      <c r="AI35">
        <v>11</v>
      </c>
      <c r="AJ35">
        <v>20</v>
      </c>
      <c r="AK35">
        <v>10</v>
      </c>
      <c r="AL35">
        <v>5</v>
      </c>
      <c r="AM35">
        <v>1</v>
      </c>
      <c r="AN35">
        <v>2</v>
      </c>
      <c r="AO35">
        <v>3</v>
      </c>
      <c r="AP35">
        <v>3</v>
      </c>
      <c r="AQ35">
        <v>1</v>
      </c>
      <c r="AR35">
        <v>3</v>
      </c>
      <c r="AS35">
        <v>4</v>
      </c>
      <c r="AT35">
        <v>3</v>
      </c>
      <c r="AU35">
        <v>1</v>
      </c>
      <c r="AV35">
        <v>1</v>
      </c>
      <c r="AW35">
        <v>1</v>
      </c>
      <c r="AX35">
        <v>9</v>
      </c>
      <c r="AY35">
        <v>7</v>
      </c>
      <c r="AZ35">
        <v>7</v>
      </c>
      <c r="BA35">
        <v>7</v>
      </c>
      <c r="BB35">
        <v>3</v>
      </c>
      <c r="BC35">
        <v>6</v>
      </c>
      <c r="BD35">
        <v>5</v>
      </c>
      <c r="BE35">
        <v>9</v>
      </c>
      <c r="BF35">
        <v>10</v>
      </c>
      <c r="BG35">
        <v>9</v>
      </c>
      <c r="BH35">
        <v>3</v>
      </c>
      <c r="BI35">
        <v>13</v>
      </c>
      <c r="BJ35">
        <v>3</v>
      </c>
      <c r="BK35">
        <v>7</v>
      </c>
      <c r="BL35">
        <v>1</v>
      </c>
      <c r="BM35">
        <v>3</v>
      </c>
      <c r="BN35">
        <v>11</v>
      </c>
      <c r="BO35">
        <v>4</v>
      </c>
      <c r="BP35">
        <v>7</v>
      </c>
      <c r="BQ35">
        <v>2</v>
      </c>
      <c r="BR35">
        <v>2</v>
      </c>
      <c r="BS35">
        <v>2</v>
      </c>
      <c r="BT35">
        <v>2</v>
      </c>
      <c r="BU35">
        <v>2</v>
      </c>
      <c r="BV35">
        <v>5</v>
      </c>
      <c r="BW35">
        <v>3</v>
      </c>
      <c r="BX35">
        <v>1</v>
      </c>
      <c r="BY35">
        <v>8</v>
      </c>
      <c r="BZ35">
        <v>1</v>
      </c>
      <c r="CA35">
        <v>1</v>
      </c>
      <c r="CB35">
        <v>1</v>
      </c>
      <c r="CC35">
        <v>1</v>
      </c>
      <c r="CD35">
        <v>1</v>
      </c>
      <c r="CE35">
        <v>16</v>
      </c>
      <c r="CF35">
        <v>16</v>
      </c>
      <c r="CG35">
        <v>6</v>
      </c>
      <c r="CH35">
        <v>20</v>
      </c>
      <c r="CJ35" t="s">
        <v>230</v>
      </c>
      <c r="CK35" t="s">
        <v>243</v>
      </c>
      <c r="CL35">
        <v>162</v>
      </c>
      <c r="CM35">
        <v>64</v>
      </c>
      <c r="CN35">
        <v>7</v>
      </c>
    </row>
    <row r="36" spans="1:92" x14ac:dyDescent="0.3">
      <c r="A36">
        <v>12</v>
      </c>
      <c r="C36" t="s">
        <v>343</v>
      </c>
      <c r="D36" t="s">
        <v>112</v>
      </c>
      <c r="E36" t="s">
        <v>76</v>
      </c>
      <c r="F36">
        <v>71</v>
      </c>
      <c r="G36">
        <v>129</v>
      </c>
      <c r="H36">
        <v>17</v>
      </c>
      <c r="I36">
        <v>1574</v>
      </c>
      <c r="J36" t="s">
        <v>344</v>
      </c>
      <c r="K36">
        <v>9588</v>
      </c>
      <c r="L36" t="s">
        <v>228</v>
      </c>
      <c r="M36" t="s">
        <v>228</v>
      </c>
      <c r="N36">
        <v>20</v>
      </c>
      <c r="O36">
        <v>10000</v>
      </c>
      <c r="P36">
        <v>9</v>
      </c>
      <c r="Q36">
        <v>8</v>
      </c>
      <c r="R36">
        <v>10</v>
      </c>
      <c r="S36">
        <v>7</v>
      </c>
      <c r="T36">
        <v>10</v>
      </c>
      <c r="U36">
        <v>13</v>
      </c>
      <c r="V36">
        <v>6</v>
      </c>
      <c r="W36">
        <v>8</v>
      </c>
      <c r="X36">
        <v>11</v>
      </c>
      <c r="Y36">
        <v>7</v>
      </c>
      <c r="Z36">
        <v>14</v>
      </c>
      <c r="AA36">
        <v>15</v>
      </c>
      <c r="AB36">
        <v>14</v>
      </c>
      <c r="AC36">
        <v>12</v>
      </c>
      <c r="AD36">
        <v>10</v>
      </c>
      <c r="AE36" t="s">
        <v>229</v>
      </c>
      <c r="AF36">
        <v>8</v>
      </c>
      <c r="AG36">
        <v>10</v>
      </c>
      <c r="AH36">
        <v>17</v>
      </c>
      <c r="AI36">
        <v>10</v>
      </c>
      <c r="AJ36">
        <v>20</v>
      </c>
      <c r="AK36">
        <v>11</v>
      </c>
      <c r="AL36">
        <v>10</v>
      </c>
      <c r="AM36">
        <v>1</v>
      </c>
      <c r="AN36">
        <v>1</v>
      </c>
      <c r="AO36">
        <v>2</v>
      </c>
      <c r="AP36">
        <v>3</v>
      </c>
      <c r="AQ36">
        <v>3</v>
      </c>
      <c r="AR36">
        <v>3</v>
      </c>
      <c r="AS36">
        <v>2</v>
      </c>
      <c r="AT36">
        <v>3</v>
      </c>
      <c r="AU36">
        <v>3</v>
      </c>
      <c r="AV36">
        <v>1</v>
      </c>
      <c r="AW36">
        <v>1</v>
      </c>
      <c r="AX36">
        <v>17</v>
      </c>
      <c r="AY36">
        <v>12</v>
      </c>
      <c r="AZ36">
        <v>16</v>
      </c>
      <c r="BA36">
        <v>3</v>
      </c>
      <c r="BB36">
        <v>10</v>
      </c>
      <c r="BC36">
        <v>12</v>
      </c>
      <c r="BD36">
        <v>6</v>
      </c>
      <c r="BE36">
        <v>5</v>
      </c>
      <c r="BF36">
        <v>12</v>
      </c>
      <c r="BG36">
        <v>4</v>
      </c>
      <c r="BH36">
        <v>13</v>
      </c>
      <c r="BI36">
        <v>4</v>
      </c>
      <c r="BJ36">
        <v>3</v>
      </c>
      <c r="BK36">
        <v>6</v>
      </c>
      <c r="BL36">
        <v>3</v>
      </c>
      <c r="BM36">
        <v>5</v>
      </c>
      <c r="BN36">
        <v>6</v>
      </c>
      <c r="BO36">
        <v>1</v>
      </c>
      <c r="BP36">
        <v>6</v>
      </c>
      <c r="BQ36">
        <v>3</v>
      </c>
      <c r="BR36">
        <v>8</v>
      </c>
      <c r="BS36">
        <v>1</v>
      </c>
      <c r="BT36">
        <v>2</v>
      </c>
      <c r="BU36">
        <v>8</v>
      </c>
      <c r="BV36">
        <v>8</v>
      </c>
      <c r="BW36">
        <v>4</v>
      </c>
      <c r="BX36">
        <v>7</v>
      </c>
      <c r="BY36">
        <v>12</v>
      </c>
      <c r="BZ36">
        <v>1</v>
      </c>
      <c r="CA36">
        <v>1</v>
      </c>
      <c r="CB36">
        <v>20</v>
      </c>
      <c r="CC36">
        <v>1</v>
      </c>
      <c r="CD36">
        <v>1</v>
      </c>
      <c r="CE36">
        <v>1</v>
      </c>
      <c r="CF36">
        <v>1</v>
      </c>
      <c r="CG36">
        <v>1</v>
      </c>
      <c r="CH36">
        <v>1</v>
      </c>
      <c r="CJ36" t="s">
        <v>230</v>
      </c>
      <c r="CK36" t="s">
        <v>318</v>
      </c>
      <c r="CL36">
        <v>43</v>
      </c>
      <c r="CM36">
        <v>12</v>
      </c>
      <c r="CN36">
        <v>31</v>
      </c>
    </row>
    <row r="37" spans="1:92" x14ac:dyDescent="0.3">
      <c r="A37">
        <v>32</v>
      </c>
      <c r="C37" t="s">
        <v>345</v>
      </c>
      <c r="D37" t="s">
        <v>78</v>
      </c>
      <c r="E37" t="s">
        <v>346</v>
      </c>
      <c r="F37">
        <v>70</v>
      </c>
      <c r="G37">
        <v>82</v>
      </c>
      <c r="H37">
        <v>20</v>
      </c>
      <c r="I37">
        <v>2867</v>
      </c>
      <c r="J37" t="s">
        <v>347</v>
      </c>
      <c r="K37">
        <v>9500</v>
      </c>
      <c r="L37" t="s">
        <v>228</v>
      </c>
      <c r="M37" t="s">
        <v>289</v>
      </c>
      <c r="N37">
        <v>-192</v>
      </c>
      <c r="O37">
        <v>8153</v>
      </c>
      <c r="P37">
        <v>9</v>
      </c>
      <c r="Q37">
        <v>6</v>
      </c>
      <c r="R37">
        <v>8</v>
      </c>
      <c r="S37">
        <v>8</v>
      </c>
      <c r="T37">
        <v>9</v>
      </c>
      <c r="U37">
        <v>10</v>
      </c>
      <c r="V37">
        <v>14</v>
      </c>
      <c r="W37">
        <v>10</v>
      </c>
      <c r="X37">
        <v>10</v>
      </c>
      <c r="Y37">
        <v>10</v>
      </c>
      <c r="Z37">
        <v>10</v>
      </c>
      <c r="AA37">
        <v>10</v>
      </c>
      <c r="AB37">
        <v>10</v>
      </c>
      <c r="AC37">
        <v>15</v>
      </c>
      <c r="AD37">
        <v>12</v>
      </c>
      <c r="AE37" t="s">
        <v>246</v>
      </c>
      <c r="AF37">
        <v>12</v>
      </c>
      <c r="AG37">
        <v>12</v>
      </c>
      <c r="AH37">
        <v>9</v>
      </c>
      <c r="AI37">
        <v>12</v>
      </c>
      <c r="AJ37">
        <v>20</v>
      </c>
      <c r="AK37">
        <v>11</v>
      </c>
      <c r="AL37">
        <v>9</v>
      </c>
      <c r="AM37">
        <v>2</v>
      </c>
      <c r="AN37">
        <v>2</v>
      </c>
      <c r="AO37">
        <v>1</v>
      </c>
      <c r="AP37">
        <v>2</v>
      </c>
      <c r="AQ37">
        <v>1</v>
      </c>
      <c r="AR37">
        <v>3</v>
      </c>
      <c r="AS37">
        <v>1</v>
      </c>
      <c r="AT37">
        <v>1</v>
      </c>
      <c r="AU37">
        <v>2</v>
      </c>
      <c r="AV37">
        <v>3</v>
      </c>
      <c r="AW37">
        <v>3</v>
      </c>
      <c r="AX37">
        <v>9</v>
      </c>
      <c r="AY37">
        <v>7</v>
      </c>
      <c r="AZ37">
        <v>6</v>
      </c>
      <c r="BA37">
        <v>7</v>
      </c>
      <c r="BB37">
        <v>3</v>
      </c>
      <c r="BC37">
        <v>13</v>
      </c>
      <c r="BD37">
        <v>10</v>
      </c>
      <c r="BE37">
        <v>6</v>
      </c>
      <c r="BF37">
        <v>10</v>
      </c>
      <c r="BG37">
        <v>9</v>
      </c>
      <c r="BH37">
        <v>4</v>
      </c>
      <c r="BI37">
        <v>8</v>
      </c>
      <c r="BJ37">
        <v>10</v>
      </c>
      <c r="BK37">
        <v>12</v>
      </c>
      <c r="BL37">
        <v>3</v>
      </c>
      <c r="BM37">
        <v>6</v>
      </c>
      <c r="BN37">
        <v>6</v>
      </c>
      <c r="BO37">
        <v>7</v>
      </c>
      <c r="BP37">
        <v>10</v>
      </c>
      <c r="BQ37">
        <v>4</v>
      </c>
      <c r="BR37">
        <v>2</v>
      </c>
      <c r="BS37">
        <v>7</v>
      </c>
      <c r="BT37">
        <v>1</v>
      </c>
      <c r="BU37">
        <v>8</v>
      </c>
      <c r="BV37">
        <v>9</v>
      </c>
      <c r="BW37">
        <v>1</v>
      </c>
      <c r="BX37">
        <v>3</v>
      </c>
      <c r="BY37">
        <v>12</v>
      </c>
      <c r="BZ37">
        <v>1</v>
      </c>
      <c r="CA37">
        <v>1</v>
      </c>
      <c r="CB37">
        <v>2</v>
      </c>
      <c r="CC37">
        <v>1</v>
      </c>
      <c r="CD37">
        <v>16</v>
      </c>
      <c r="CE37">
        <v>1</v>
      </c>
      <c r="CF37">
        <v>1</v>
      </c>
      <c r="CG37">
        <v>1</v>
      </c>
      <c r="CH37">
        <v>1</v>
      </c>
      <c r="CJ37" t="s">
        <v>230</v>
      </c>
      <c r="CK37" t="s">
        <v>348</v>
      </c>
      <c r="CL37">
        <v>209</v>
      </c>
      <c r="CM37">
        <v>88</v>
      </c>
      <c r="CN37">
        <v>7</v>
      </c>
    </row>
    <row r="38" spans="1:92" x14ac:dyDescent="0.3">
      <c r="A38">
        <v>-1</v>
      </c>
      <c r="C38" t="s">
        <v>178</v>
      </c>
      <c r="D38" t="s">
        <v>141</v>
      </c>
      <c r="E38" t="s">
        <v>179</v>
      </c>
      <c r="F38">
        <v>76</v>
      </c>
      <c r="G38">
        <v>98</v>
      </c>
      <c r="H38">
        <v>19</v>
      </c>
      <c r="I38">
        <v>1617</v>
      </c>
      <c r="J38" t="s">
        <v>349</v>
      </c>
      <c r="K38">
        <v>8220</v>
      </c>
      <c r="L38" t="s">
        <v>228</v>
      </c>
      <c r="M38" t="s">
        <v>228</v>
      </c>
      <c r="N38">
        <v>202</v>
      </c>
      <c r="O38">
        <v>10000</v>
      </c>
      <c r="P38">
        <v>6</v>
      </c>
      <c r="Q38">
        <v>12</v>
      </c>
      <c r="R38">
        <v>12</v>
      </c>
      <c r="S38">
        <v>3</v>
      </c>
      <c r="T38">
        <v>11</v>
      </c>
      <c r="U38">
        <v>5</v>
      </c>
      <c r="V38">
        <v>10</v>
      </c>
      <c r="W38">
        <v>11</v>
      </c>
      <c r="X38">
        <v>10</v>
      </c>
      <c r="Y38">
        <v>12</v>
      </c>
      <c r="Z38">
        <v>11</v>
      </c>
      <c r="AA38">
        <v>9</v>
      </c>
      <c r="AB38">
        <v>10</v>
      </c>
      <c r="AC38">
        <v>16</v>
      </c>
      <c r="AD38">
        <v>13</v>
      </c>
      <c r="AE38" t="s">
        <v>286</v>
      </c>
      <c r="AF38">
        <v>3</v>
      </c>
      <c r="AG38">
        <v>10</v>
      </c>
      <c r="AH38">
        <v>13</v>
      </c>
      <c r="AI38">
        <v>15</v>
      </c>
      <c r="AJ38">
        <v>20</v>
      </c>
      <c r="AK38">
        <v>11</v>
      </c>
      <c r="AL38">
        <v>3</v>
      </c>
      <c r="AM38">
        <v>3</v>
      </c>
      <c r="AN38">
        <v>3</v>
      </c>
      <c r="AO38">
        <v>2</v>
      </c>
      <c r="AP38">
        <v>2</v>
      </c>
      <c r="AQ38">
        <v>3</v>
      </c>
      <c r="AR38">
        <v>3</v>
      </c>
      <c r="AS38">
        <v>1</v>
      </c>
      <c r="AT38">
        <v>1</v>
      </c>
      <c r="AU38">
        <v>1</v>
      </c>
      <c r="AV38">
        <v>2</v>
      </c>
      <c r="AW38">
        <v>1</v>
      </c>
      <c r="AX38">
        <v>9</v>
      </c>
      <c r="AY38">
        <v>8</v>
      </c>
      <c r="AZ38">
        <v>9</v>
      </c>
      <c r="BA38">
        <v>7</v>
      </c>
      <c r="BB38">
        <v>3</v>
      </c>
      <c r="BC38">
        <v>8</v>
      </c>
      <c r="BD38">
        <v>9</v>
      </c>
      <c r="BE38">
        <v>13</v>
      </c>
      <c r="BF38">
        <v>9</v>
      </c>
      <c r="BG38">
        <v>9</v>
      </c>
      <c r="BH38">
        <v>1</v>
      </c>
      <c r="BI38">
        <v>3</v>
      </c>
      <c r="BJ38">
        <v>8</v>
      </c>
      <c r="BK38">
        <v>7</v>
      </c>
      <c r="BL38">
        <v>3</v>
      </c>
      <c r="BM38">
        <v>8</v>
      </c>
      <c r="BN38">
        <v>5</v>
      </c>
      <c r="BO38">
        <v>6</v>
      </c>
      <c r="BP38">
        <v>13</v>
      </c>
      <c r="BQ38">
        <v>1</v>
      </c>
      <c r="BR38">
        <v>1</v>
      </c>
      <c r="BS38">
        <v>2</v>
      </c>
      <c r="BT38">
        <v>3</v>
      </c>
      <c r="BU38">
        <v>5</v>
      </c>
      <c r="BV38">
        <v>7</v>
      </c>
      <c r="BW38">
        <v>2</v>
      </c>
      <c r="BX38">
        <v>1</v>
      </c>
      <c r="BY38">
        <v>11</v>
      </c>
      <c r="BZ38">
        <v>1</v>
      </c>
      <c r="CA38">
        <v>1</v>
      </c>
      <c r="CB38">
        <v>1</v>
      </c>
      <c r="CC38">
        <v>1</v>
      </c>
      <c r="CD38">
        <v>1</v>
      </c>
      <c r="CE38">
        <v>20</v>
      </c>
      <c r="CF38">
        <v>10</v>
      </c>
      <c r="CG38">
        <v>1</v>
      </c>
      <c r="CH38">
        <v>1</v>
      </c>
      <c r="CI38" t="s">
        <v>350</v>
      </c>
      <c r="CJ38" t="s">
        <v>230</v>
      </c>
      <c r="CK38" t="s">
        <v>351</v>
      </c>
      <c r="CL38">
        <v>62</v>
      </c>
      <c r="CM38">
        <v>23</v>
      </c>
      <c r="CN38">
        <v>7</v>
      </c>
    </row>
    <row r="39" spans="1:92" x14ac:dyDescent="0.3">
      <c r="A39">
        <v>6</v>
      </c>
      <c r="C39" t="s">
        <v>352</v>
      </c>
      <c r="D39" t="s">
        <v>353</v>
      </c>
      <c r="E39" t="s">
        <v>76</v>
      </c>
      <c r="F39">
        <v>77</v>
      </c>
      <c r="G39">
        <v>90</v>
      </c>
      <c r="H39">
        <v>18</v>
      </c>
      <c r="I39">
        <v>1309</v>
      </c>
      <c r="J39" t="s">
        <v>354</v>
      </c>
      <c r="K39">
        <v>7800</v>
      </c>
      <c r="L39" t="s">
        <v>228</v>
      </c>
      <c r="M39" t="s">
        <v>228</v>
      </c>
      <c r="N39">
        <v>278</v>
      </c>
      <c r="O39">
        <v>10000</v>
      </c>
      <c r="P39">
        <v>7</v>
      </c>
      <c r="Q39">
        <v>16</v>
      </c>
      <c r="R39">
        <v>12</v>
      </c>
      <c r="S39">
        <v>9</v>
      </c>
      <c r="T39">
        <v>9</v>
      </c>
      <c r="U39">
        <v>7</v>
      </c>
      <c r="V39">
        <v>17</v>
      </c>
      <c r="W39">
        <v>12</v>
      </c>
      <c r="X39">
        <v>17</v>
      </c>
      <c r="Y39">
        <v>18</v>
      </c>
      <c r="Z39">
        <v>17</v>
      </c>
      <c r="AA39">
        <v>17</v>
      </c>
      <c r="AB39">
        <v>17</v>
      </c>
      <c r="AC39">
        <v>14</v>
      </c>
      <c r="AD39">
        <v>14</v>
      </c>
      <c r="AE39" t="s">
        <v>279</v>
      </c>
      <c r="AF39">
        <v>2</v>
      </c>
      <c r="AG39">
        <v>9</v>
      </c>
      <c r="AH39">
        <v>15</v>
      </c>
      <c r="AI39">
        <v>13</v>
      </c>
      <c r="AJ39">
        <v>20</v>
      </c>
      <c r="AK39">
        <v>13</v>
      </c>
      <c r="AL39">
        <v>6</v>
      </c>
      <c r="AM39">
        <v>3</v>
      </c>
      <c r="AN39">
        <v>2</v>
      </c>
      <c r="AO39">
        <v>3</v>
      </c>
      <c r="AP39">
        <v>2</v>
      </c>
      <c r="AQ39">
        <v>2</v>
      </c>
      <c r="AR39">
        <v>3</v>
      </c>
      <c r="AS39">
        <v>1</v>
      </c>
      <c r="AT39">
        <v>2</v>
      </c>
      <c r="AU39">
        <v>2</v>
      </c>
      <c r="AV39">
        <v>1</v>
      </c>
      <c r="AW39">
        <v>4</v>
      </c>
      <c r="AX39">
        <v>11</v>
      </c>
      <c r="AY39">
        <v>8</v>
      </c>
      <c r="AZ39">
        <v>8</v>
      </c>
      <c r="BA39">
        <v>8</v>
      </c>
      <c r="BB39">
        <v>6</v>
      </c>
      <c r="BC39">
        <v>7</v>
      </c>
      <c r="BD39">
        <v>8</v>
      </c>
      <c r="BE39">
        <v>14</v>
      </c>
      <c r="BF39">
        <v>7</v>
      </c>
      <c r="BG39">
        <v>9</v>
      </c>
      <c r="BH39">
        <v>3</v>
      </c>
      <c r="BI39">
        <v>7</v>
      </c>
      <c r="BJ39">
        <v>7</v>
      </c>
      <c r="BK39">
        <v>8</v>
      </c>
      <c r="BL39">
        <v>4</v>
      </c>
      <c r="BM39">
        <v>10</v>
      </c>
      <c r="BN39">
        <v>9</v>
      </c>
      <c r="BO39">
        <v>5</v>
      </c>
      <c r="BP39">
        <v>9</v>
      </c>
      <c r="BQ39">
        <v>7</v>
      </c>
      <c r="BR39">
        <v>9</v>
      </c>
      <c r="BS39">
        <v>3</v>
      </c>
      <c r="BT39">
        <v>1</v>
      </c>
      <c r="BU39">
        <v>7</v>
      </c>
      <c r="BV39">
        <v>6</v>
      </c>
      <c r="BW39">
        <v>4</v>
      </c>
      <c r="BX39">
        <v>1</v>
      </c>
      <c r="BY39">
        <v>14</v>
      </c>
      <c r="BZ39">
        <v>1</v>
      </c>
      <c r="CA39">
        <v>2</v>
      </c>
      <c r="CB39">
        <v>1</v>
      </c>
      <c r="CC39">
        <v>2</v>
      </c>
      <c r="CD39">
        <v>1</v>
      </c>
      <c r="CE39">
        <v>1</v>
      </c>
      <c r="CF39">
        <v>1</v>
      </c>
      <c r="CG39">
        <v>20</v>
      </c>
      <c r="CH39">
        <v>1</v>
      </c>
      <c r="CI39" t="s">
        <v>355</v>
      </c>
      <c r="CJ39" t="s">
        <v>230</v>
      </c>
      <c r="CK39" t="s">
        <v>318</v>
      </c>
      <c r="CL39">
        <v>62</v>
      </c>
      <c r="CM39">
        <v>23</v>
      </c>
      <c r="CN39">
        <v>31</v>
      </c>
    </row>
    <row r="40" spans="1:92" x14ac:dyDescent="0.3">
      <c r="A40">
        <v>-1</v>
      </c>
      <c r="C40" t="s">
        <v>356</v>
      </c>
      <c r="D40" t="s">
        <v>141</v>
      </c>
      <c r="E40" t="s">
        <v>130</v>
      </c>
      <c r="F40">
        <v>53</v>
      </c>
      <c r="G40">
        <v>90</v>
      </c>
      <c r="H40">
        <v>17</v>
      </c>
      <c r="I40">
        <v>1639</v>
      </c>
      <c r="J40" t="s">
        <v>357</v>
      </c>
      <c r="K40">
        <v>9613</v>
      </c>
      <c r="L40" t="s">
        <v>228</v>
      </c>
      <c r="M40" t="s">
        <v>228</v>
      </c>
      <c r="N40">
        <v>127</v>
      </c>
      <c r="O40">
        <v>10000</v>
      </c>
      <c r="P40">
        <v>6</v>
      </c>
      <c r="Q40">
        <v>13</v>
      </c>
      <c r="R40">
        <v>11</v>
      </c>
      <c r="S40">
        <v>3</v>
      </c>
      <c r="T40">
        <v>10</v>
      </c>
      <c r="U40">
        <v>7</v>
      </c>
      <c r="V40">
        <v>5</v>
      </c>
      <c r="W40">
        <v>5</v>
      </c>
      <c r="X40">
        <v>13</v>
      </c>
      <c r="Y40">
        <v>13</v>
      </c>
      <c r="Z40">
        <v>11</v>
      </c>
      <c r="AA40">
        <v>19</v>
      </c>
      <c r="AB40">
        <v>14</v>
      </c>
      <c r="AC40">
        <v>13</v>
      </c>
      <c r="AD40">
        <v>10</v>
      </c>
      <c r="AE40" t="s">
        <v>279</v>
      </c>
      <c r="AF40">
        <v>4</v>
      </c>
      <c r="AG40">
        <v>9</v>
      </c>
      <c r="AH40">
        <v>15</v>
      </c>
      <c r="AI40">
        <v>11</v>
      </c>
      <c r="AJ40">
        <v>20</v>
      </c>
      <c r="AK40">
        <v>7</v>
      </c>
      <c r="AL40">
        <v>5</v>
      </c>
      <c r="AM40">
        <v>2</v>
      </c>
      <c r="AN40">
        <v>3</v>
      </c>
      <c r="AO40">
        <v>3</v>
      </c>
      <c r="AP40">
        <v>2</v>
      </c>
      <c r="AQ40">
        <v>2</v>
      </c>
      <c r="AR40">
        <v>1</v>
      </c>
      <c r="AS40">
        <v>1</v>
      </c>
      <c r="AT40">
        <v>1</v>
      </c>
      <c r="AU40">
        <v>1</v>
      </c>
      <c r="AV40">
        <v>3</v>
      </c>
      <c r="AW40">
        <v>2</v>
      </c>
      <c r="AX40">
        <v>10</v>
      </c>
      <c r="AY40">
        <v>8</v>
      </c>
      <c r="AZ40">
        <v>7</v>
      </c>
      <c r="BA40">
        <v>6</v>
      </c>
      <c r="BB40">
        <v>3</v>
      </c>
      <c r="BC40">
        <v>7</v>
      </c>
      <c r="BD40">
        <v>3</v>
      </c>
      <c r="BE40">
        <v>12</v>
      </c>
      <c r="BF40">
        <v>15</v>
      </c>
      <c r="BG40">
        <v>8</v>
      </c>
      <c r="BH40">
        <v>4</v>
      </c>
      <c r="BI40">
        <v>12</v>
      </c>
      <c r="BJ40">
        <v>6</v>
      </c>
      <c r="BK40">
        <v>9</v>
      </c>
      <c r="BL40">
        <v>6</v>
      </c>
      <c r="BM40">
        <v>11</v>
      </c>
      <c r="BN40">
        <v>9</v>
      </c>
      <c r="BO40">
        <v>6</v>
      </c>
      <c r="BP40">
        <v>10</v>
      </c>
      <c r="BQ40">
        <v>3</v>
      </c>
      <c r="BR40">
        <v>1</v>
      </c>
      <c r="BS40">
        <v>4</v>
      </c>
      <c r="BT40">
        <v>3</v>
      </c>
      <c r="BU40">
        <v>3</v>
      </c>
      <c r="BV40">
        <v>7</v>
      </c>
      <c r="BW40">
        <v>6</v>
      </c>
      <c r="BX40">
        <v>2</v>
      </c>
      <c r="BY40">
        <v>7</v>
      </c>
      <c r="BZ40">
        <v>1</v>
      </c>
      <c r="CA40">
        <v>3</v>
      </c>
      <c r="CB40">
        <v>1</v>
      </c>
      <c r="CC40">
        <v>1</v>
      </c>
      <c r="CD40">
        <v>1</v>
      </c>
      <c r="CE40">
        <v>16</v>
      </c>
      <c r="CF40">
        <v>1</v>
      </c>
      <c r="CG40">
        <v>1</v>
      </c>
      <c r="CH40">
        <v>1</v>
      </c>
      <c r="CI40" t="s">
        <v>358</v>
      </c>
      <c r="CJ40" t="s">
        <v>359</v>
      </c>
      <c r="CK40" t="s">
        <v>360</v>
      </c>
      <c r="CL40">
        <v>0</v>
      </c>
      <c r="CM40">
        <v>0</v>
      </c>
      <c r="CN40">
        <v>7</v>
      </c>
    </row>
    <row r="41" spans="1:92" x14ac:dyDescent="0.3">
      <c r="A41">
        <v>39</v>
      </c>
      <c r="C41" t="s">
        <v>361</v>
      </c>
      <c r="D41" t="s">
        <v>78</v>
      </c>
      <c r="E41" t="s">
        <v>76</v>
      </c>
      <c r="F41">
        <v>63</v>
      </c>
      <c r="G41">
        <v>105</v>
      </c>
      <c r="H41">
        <v>20</v>
      </c>
      <c r="I41">
        <v>1480</v>
      </c>
      <c r="J41" t="s">
        <v>362</v>
      </c>
      <c r="K41">
        <v>9662</v>
      </c>
      <c r="L41" t="s">
        <v>228</v>
      </c>
      <c r="M41" t="s">
        <v>228</v>
      </c>
      <c r="N41">
        <v>-197</v>
      </c>
      <c r="O41">
        <v>9600</v>
      </c>
      <c r="P41">
        <v>10</v>
      </c>
      <c r="Q41">
        <v>12</v>
      </c>
      <c r="R41">
        <v>8</v>
      </c>
      <c r="S41">
        <v>11</v>
      </c>
      <c r="T41">
        <v>12</v>
      </c>
      <c r="U41">
        <v>11</v>
      </c>
      <c r="V41">
        <v>10</v>
      </c>
      <c r="W41">
        <v>9</v>
      </c>
      <c r="X41">
        <v>11</v>
      </c>
      <c r="Y41">
        <v>10</v>
      </c>
      <c r="Z41">
        <v>10</v>
      </c>
      <c r="AA41">
        <v>11</v>
      </c>
      <c r="AB41">
        <v>10</v>
      </c>
      <c r="AC41">
        <v>10</v>
      </c>
      <c r="AD41">
        <v>13</v>
      </c>
      <c r="AE41" t="s">
        <v>325</v>
      </c>
      <c r="AF41">
        <v>3</v>
      </c>
      <c r="AG41">
        <v>12</v>
      </c>
      <c r="AH41">
        <v>11</v>
      </c>
      <c r="AI41">
        <v>11</v>
      </c>
      <c r="AJ41">
        <v>20</v>
      </c>
      <c r="AK41">
        <v>9</v>
      </c>
      <c r="AL41">
        <v>8</v>
      </c>
      <c r="AM41">
        <v>3</v>
      </c>
      <c r="AN41">
        <v>3</v>
      </c>
      <c r="AO41">
        <v>3</v>
      </c>
      <c r="AP41">
        <v>3</v>
      </c>
      <c r="AQ41">
        <v>1</v>
      </c>
      <c r="AR41">
        <v>4</v>
      </c>
      <c r="AS41">
        <v>4</v>
      </c>
      <c r="AT41">
        <v>3</v>
      </c>
      <c r="AU41">
        <v>3</v>
      </c>
      <c r="AV41">
        <v>2</v>
      </c>
      <c r="AW41">
        <v>2</v>
      </c>
      <c r="AX41">
        <v>9</v>
      </c>
      <c r="AY41">
        <v>6</v>
      </c>
      <c r="AZ41">
        <v>4</v>
      </c>
      <c r="BA41">
        <v>3</v>
      </c>
      <c r="BB41">
        <v>9</v>
      </c>
      <c r="BC41">
        <v>13</v>
      </c>
      <c r="BD41">
        <v>15</v>
      </c>
      <c r="BE41">
        <v>7</v>
      </c>
      <c r="BF41">
        <v>3</v>
      </c>
      <c r="BG41">
        <v>7</v>
      </c>
      <c r="BH41">
        <v>7</v>
      </c>
      <c r="BI41">
        <v>7</v>
      </c>
      <c r="BJ41">
        <v>12</v>
      </c>
      <c r="BK41">
        <v>10</v>
      </c>
      <c r="BL41">
        <v>1</v>
      </c>
      <c r="BM41">
        <v>1</v>
      </c>
      <c r="BN41">
        <v>3</v>
      </c>
      <c r="BO41">
        <v>2</v>
      </c>
      <c r="BP41">
        <v>13</v>
      </c>
      <c r="BQ41">
        <v>3</v>
      </c>
      <c r="BR41">
        <v>3</v>
      </c>
      <c r="BS41">
        <v>6</v>
      </c>
      <c r="BT41">
        <v>1</v>
      </c>
      <c r="BU41">
        <v>6</v>
      </c>
      <c r="BV41">
        <v>12</v>
      </c>
      <c r="BW41">
        <v>3</v>
      </c>
      <c r="BX41">
        <v>9</v>
      </c>
      <c r="BY41">
        <v>9</v>
      </c>
      <c r="BZ41">
        <v>1</v>
      </c>
      <c r="CA41">
        <v>1</v>
      </c>
      <c r="CB41">
        <v>1</v>
      </c>
      <c r="CC41">
        <v>1</v>
      </c>
      <c r="CD41">
        <v>20</v>
      </c>
      <c r="CE41">
        <v>1</v>
      </c>
      <c r="CF41">
        <v>14</v>
      </c>
      <c r="CG41">
        <v>1</v>
      </c>
      <c r="CH41">
        <v>1</v>
      </c>
      <c r="CJ41" t="s">
        <v>230</v>
      </c>
      <c r="CK41" t="s">
        <v>318</v>
      </c>
      <c r="CL41">
        <v>41</v>
      </c>
      <c r="CM41">
        <v>18</v>
      </c>
      <c r="CN41">
        <v>7</v>
      </c>
    </row>
    <row r="42" spans="1:92" x14ac:dyDescent="0.3">
      <c r="A42">
        <v>-1</v>
      </c>
      <c r="C42" t="s">
        <v>363</v>
      </c>
      <c r="D42" t="s">
        <v>73</v>
      </c>
      <c r="E42" t="s">
        <v>76</v>
      </c>
      <c r="F42">
        <v>72</v>
      </c>
      <c r="G42">
        <v>102</v>
      </c>
      <c r="H42">
        <v>20</v>
      </c>
      <c r="I42">
        <v>449</v>
      </c>
      <c r="J42" t="s">
        <v>364</v>
      </c>
      <c r="K42">
        <v>9561</v>
      </c>
      <c r="L42" t="s">
        <v>228</v>
      </c>
      <c r="M42" t="s">
        <v>228</v>
      </c>
      <c r="N42">
        <v>-212</v>
      </c>
      <c r="O42">
        <v>7700</v>
      </c>
      <c r="P42">
        <v>17</v>
      </c>
      <c r="Q42">
        <v>5</v>
      </c>
      <c r="R42">
        <v>13</v>
      </c>
      <c r="S42">
        <v>10</v>
      </c>
      <c r="T42">
        <v>7</v>
      </c>
      <c r="U42">
        <v>10</v>
      </c>
      <c r="V42">
        <v>10</v>
      </c>
      <c r="W42">
        <v>10</v>
      </c>
      <c r="X42">
        <v>11</v>
      </c>
      <c r="Y42">
        <v>11</v>
      </c>
      <c r="Z42">
        <v>12</v>
      </c>
      <c r="AA42">
        <v>11</v>
      </c>
      <c r="AB42">
        <v>10</v>
      </c>
      <c r="AC42">
        <v>15</v>
      </c>
      <c r="AD42">
        <v>13</v>
      </c>
      <c r="AE42" t="s">
        <v>279</v>
      </c>
      <c r="AF42">
        <v>6</v>
      </c>
      <c r="AG42">
        <v>9</v>
      </c>
      <c r="AH42">
        <v>16</v>
      </c>
      <c r="AI42">
        <v>13</v>
      </c>
      <c r="AJ42">
        <v>20</v>
      </c>
      <c r="AK42">
        <v>10</v>
      </c>
      <c r="AL42">
        <v>7</v>
      </c>
      <c r="AM42">
        <v>2</v>
      </c>
      <c r="AN42">
        <v>3</v>
      </c>
      <c r="AO42">
        <v>2</v>
      </c>
      <c r="AP42">
        <v>1</v>
      </c>
      <c r="AQ42">
        <v>4</v>
      </c>
      <c r="AR42">
        <v>2</v>
      </c>
      <c r="AS42">
        <v>3</v>
      </c>
      <c r="AT42">
        <v>3</v>
      </c>
      <c r="AU42">
        <v>1</v>
      </c>
      <c r="AV42">
        <v>2</v>
      </c>
      <c r="AW42">
        <v>2</v>
      </c>
      <c r="AX42">
        <v>12</v>
      </c>
      <c r="AY42">
        <v>8</v>
      </c>
      <c r="AZ42">
        <v>7</v>
      </c>
      <c r="BA42">
        <v>13</v>
      </c>
      <c r="BB42">
        <v>1</v>
      </c>
      <c r="BC42">
        <v>7</v>
      </c>
      <c r="BD42">
        <v>15</v>
      </c>
      <c r="BE42">
        <v>14</v>
      </c>
      <c r="BF42">
        <v>8</v>
      </c>
      <c r="BG42">
        <v>13</v>
      </c>
      <c r="BH42">
        <v>1</v>
      </c>
      <c r="BI42">
        <v>4</v>
      </c>
      <c r="BJ42">
        <v>6</v>
      </c>
      <c r="BK42">
        <v>4</v>
      </c>
      <c r="BL42">
        <v>1</v>
      </c>
      <c r="BM42">
        <v>5</v>
      </c>
      <c r="BN42">
        <v>13</v>
      </c>
      <c r="BO42">
        <v>12</v>
      </c>
      <c r="BP42">
        <v>11</v>
      </c>
      <c r="BQ42">
        <v>1</v>
      </c>
      <c r="BR42">
        <v>6</v>
      </c>
      <c r="BS42">
        <v>4</v>
      </c>
      <c r="BT42">
        <v>1</v>
      </c>
      <c r="BU42">
        <v>1</v>
      </c>
      <c r="BV42">
        <v>5</v>
      </c>
      <c r="BW42">
        <v>3</v>
      </c>
      <c r="BX42">
        <v>1</v>
      </c>
      <c r="BY42">
        <v>7</v>
      </c>
      <c r="BZ42">
        <v>1</v>
      </c>
      <c r="CA42">
        <v>1</v>
      </c>
      <c r="CB42">
        <v>1</v>
      </c>
      <c r="CC42">
        <v>1</v>
      </c>
      <c r="CD42">
        <v>1</v>
      </c>
      <c r="CE42">
        <v>1</v>
      </c>
      <c r="CF42">
        <v>1</v>
      </c>
      <c r="CG42">
        <v>1</v>
      </c>
      <c r="CH42">
        <v>20</v>
      </c>
      <c r="CJ42" t="s">
        <v>230</v>
      </c>
      <c r="CK42" t="s">
        <v>326</v>
      </c>
      <c r="CL42">
        <v>41</v>
      </c>
      <c r="CM42">
        <v>12</v>
      </c>
      <c r="CN42">
        <v>7</v>
      </c>
    </row>
    <row r="43" spans="1:92" x14ac:dyDescent="0.3">
      <c r="A43">
        <v>-1</v>
      </c>
      <c r="C43" t="s">
        <v>365</v>
      </c>
      <c r="D43" t="s">
        <v>366</v>
      </c>
      <c r="E43" t="s">
        <v>76</v>
      </c>
      <c r="F43">
        <v>50</v>
      </c>
      <c r="G43">
        <v>104</v>
      </c>
      <c r="H43">
        <v>19</v>
      </c>
      <c r="I43">
        <v>1238</v>
      </c>
      <c r="J43" t="s">
        <v>349</v>
      </c>
      <c r="K43">
        <v>9964</v>
      </c>
      <c r="L43" t="s">
        <v>228</v>
      </c>
      <c r="M43" t="s">
        <v>228</v>
      </c>
      <c r="N43">
        <v>-221</v>
      </c>
      <c r="O43">
        <v>7214</v>
      </c>
      <c r="P43">
        <v>15</v>
      </c>
      <c r="Q43">
        <v>8</v>
      </c>
      <c r="R43">
        <v>10</v>
      </c>
      <c r="S43">
        <v>5</v>
      </c>
      <c r="T43">
        <v>7</v>
      </c>
      <c r="U43">
        <v>7</v>
      </c>
      <c r="V43">
        <v>9</v>
      </c>
      <c r="W43">
        <v>9</v>
      </c>
      <c r="X43">
        <v>12</v>
      </c>
      <c r="Y43">
        <v>11</v>
      </c>
      <c r="Z43">
        <v>7</v>
      </c>
      <c r="AA43">
        <v>13</v>
      </c>
      <c r="AB43">
        <v>12</v>
      </c>
      <c r="AC43">
        <v>10</v>
      </c>
      <c r="AD43">
        <v>7</v>
      </c>
      <c r="AE43" t="s">
        <v>252</v>
      </c>
      <c r="AF43">
        <v>8</v>
      </c>
      <c r="AG43">
        <v>11</v>
      </c>
      <c r="AH43">
        <v>8</v>
      </c>
      <c r="AI43">
        <v>7</v>
      </c>
      <c r="AJ43">
        <v>20</v>
      </c>
      <c r="AK43">
        <v>15</v>
      </c>
      <c r="AL43">
        <v>4</v>
      </c>
      <c r="AM43">
        <v>2</v>
      </c>
      <c r="AN43">
        <v>3</v>
      </c>
      <c r="AO43">
        <v>1</v>
      </c>
      <c r="AP43">
        <v>3</v>
      </c>
      <c r="AQ43">
        <v>3</v>
      </c>
      <c r="AR43">
        <v>1</v>
      </c>
      <c r="AS43">
        <v>1</v>
      </c>
      <c r="AT43">
        <v>1</v>
      </c>
      <c r="AU43">
        <v>3</v>
      </c>
      <c r="AV43">
        <v>1</v>
      </c>
      <c r="AW43">
        <v>1</v>
      </c>
      <c r="AX43">
        <v>15</v>
      </c>
      <c r="AY43">
        <v>7</v>
      </c>
      <c r="AZ43">
        <v>15</v>
      </c>
      <c r="BA43">
        <v>4</v>
      </c>
      <c r="BB43">
        <v>8</v>
      </c>
      <c r="BC43">
        <v>10</v>
      </c>
      <c r="BD43">
        <v>15</v>
      </c>
      <c r="BE43">
        <v>7</v>
      </c>
      <c r="BF43">
        <v>11</v>
      </c>
      <c r="BG43">
        <v>7</v>
      </c>
      <c r="BH43">
        <v>10</v>
      </c>
      <c r="BI43">
        <v>4</v>
      </c>
      <c r="BJ43">
        <v>5</v>
      </c>
      <c r="BK43">
        <v>9</v>
      </c>
      <c r="BL43">
        <v>3</v>
      </c>
      <c r="BM43">
        <v>11</v>
      </c>
      <c r="BN43">
        <v>7</v>
      </c>
      <c r="BO43">
        <v>2</v>
      </c>
      <c r="BP43">
        <v>6</v>
      </c>
      <c r="BQ43">
        <v>2</v>
      </c>
      <c r="BR43">
        <v>4</v>
      </c>
      <c r="BS43">
        <v>2</v>
      </c>
      <c r="BT43">
        <v>1</v>
      </c>
      <c r="BU43">
        <v>9</v>
      </c>
      <c r="BV43">
        <v>8</v>
      </c>
      <c r="BW43">
        <v>1</v>
      </c>
      <c r="BX43">
        <v>8</v>
      </c>
      <c r="BY43">
        <v>8</v>
      </c>
      <c r="BZ43">
        <v>1</v>
      </c>
      <c r="CA43">
        <v>20</v>
      </c>
      <c r="CB43">
        <v>1</v>
      </c>
      <c r="CC43">
        <v>5</v>
      </c>
      <c r="CD43">
        <v>1</v>
      </c>
      <c r="CE43">
        <v>1</v>
      </c>
      <c r="CF43">
        <v>1</v>
      </c>
      <c r="CG43">
        <v>1</v>
      </c>
      <c r="CH43">
        <v>1</v>
      </c>
      <c r="CJ43" t="s">
        <v>230</v>
      </c>
      <c r="CK43" t="s">
        <v>367</v>
      </c>
      <c r="CL43">
        <v>165</v>
      </c>
      <c r="CM43">
        <v>58</v>
      </c>
      <c r="CN43">
        <v>7</v>
      </c>
    </row>
    <row r="44" spans="1:92" x14ac:dyDescent="0.3">
      <c r="A44">
        <v>3</v>
      </c>
      <c r="C44" t="s">
        <v>368</v>
      </c>
      <c r="D44" t="s">
        <v>311</v>
      </c>
      <c r="E44" t="s">
        <v>369</v>
      </c>
      <c r="F44">
        <v>84</v>
      </c>
      <c r="G44">
        <v>99</v>
      </c>
      <c r="H44">
        <v>20</v>
      </c>
      <c r="I44">
        <v>3838</v>
      </c>
      <c r="J44" t="s">
        <v>370</v>
      </c>
      <c r="K44">
        <v>9025</v>
      </c>
      <c r="L44" t="s">
        <v>228</v>
      </c>
      <c r="M44" t="s">
        <v>228</v>
      </c>
      <c r="N44">
        <v>-30</v>
      </c>
      <c r="O44">
        <v>10000</v>
      </c>
      <c r="P44">
        <v>8</v>
      </c>
      <c r="Q44">
        <v>7</v>
      </c>
      <c r="R44">
        <v>5</v>
      </c>
      <c r="S44">
        <v>3</v>
      </c>
      <c r="T44">
        <v>8</v>
      </c>
      <c r="U44">
        <v>12</v>
      </c>
      <c r="V44">
        <v>10</v>
      </c>
      <c r="W44">
        <v>16</v>
      </c>
      <c r="X44">
        <v>9</v>
      </c>
      <c r="Y44">
        <v>3</v>
      </c>
      <c r="Z44">
        <v>12</v>
      </c>
      <c r="AA44">
        <v>9</v>
      </c>
      <c r="AB44">
        <v>10</v>
      </c>
      <c r="AC44">
        <v>13</v>
      </c>
      <c r="AD44">
        <v>10</v>
      </c>
      <c r="AE44" t="s">
        <v>239</v>
      </c>
      <c r="AF44">
        <v>2</v>
      </c>
      <c r="AG44">
        <v>10</v>
      </c>
      <c r="AH44">
        <v>11</v>
      </c>
      <c r="AI44">
        <v>10</v>
      </c>
      <c r="AJ44">
        <v>20</v>
      </c>
      <c r="AK44">
        <v>15</v>
      </c>
      <c r="AL44">
        <v>5</v>
      </c>
      <c r="AM44">
        <v>3</v>
      </c>
      <c r="AN44">
        <v>1</v>
      </c>
      <c r="AO44">
        <v>2</v>
      </c>
      <c r="AP44">
        <v>2</v>
      </c>
      <c r="AQ44">
        <v>3</v>
      </c>
      <c r="AR44">
        <v>2</v>
      </c>
      <c r="AS44">
        <v>4</v>
      </c>
      <c r="AT44">
        <v>3</v>
      </c>
      <c r="AU44">
        <v>2</v>
      </c>
      <c r="AV44">
        <v>4</v>
      </c>
      <c r="AW44">
        <v>3</v>
      </c>
      <c r="AX44">
        <v>14</v>
      </c>
      <c r="AY44">
        <v>11</v>
      </c>
      <c r="AZ44">
        <v>18</v>
      </c>
      <c r="BA44">
        <v>8</v>
      </c>
      <c r="BB44">
        <v>10</v>
      </c>
      <c r="BC44">
        <v>14</v>
      </c>
      <c r="BD44">
        <v>10</v>
      </c>
      <c r="BE44">
        <v>7</v>
      </c>
      <c r="BF44">
        <v>9</v>
      </c>
      <c r="BG44">
        <v>9</v>
      </c>
      <c r="BH44">
        <v>12</v>
      </c>
      <c r="BI44">
        <v>9</v>
      </c>
      <c r="BJ44">
        <v>12</v>
      </c>
      <c r="BK44">
        <v>7</v>
      </c>
      <c r="BL44">
        <v>3</v>
      </c>
      <c r="BM44">
        <v>10</v>
      </c>
      <c r="BN44">
        <v>10</v>
      </c>
      <c r="BO44">
        <v>4</v>
      </c>
      <c r="BP44">
        <v>11</v>
      </c>
      <c r="BQ44">
        <v>2</v>
      </c>
      <c r="BR44">
        <v>3</v>
      </c>
      <c r="BS44">
        <v>4</v>
      </c>
      <c r="BT44">
        <v>3</v>
      </c>
      <c r="BU44">
        <v>10</v>
      </c>
      <c r="BV44">
        <v>8</v>
      </c>
      <c r="BW44">
        <v>4</v>
      </c>
      <c r="BX44">
        <v>5</v>
      </c>
      <c r="BY44">
        <v>13</v>
      </c>
      <c r="BZ44">
        <v>1</v>
      </c>
      <c r="CA44">
        <v>20</v>
      </c>
      <c r="CB44">
        <v>1</v>
      </c>
      <c r="CC44">
        <v>15</v>
      </c>
      <c r="CD44">
        <v>1</v>
      </c>
      <c r="CE44">
        <v>1</v>
      </c>
      <c r="CF44">
        <v>1</v>
      </c>
      <c r="CG44">
        <v>1</v>
      </c>
      <c r="CH44">
        <v>1</v>
      </c>
      <c r="CI44" t="s">
        <v>371</v>
      </c>
      <c r="CJ44" t="s">
        <v>230</v>
      </c>
      <c r="CK44" t="s">
        <v>367</v>
      </c>
      <c r="CL44">
        <v>165</v>
      </c>
      <c r="CM44">
        <v>99</v>
      </c>
      <c r="CN44">
        <v>7</v>
      </c>
    </row>
    <row r="45" spans="1:92" x14ac:dyDescent="0.3">
      <c r="A45">
        <v>38</v>
      </c>
      <c r="C45" t="s">
        <v>372</v>
      </c>
      <c r="D45" t="s">
        <v>260</v>
      </c>
      <c r="E45" t="s">
        <v>373</v>
      </c>
      <c r="F45">
        <v>63</v>
      </c>
      <c r="G45">
        <v>110</v>
      </c>
      <c r="H45">
        <v>19</v>
      </c>
      <c r="I45">
        <v>1059</v>
      </c>
      <c r="J45" t="s">
        <v>374</v>
      </c>
      <c r="K45">
        <v>8738</v>
      </c>
      <c r="L45" t="s">
        <v>228</v>
      </c>
      <c r="M45" t="s">
        <v>289</v>
      </c>
      <c r="N45">
        <v>-191</v>
      </c>
      <c r="O45">
        <v>6579</v>
      </c>
      <c r="P45">
        <v>8</v>
      </c>
      <c r="Q45">
        <v>6</v>
      </c>
      <c r="R45">
        <v>13</v>
      </c>
      <c r="S45">
        <v>8</v>
      </c>
      <c r="T45">
        <v>9</v>
      </c>
      <c r="U45">
        <v>9</v>
      </c>
      <c r="V45">
        <v>11</v>
      </c>
      <c r="W45">
        <v>10</v>
      </c>
      <c r="X45">
        <v>8</v>
      </c>
      <c r="Y45">
        <v>11</v>
      </c>
      <c r="Z45">
        <v>10</v>
      </c>
      <c r="AA45">
        <v>11</v>
      </c>
      <c r="AB45">
        <v>10</v>
      </c>
      <c r="AC45">
        <v>13</v>
      </c>
      <c r="AD45">
        <v>15</v>
      </c>
      <c r="AE45" t="s">
        <v>337</v>
      </c>
      <c r="AF45">
        <v>4</v>
      </c>
      <c r="AG45">
        <v>8</v>
      </c>
      <c r="AH45">
        <v>11</v>
      </c>
      <c r="AI45">
        <v>14</v>
      </c>
      <c r="AJ45">
        <v>20</v>
      </c>
      <c r="AK45">
        <v>13</v>
      </c>
      <c r="AL45">
        <v>7</v>
      </c>
      <c r="AM45">
        <v>3</v>
      </c>
      <c r="AN45">
        <v>3</v>
      </c>
      <c r="AO45">
        <v>4</v>
      </c>
      <c r="AP45">
        <v>1</v>
      </c>
      <c r="AQ45">
        <v>3</v>
      </c>
      <c r="AR45">
        <v>3</v>
      </c>
      <c r="AS45">
        <v>1</v>
      </c>
      <c r="AT45">
        <v>3</v>
      </c>
      <c r="AU45">
        <v>1</v>
      </c>
      <c r="AV45">
        <v>3</v>
      </c>
      <c r="AW45">
        <v>3</v>
      </c>
      <c r="AX45">
        <v>8</v>
      </c>
      <c r="AY45">
        <v>7</v>
      </c>
      <c r="AZ45">
        <v>7</v>
      </c>
      <c r="BA45">
        <v>5</v>
      </c>
      <c r="BB45">
        <v>6</v>
      </c>
      <c r="BC45">
        <v>4</v>
      </c>
      <c r="BD45">
        <v>12</v>
      </c>
      <c r="BE45">
        <v>13</v>
      </c>
      <c r="BF45">
        <v>9</v>
      </c>
      <c r="BG45">
        <v>9</v>
      </c>
      <c r="BH45">
        <v>3</v>
      </c>
      <c r="BI45">
        <v>12</v>
      </c>
      <c r="BJ45">
        <v>4</v>
      </c>
      <c r="BK45">
        <v>8</v>
      </c>
      <c r="BL45">
        <v>4</v>
      </c>
      <c r="BM45">
        <v>7</v>
      </c>
      <c r="BN45">
        <v>6</v>
      </c>
      <c r="BO45">
        <v>5</v>
      </c>
      <c r="BP45">
        <v>8</v>
      </c>
      <c r="BQ45">
        <v>1</v>
      </c>
      <c r="BR45">
        <v>4</v>
      </c>
      <c r="BS45">
        <v>1</v>
      </c>
      <c r="BT45">
        <v>1</v>
      </c>
      <c r="BU45">
        <v>4</v>
      </c>
      <c r="BV45">
        <v>7</v>
      </c>
      <c r="BW45">
        <v>1</v>
      </c>
      <c r="BX45">
        <v>1</v>
      </c>
      <c r="BY45">
        <v>12</v>
      </c>
      <c r="BZ45">
        <v>1</v>
      </c>
      <c r="CA45">
        <v>1</v>
      </c>
      <c r="CB45">
        <v>1</v>
      </c>
      <c r="CC45">
        <v>1</v>
      </c>
      <c r="CD45">
        <v>1</v>
      </c>
      <c r="CE45">
        <v>1</v>
      </c>
      <c r="CF45">
        <v>15</v>
      </c>
      <c r="CG45">
        <v>20</v>
      </c>
      <c r="CH45">
        <v>1</v>
      </c>
      <c r="CJ45" t="s">
        <v>230</v>
      </c>
      <c r="CK45" t="s">
        <v>243</v>
      </c>
      <c r="CL45">
        <v>162</v>
      </c>
      <c r="CM45">
        <v>64</v>
      </c>
      <c r="CN45">
        <v>7</v>
      </c>
    </row>
    <row r="46" spans="1:92" x14ac:dyDescent="0.3">
      <c r="A46">
        <v>-1</v>
      </c>
      <c r="C46" t="s">
        <v>375</v>
      </c>
      <c r="D46" t="s">
        <v>226</v>
      </c>
      <c r="E46" t="s">
        <v>92</v>
      </c>
      <c r="F46">
        <v>66</v>
      </c>
      <c r="G46">
        <v>95</v>
      </c>
      <c r="H46">
        <v>18</v>
      </c>
      <c r="I46">
        <v>1254</v>
      </c>
      <c r="J46" t="s">
        <v>376</v>
      </c>
      <c r="K46">
        <v>8032</v>
      </c>
      <c r="L46" t="s">
        <v>228</v>
      </c>
      <c r="M46" t="s">
        <v>228</v>
      </c>
      <c r="N46">
        <v>106</v>
      </c>
      <c r="O46">
        <v>9700</v>
      </c>
      <c r="P46">
        <v>6</v>
      </c>
      <c r="Q46">
        <v>6</v>
      </c>
      <c r="R46">
        <v>13</v>
      </c>
      <c r="S46">
        <v>11</v>
      </c>
      <c r="T46">
        <v>9</v>
      </c>
      <c r="U46">
        <v>12</v>
      </c>
      <c r="V46">
        <v>15</v>
      </c>
      <c r="W46">
        <v>4</v>
      </c>
      <c r="X46">
        <v>19</v>
      </c>
      <c r="Y46">
        <v>18</v>
      </c>
      <c r="Z46">
        <v>18</v>
      </c>
      <c r="AA46">
        <v>19</v>
      </c>
      <c r="AB46">
        <v>18</v>
      </c>
      <c r="AC46">
        <v>8</v>
      </c>
      <c r="AD46">
        <v>10</v>
      </c>
      <c r="AE46" t="s">
        <v>246</v>
      </c>
      <c r="AF46">
        <v>8</v>
      </c>
      <c r="AG46">
        <v>9</v>
      </c>
      <c r="AH46">
        <v>4</v>
      </c>
      <c r="AI46">
        <v>8</v>
      </c>
      <c r="AJ46">
        <v>20</v>
      </c>
      <c r="AK46">
        <v>13</v>
      </c>
      <c r="AL46">
        <v>5</v>
      </c>
      <c r="AM46">
        <v>1</v>
      </c>
      <c r="AN46">
        <v>4</v>
      </c>
      <c r="AO46">
        <v>3</v>
      </c>
      <c r="AP46">
        <v>3</v>
      </c>
      <c r="AQ46">
        <v>1</v>
      </c>
      <c r="AR46">
        <v>2</v>
      </c>
      <c r="AS46">
        <v>2</v>
      </c>
      <c r="AT46">
        <v>2</v>
      </c>
      <c r="AU46">
        <v>1</v>
      </c>
      <c r="AV46">
        <v>1</v>
      </c>
      <c r="AW46">
        <v>3</v>
      </c>
      <c r="AX46">
        <v>12</v>
      </c>
      <c r="AY46">
        <v>7</v>
      </c>
      <c r="AZ46">
        <v>6</v>
      </c>
      <c r="BA46">
        <v>8</v>
      </c>
      <c r="BB46">
        <v>8</v>
      </c>
      <c r="BC46">
        <v>13</v>
      </c>
      <c r="BD46">
        <v>4</v>
      </c>
      <c r="BE46">
        <v>9</v>
      </c>
      <c r="BF46">
        <v>8</v>
      </c>
      <c r="BG46">
        <v>10</v>
      </c>
      <c r="BH46">
        <v>11</v>
      </c>
      <c r="BI46">
        <v>8</v>
      </c>
      <c r="BJ46">
        <v>11</v>
      </c>
      <c r="BK46">
        <v>6</v>
      </c>
      <c r="BL46">
        <v>7</v>
      </c>
      <c r="BM46">
        <v>5</v>
      </c>
      <c r="BN46">
        <v>5</v>
      </c>
      <c r="BO46">
        <v>4</v>
      </c>
      <c r="BP46">
        <v>11</v>
      </c>
      <c r="BQ46">
        <v>3</v>
      </c>
      <c r="BR46">
        <v>1</v>
      </c>
      <c r="BS46">
        <v>5</v>
      </c>
      <c r="BT46">
        <v>2</v>
      </c>
      <c r="BU46">
        <v>9</v>
      </c>
      <c r="BV46">
        <v>13</v>
      </c>
      <c r="BW46">
        <v>6</v>
      </c>
      <c r="BX46">
        <v>7</v>
      </c>
      <c r="BY46">
        <v>6</v>
      </c>
      <c r="BZ46">
        <v>1</v>
      </c>
      <c r="CA46">
        <v>1</v>
      </c>
      <c r="CB46">
        <v>1</v>
      </c>
      <c r="CC46">
        <v>1</v>
      </c>
      <c r="CD46">
        <v>20</v>
      </c>
      <c r="CE46">
        <v>1</v>
      </c>
      <c r="CF46">
        <v>16</v>
      </c>
      <c r="CG46">
        <v>1</v>
      </c>
      <c r="CH46">
        <v>1</v>
      </c>
      <c r="CI46" t="s">
        <v>377</v>
      </c>
      <c r="CJ46" t="s">
        <v>230</v>
      </c>
      <c r="CK46" t="s">
        <v>318</v>
      </c>
      <c r="CL46">
        <v>46</v>
      </c>
      <c r="CM46">
        <v>0</v>
      </c>
      <c r="CN46">
        <v>31</v>
      </c>
    </row>
    <row r="47" spans="1:92" x14ac:dyDescent="0.3">
      <c r="A47">
        <v>23</v>
      </c>
      <c r="C47" t="s">
        <v>378</v>
      </c>
      <c r="D47" t="s">
        <v>128</v>
      </c>
      <c r="E47" t="s">
        <v>76</v>
      </c>
      <c r="F47">
        <v>60</v>
      </c>
      <c r="G47">
        <v>96</v>
      </c>
      <c r="H47">
        <v>22</v>
      </c>
      <c r="I47">
        <v>1259</v>
      </c>
      <c r="J47" t="s">
        <v>379</v>
      </c>
      <c r="K47">
        <v>9556</v>
      </c>
      <c r="L47" t="s">
        <v>228</v>
      </c>
      <c r="M47" t="s">
        <v>228</v>
      </c>
      <c r="N47">
        <v>-374</v>
      </c>
      <c r="O47">
        <v>5300</v>
      </c>
      <c r="P47">
        <v>9</v>
      </c>
      <c r="Q47">
        <v>5</v>
      </c>
      <c r="R47">
        <v>8</v>
      </c>
      <c r="S47">
        <v>6</v>
      </c>
      <c r="T47">
        <v>8</v>
      </c>
      <c r="U47">
        <v>10</v>
      </c>
      <c r="V47">
        <v>10</v>
      </c>
      <c r="W47">
        <v>10</v>
      </c>
      <c r="X47">
        <v>10</v>
      </c>
      <c r="Y47">
        <v>10</v>
      </c>
      <c r="Z47">
        <v>10</v>
      </c>
      <c r="AA47">
        <v>10</v>
      </c>
      <c r="AB47">
        <v>10</v>
      </c>
      <c r="AC47">
        <v>12</v>
      </c>
      <c r="AD47">
        <v>12</v>
      </c>
      <c r="AE47" t="s">
        <v>337</v>
      </c>
      <c r="AF47">
        <v>11</v>
      </c>
      <c r="AG47">
        <v>20</v>
      </c>
      <c r="AH47">
        <v>13</v>
      </c>
      <c r="AI47">
        <v>13</v>
      </c>
      <c r="AJ47">
        <v>8</v>
      </c>
      <c r="AK47">
        <v>10</v>
      </c>
      <c r="AL47">
        <v>5</v>
      </c>
      <c r="AM47">
        <v>2</v>
      </c>
      <c r="AN47">
        <v>2</v>
      </c>
      <c r="AO47">
        <v>2</v>
      </c>
      <c r="AP47">
        <v>1</v>
      </c>
      <c r="AQ47">
        <v>2</v>
      </c>
      <c r="AR47">
        <v>2</v>
      </c>
      <c r="AS47">
        <v>3</v>
      </c>
      <c r="AT47">
        <v>3</v>
      </c>
      <c r="AU47">
        <v>4</v>
      </c>
      <c r="AV47">
        <v>1</v>
      </c>
      <c r="AW47">
        <v>3</v>
      </c>
      <c r="AX47">
        <v>14</v>
      </c>
      <c r="AY47">
        <v>7</v>
      </c>
      <c r="AZ47">
        <v>4</v>
      </c>
      <c r="BA47">
        <v>4</v>
      </c>
      <c r="BB47">
        <v>1</v>
      </c>
      <c r="BC47">
        <v>13</v>
      </c>
      <c r="BD47">
        <v>15</v>
      </c>
      <c r="BE47">
        <v>12</v>
      </c>
      <c r="BF47">
        <v>12</v>
      </c>
      <c r="BG47">
        <v>10</v>
      </c>
      <c r="BH47">
        <v>2</v>
      </c>
      <c r="BI47">
        <v>5</v>
      </c>
      <c r="BJ47">
        <v>8</v>
      </c>
      <c r="BK47">
        <v>11</v>
      </c>
      <c r="BL47">
        <v>3</v>
      </c>
      <c r="BM47">
        <v>8</v>
      </c>
      <c r="BN47">
        <v>12</v>
      </c>
      <c r="BO47">
        <v>4</v>
      </c>
      <c r="BP47">
        <v>10</v>
      </c>
      <c r="BQ47">
        <v>2</v>
      </c>
      <c r="BR47">
        <v>2</v>
      </c>
      <c r="BS47">
        <v>3</v>
      </c>
      <c r="BT47">
        <v>2</v>
      </c>
      <c r="BU47">
        <v>4</v>
      </c>
      <c r="BV47">
        <v>4</v>
      </c>
      <c r="BW47">
        <v>1</v>
      </c>
      <c r="BX47">
        <v>3</v>
      </c>
      <c r="BY47">
        <v>11</v>
      </c>
      <c r="BZ47">
        <v>1</v>
      </c>
      <c r="CA47">
        <v>1</v>
      </c>
      <c r="CB47">
        <v>1</v>
      </c>
      <c r="CC47">
        <v>4</v>
      </c>
      <c r="CD47">
        <v>1</v>
      </c>
      <c r="CE47">
        <v>20</v>
      </c>
      <c r="CF47">
        <v>2</v>
      </c>
      <c r="CG47">
        <v>20</v>
      </c>
      <c r="CH47">
        <v>1</v>
      </c>
      <c r="CJ47" t="s">
        <v>230</v>
      </c>
      <c r="CK47" t="s">
        <v>380</v>
      </c>
      <c r="CL47">
        <v>199</v>
      </c>
      <c r="CM47">
        <v>70</v>
      </c>
      <c r="CN47">
        <v>7</v>
      </c>
    </row>
    <row r="48" spans="1:92" x14ac:dyDescent="0.3">
      <c r="A48">
        <v>-1</v>
      </c>
      <c r="C48" t="s">
        <v>381</v>
      </c>
      <c r="D48" t="s">
        <v>141</v>
      </c>
      <c r="E48" t="s">
        <v>76</v>
      </c>
      <c r="F48">
        <v>73</v>
      </c>
      <c r="G48">
        <v>97</v>
      </c>
      <c r="H48">
        <v>18</v>
      </c>
      <c r="I48">
        <v>1298</v>
      </c>
      <c r="J48" t="s">
        <v>382</v>
      </c>
      <c r="K48">
        <v>7150</v>
      </c>
      <c r="L48" t="s">
        <v>228</v>
      </c>
      <c r="M48" t="s">
        <v>289</v>
      </c>
      <c r="N48">
        <v>-121</v>
      </c>
      <c r="O48">
        <v>5795</v>
      </c>
      <c r="P48">
        <v>6</v>
      </c>
      <c r="Q48">
        <v>15</v>
      </c>
      <c r="R48">
        <v>10</v>
      </c>
      <c r="S48">
        <v>9</v>
      </c>
      <c r="T48">
        <v>14</v>
      </c>
      <c r="U48">
        <v>12</v>
      </c>
      <c r="V48">
        <v>16</v>
      </c>
      <c r="W48">
        <v>9</v>
      </c>
      <c r="X48">
        <v>18</v>
      </c>
      <c r="Y48">
        <v>16</v>
      </c>
      <c r="Z48">
        <v>17</v>
      </c>
      <c r="AA48">
        <v>17</v>
      </c>
      <c r="AB48">
        <v>18</v>
      </c>
      <c r="AC48">
        <v>13</v>
      </c>
      <c r="AD48">
        <v>11</v>
      </c>
      <c r="AE48" t="s">
        <v>271</v>
      </c>
      <c r="AF48">
        <v>10</v>
      </c>
      <c r="AG48">
        <v>9</v>
      </c>
      <c r="AH48">
        <v>15</v>
      </c>
      <c r="AI48">
        <v>12</v>
      </c>
      <c r="AJ48">
        <v>20</v>
      </c>
      <c r="AK48">
        <v>13</v>
      </c>
      <c r="AL48">
        <v>11</v>
      </c>
      <c r="AM48">
        <v>3</v>
      </c>
      <c r="AN48">
        <v>2</v>
      </c>
      <c r="AO48">
        <v>2</v>
      </c>
      <c r="AP48">
        <v>1</v>
      </c>
      <c r="AQ48">
        <v>2</v>
      </c>
      <c r="AR48">
        <v>1</v>
      </c>
      <c r="AS48">
        <v>3</v>
      </c>
      <c r="AT48">
        <v>1</v>
      </c>
      <c r="AU48">
        <v>1</v>
      </c>
      <c r="AV48">
        <v>1</v>
      </c>
      <c r="AW48">
        <v>4</v>
      </c>
      <c r="AX48">
        <v>18</v>
      </c>
      <c r="AY48">
        <v>10</v>
      </c>
      <c r="AZ48">
        <v>5</v>
      </c>
      <c r="BA48">
        <v>9</v>
      </c>
      <c r="BB48">
        <v>4</v>
      </c>
      <c r="BC48">
        <v>9</v>
      </c>
      <c r="BD48">
        <v>6</v>
      </c>
      <c r="BE48">
        <v>11</v>
      </c>
      <c r="BF48">
        <v>9</v>
      </c>
      <c r="BG48">
        <v>8</v>
      </c>
      <c r="BH48">
        <v>5</v>
      </c>
      <c r="BI48">
        <v>10</v>
      </c>
      <c r="BJ48">
        <v>8</v>
      </c>
      <c r="BK48">
        <v>7</v>
      </c>
      <c r="BL48">
        <v>7</v>
      </c>
      <c r="BM48">
        <v>12</v>
      </c>
      <c r="BN48">
        <v>8</v>
      </c>
      <c r="BO48">
        <v>4</v>
      </c>
      <c r="BP48">
        <v>5</v>
      </c>
      <c r="BQ48">
        <v>10</v>
      </c>
      <c r="BR48">
        <v>3</v>
      </c>
      <c r="BS48">
        <v>5</v>
      </c>
      <c r="BT48">
        <v>5</v>
      </c>
      <c r="BU48">
        <v>7</v>
      </c>
      <c r="BV48">
        <v>7</v>
      </c>
      <c r="BW48">
        <v>7</v>
      </c>
      <c r="BX48">
        <v>2</v>
      </c>
      <c r="BY48">
        <v>8</v>
      </c>
      <c r="BZ48">
        <v>1</v>
      </c>
      <c r="CA48">
        <v>1</v>
      </c>
      <c r="CB48">
        <v>1</v>
      </c>
      <c r="CC48">
        <v>1</v>
      </c>
      <c r="CD48">
        <v>1</v>
      </c>
      <c r="CE48">
        <v>20</v>
      </c>
      <c r="CF48">
        <v>1</v>
      </c>
      <c r="CG48">
        <v>1</v>
      </c>
      <c r="CH48">
        <v>1</v>
      </c>
      <c r="CI48" t="s">
        <v>383</v>
      </c>
      <c r="CJ48" t="s">
        <v>230</v>
      </c>
      <c r="CK48" t="s">
        <v>384</v>
      </c>
      <c r="CL48">
        <v>53</v>
      </c>
      <c r="CM48">
        <v>6</v>
      </c>
      <c r="CN48">
        <v>31</v>
      </c>
    </row>
    <row r="49" spans="1:92" x14ac:dyDescent="0.3">
      <c r="A49">
        <v>34</v>
      </c>
      <c r="C49" t="s">
        <v>385</v>
      </c>
      <c r="D49" t="s">
        <v>386</v>
      </c>
      <c r="E49" t="s">
        <v>76</v>
      </c>
      <c r="F49">
        <v>81</v>
      </c>
      <c r="G49">
        <v>89</v>
      </c>
      <c r="H49">
        <v>20</v>
      </c>
      <c r="I49">
        <v>2742</v>
      </c>
      <c r="J49" t="s">
        <v>387</v>
      </c>
      <c r="K49">
        <v>9818</v>
      </c>
      <c r="L49" t="s">
        <v>228</v>
      </c>
      <c r="M49" t="s">
        <v>228</v>
      </c>
      <c r="N49">
        <v>-215</v>
      </c>
      <c r="O49">
        <v>9900</v>
      </c>
      <c r="P49">
        <v>7</v>
      </c>
      <c r="Q49">
        <v>14</v>
      </c>
      <c r="R49">
        <v>8</v>
      </c>
      <c r="S49">
        <v>4</v>
      </c>
      <c r="T49">
        <v>10</v>
      </c>
      <c r="U49">
        <v>11</v>
      </c>
      <c r="V49">
        <v>13</v>
      </c>
      <c r="W49">
        <v>9</v>
      </c>
      <c r="X49">
        <v>12</v>
      </c>
      <c r="Y49">
        <v>8</v>
      </c>
      <c r="Z49">
        <v>15</v>
      </c>
      <c r="AA49">
        <v>14</v>
      </c>
      <c r="AB49">
        <v>18</v>
      </c>
      <c r="AC49">
        <v>8</v>
      </c>
      <c r="AD49">
        <v>10</v>
      </c>
      <c r="AE49" t="s">
        <v>252</v>
      </c>
      <c r="AF49">
        <v>5</v>
      </c>
      <c r="AG49">
        <v>11</v>
      </c>
      <c r="AH49">
        <v>13</v>
      </c>
      <c r="AI49">
        <v>7</v>
      </c>
      <c r="AJ49">
        <v>20</v>
      </c>
      <c r="AK49">
        <v>11</v>
      </c>
      <c r="AL49">
        <v>12</v>
      </c>
      <c r="AM49">
        <v>1</v>
      </c>
      <c r="AN49">
        <v>1</v>
      </c>
      <c r="AO49">
        <v>3</v>
      </c>
      <c r="AP49">
        <v>3</v>
      </c>
      <c r="AQ49">
        <v>4</v>
      </c>
      <c r="AR49">
        <v>3</v>
      </c>
      <c r="AS49">
        <v>4</v>
      </c>
      <c r="AT49">
        <v>3</v>
      </c>
      <c r="AU49">
        <v>1</v>
      </c>
      <c r="AV49">
        <v>1</v>
      </c>
      <c r="AW49">
        <v>1</v>
      </c>
      <c r="AX49">
        <v>9</v>
      </c>
      <c r="AY49">
        <v>13</v>
      </c>
      <c r="AZ49">
        <v>13</v>
      </c>
      <c r="BA49">
        <v>13</v>
      </c>
      <c r="BB49">
        <v>6</v>
      </c>
      <c r="BC49">
        <v>12</v>
      </c>
      <c r="BD49">
        <v>14</v>
      </c>
      <c r="BE49">
        <v>14</v>
      </c>
      <c r="BF49">
        <v>12</v>
      </c>
      <c r="BG49">
        <v>14</v>
      </c>
      <c r="BH49">
        <v>3</v>
      </c>
      <c r="BI49">
        <v>4</v>
      </c>
      <c r="BJ49">
        <v>9</v>
      </c>
      <c r="BK49">
        <v>6</v>
      </c>
      <c r="BL49">
        <v>4</v>
      </c>
      <c r="BM49">
        <v>7</v>
      </c>
      <c r="BN49">
        <v>12</v>
      </c>
      <c r="BO49">
        <v>11</v>
      </c>
      <c r="BP49">
        <v>10</v>
      </c>
      <c r="BQ49">
        <v>5</v>
      </c>
      <c r="BR49">
        <v>11</v>
      </c>
      <c r="BS49">
        <v>6</v>
      </c>
      <c r="BT49">
        <v>2</v>
      </c>
      <c r="BU49">
        <v>5</v>
      </c>
      <c r="BV49">
        <v>12</v>
      </c>
      <c r="BW49">
        <v>5</v>
      </c>
      <c r="BX49">
        <v>2</v>
      </c>
      <c r="BY49">
        <v>12</v>
      </c>
      <c r="BZ49">
        <v>1</v>
      </c>
      <c r="CA49">
        <v>1</v>
      </c>
      <c r="CB49">
        <v>2</v>
      </c>
      <c r="CC49">
        <v>1</v>
      </c>
      <c r="CD49">
        <v>1</v>
      </c>
      <c r="CE49">
        <v>16</v>
      </c>
      <c r="CF49">
        <v>1</v>
      </c>
      <c r="CG49">
        <v>16</v>
      </c>
      <c r="CH49">
        <v>20</v>
      </c>
      <c r="CJ49" t="s">
        <v>230</v>
      </c>
      <c r="CK49" t="s">
        <v>388</v>
      </c>
      <c r="CL49">
        <v>205</v>
      </c>
      <c r="CM49">
        <v>82</v>
      </c>
      <c r="CN49">
        <v>7</v>
      </c>
    </row>
    <row r="50" spans="1:92" x14ac:dyDescent="0.3">
      <c r="A50">
        <v>-1</v>
      </c>
      <c r="C50" t="s">
        <v>389</v>
      </c>
      <c r="D50" t="s">
        <v>102</v>
      </c>
      <c r="E50" t="s">
        <v>182</v>
      </c>
      <c r="F50">
        <v>30</v>
      </c>
      <c r="G50">
        <v>102</v>
      </c>
      <c r="H50">
        <v>20</v>
      </c>
      <c r="I50">
        <v>1083</v>
      </c>
      <c r="J50" t="s">
        <v>339</v>
      </c>
      <c r="K50">
        <v>9920</v>
      </c>
      <c r="L50" t="s">
        <v>228</v>
      </c>
      <c r="M50" t="s">
        <v>228</v>
      </c>
      <c r="N50">
        <v>0</v>
      </c>
      <c r="O50">
        <v>7775</v>
      </c>
      <c r="P50">
        <v>6</v>
      </c>
      <c r="Q50">
        <v>11</v>
      </c>
      <c r="R50">
        <v>7</v>
      </c>
      <c r="S50">
        <v>7</v>
      </c>
      <c r="T50">
        <v>11</v>
      </c>
      <c r="U50">
        <v>10</v>
      </c>
      <c r="V50">
        <v>4</v>
      </c>
      <c r="W50">
        <v>9</v>
      </c>
      <c r="X50">
        <v>13</v>
      </c>
      <c r="Y50">
        <v>5</v>
      </c>
      <c r="Z50">
        <v>11</v>
      </c>
      <c r="AA50">
        <v>14</v>
      </c>
      <c r="AB50">
        <v>10</v>
      </c>
      <c r="AC50">
        <v>12</v>
      </c>
      <c r="AD50">
        <v>9</v>
      </c>
      <c r="AE50" t="s">
        <v>279</v>
      </c>
      <c r="AF50">
        <v>5</v>
      </c>
      <c r="AG50">
        <v>11</v>
      </c>
      <c r="AH50">
        <v>12</v>
      </c>
      <c r="AI50">
        <v>12</v>
      </c>
      <c r="AJ50">
        <v>20</v>
      </c>
      <c r="AK50">
        <v>8</v>
      </c>
      <c r="AL50">
        <v>2</v>
      </c>
      <c r="AM50">
        <v>3</v>
      </c>
      <c r="AN50">
        <v>3</v>
      </c>
      <c r="AO50">
        <v>2</v>
      </c>
      <c r="AP50">
        <v>3</v>
      </c>
      <c r="AQ50">
        <v>2</v>
      </c>
      <c r="AR50">
        <v>3</v>
      </c>
      <c r="AS50">
        <v>3</v>
      </c>
      <c r="AT50">
        <v>3</v>
      </c>
      <c r="AU50">
        <v>1</v>
      </c>
      <c r="AV50">
        <v>1</v>
      </c>
      <c r="AW50">
        <v>3</v>
      </c>
      <c r="AX50">
        <v>7</v>
      </c>
      <c r="AY50">
        <v>8</v>
      </c>
      <c r="AZ50">
        <v>3</v>
      </c>
      <c r="BA50">
        <v>6</v>
      </c>
      <c r="BB50">
        <v>3</v>
      </c>
      <c r="BC50">
        <v>3</v>
      </c>
      <c r="BD50">
        <v>5</v>
      </c>
      <c r="BE50">
        <v>12</v>
      </c>
      <c r="BF50">
        <v>5</v>
      </c>
      <c r="BG50">
        <v>9</v>
      </c>
      <c r="BH50">
        <v>1</v>
      </c>
      <c r="BI50">
        <v>2</v>
      </c>
      <c r="BJ50">
        <v>7</v>
      </c>
      <c r="BK50">
        <v>4</v>
      </c>
      <c r="BL50">
        <v>5</v>
      </c>
      <c r="BM50">
        <v>7</v>
      </c>
      <c r="BN50">
        <v>5</v>
      </c>
      <c r="BO50">
        <v>4</v>
      </c>
      <c r="BP50">
        <v>6</v>
      </c>
      <c r="BQ50">
        <v>1</v>
      </c>
      <c r="BR50">
        <v>5</v>
      </c>
      <c r="BS50">
        <v>2</v>
      </c>
      <c r="BT50">
        <v>1</v>
      </c>
      <c r="BU50">
        <v>1</v>
      </c>
      <c r="BV50">
        <v>4</v>
      </c>
      <c r="BW50">
        <v>1</v>
      </c>
      <c r="BX50">
        <v>1</v>
      </c>
      <c r="BY50">
        <v>11</v>
      </c>
      <c r="BZ50">
        <v>1</v>
      </c>
      <c r="CA50">
        <v>1</v>
      </c>
      <c r="CB50">
        <v>1</v>
      </c>
      <c r="CC50">
        <v>1</v>
      </c>
      <c r="CD50">
        <v>1</v>
      </c>
      <c r="CE50">
        <v>9</v>
      </c>
      <c r="CF50">
        <v>12</v>
      </c>
      <c r="CG50">
        <v>20</v>
      </c>
      <c r="CH50">
        <v>1</v>
      </c>
      <c r="CI50" t="s">
        <v>390</v>
      </c>
      <c r="CJ50" t="s">
        <v>230</v>
      </c>
      <c r="CK50" t="s">
        <v>367</v>
      </c>
      <c r="CL50">
        <v>165</v>
      </c>
      <c r="CM50">
        <v>58</v>
      </c>
      <c r="CN50">
        <v>7</v>
      </c>
    </row>
    <row r="51" spans="1:92" x14ac:dyDescent="0.3">
      <c r="A51">
        <v>4</v>
      </c>
      <c r="C51" t="s">
        <v>391</v>
      </c>
      <c r="D51" t="s">
        <v>277</v>
      </c>
      <c r="E51" t="s">
        <v>70</v>
      </c>
      <c r="F51">
        <v>70</v>
      </c>
      <c r="G51">
        <v>87</v>
      </c>
      <c r="H51">
        <v>17</v>
      </c>
      <c r="I51">
        <v>1586</v>
      </c>
      <c r="J51" t="s">
        <v>392</v>
      </c>
      <c r="K51">
        <v>9725</v>
      </c>
      <c r="L51" t="s">
        <v>228</v>
      </c>
      <c r="M51" t="s">
        <v>228</v>
      </c>
      <c r="N51">
        <v>19</v>
      </c>
      <c r="O51">
        <v>10000</v>
      </c>
      <c r="P51">
        <v>15</v>
      </c>
      <c r="Q51">
        <v>15</v>
      </c>
      <c r="R51">
        <v>15</v>
      </c>
      <c r="S51">
        <v>10</v>
      </c>
      <c r="T51">
        <v>8</v>
      </c>
      <c r="U51">
        <v>14</v>
      </c>
      <c r="V51">
        <v>9</v>
      </c>
      <c r="W51">
        <v>16</v>
      </c>
      <c r="X51">
        <v>10</v>
      </c>
      <c r="Y51">
        <v>16</v>
      </c>
      <c r="Z51">
        <v>9</v>
      </c>
      <c r="AA51">
        <v>4</v>
      </c>
      <c r="AB51">
        <v>6</v>
      </c>
      <c r="AC51">
        <v>11</v>
      </c>
      <c r="AD51">
        <v>13</v>
      </c>
      <c r="AE51" t="s">
        <v>325</v>
      </c>
      <c r="AF51">
        <v>7</v>
      </c>
      <c r="AG51">
        <v>9</v>
      </c>
      <c r="AH51">
        <v>14</v>
      </c>
      <c r="AI51">
        <v>13</v>
      </c>
      <c r="AJ51">
        <v>20</v>
      </c>
      <c r="AK51">
        <v>11</v>
      </c>
      <c r="AL51">
        <v>10</v>
      </c>
      <c r="AM51">
        <v>3</v>
      </c>
      <c r="AN51">
        <v>4</v>
      </c>
      <c r="AO51">
        <v>3</v>
      </c>
      <c r="AP51">
        <v>2</v>
      </c>
      <c r="AQ51">
        <v>1</v>
      </c>
      <c r="AR51">
        <v>3</v>
      </c>
      <c r="AS51">
        <v>1</v>
      </c>
      <c r="AT51">
        <v>4</v>
      </c>
      <c r="AU51">
        <v>3</v>
      </c>
      <c r="AV51">
        <v>1</v>
      </c>
      <c r="AW51">
        <v>1</v>
      </c>
      <c r="AX51">
        <v>18</v>
      </c>
      <c r="AY51">
        <v>8</v>
      </c>
      <c r="AZ51">
        <v>7</v>
      </c>
      <c r="BA51">
        <v>7</v>
      </c>
      <c r="BB51">
        <v>10</v>
      </c>
      <c r="BC51">
        <v>8</v>
      </c>
      <c r="BD51">
        <v>10</v>
      </c>
      <c r="BE51">
        <v>3</v>
      </c>
      <c r="BF51">
        <v>14</v>
      </c>
      <c r="BG51">
        <v>7</v>
      </c>
      <c r="BH51">
        <v>13</v>
      </c>
      <c r="BI51">
        <v>7</v>
      </c>
      <c r="BJ51">
        <v>4</v>
      </c>
      <c r="BK51">
        <v>12</v>
      </c>
      <c r="BL51">
        <v>3</v>
      </c>
      <c r="BM51">
        <v>8</v>
      </c>
      <c r="BN51">
        <v>8</v>
      </c>
      <c r="BO51">
        <v>3</v>
      </c>
      <c r="BP51">
        <v>7</v>
      </c>
      <c r="BQ51">
        <v>2</v>
      </c>
      <c r="BR51">
        <v>9</v>
      </c>
      <c r="BS51">
        <v>2</v>
      </c>
      <c r="BT51">
        <v>4</v>
      </c>
      <c r="BU51">
        <v>9</v>
      </c>
      <c r="BV51">
        <v>7</v>
      </c>
      <c r="BW51">
        <v>3</v>
      </c>
      <c r="BX51">
        <v>10</v>
      </c>
      <c r="BY51">
        <v>9</v>
      </c>
      <c r="BZ51">
        <v>1</v>
      </c>
      <c r="CA51">
        <v>9</v>
      </c>
      <c r="CB51">
        <v>20</v>
      </c>
      <c r="CC51">
        <v>1</v>
      </c>
      <c r="CD51">
        <v>20</v>
      </c>
      <c r="CE51">
        <v>1</v>
      </c>
      <c r="CF51">
        <v>1</v>
      </c>
      <c r="CG51">
        <v>1</v>
      </c>
      <c r="CH51">
        <v>1</v>
      </c>
      <c r="CJ51" t="s">
        <v>359</v>
      </c>
      <c r="CK51" t="s">
        <v>393</v>
      </c>
      <c r="CL51">
        <v>0</v>
      </c>
      <c r="CM51">
        <v>0</v>
      </c>
      <c r="CN51">
        <v>7</v>
      </c>
    </row>
    <row r="52" spans="1:92" x14ac:dyDescent="0.3">
      <c r="A52">
        <v>35</v>
      </c>
      <c r="C52" t="s">
        <v>394</v>
      </c>
      <c r="D52" t="s">
        <v>73</v>
      </c>
      <c r="E52" t="s">
        <v>261</v>
      </c>
      <c r="F52">
        <v>83</v>
      </c>
      <c r="G52">
        <v>112</v>
      </c>
      <c r="H52">
        <v>21</v>
      </c>
      <c r="I52">
        <v>3250</v>
      </c>
      <c r="J52" t="s">
        <v>395</v>
      </c>
      <c r="K52">
        <v>9656</v>
      </c>
      <c r="L52" t="s">
        <v>228</v>
      </c>
      <c r="M52" t="s">
        <v>228</v>
      </c>
      <c r="N52">
        <v>-299</v>
      </c>
      <c r="O52">
        <v>8500</v>
      </c>
      <c r="P52">
        <v>8</v>
      </c>
      <c r="Q52">
        <v>7</v>
      </c>
      <c r="R52">
        <v>7</v>
      </c>
      <c r="S52">
        <v>9</v>
      </c>
      <c r="T52">
        <v>9</v>
      </c>
      <c r="U52">
        <v>10</v>
      </c>
      <c r="V52">
        <v>10</v>
      </c>
      <c r="W52">
        <v>10</v>
      </c>
      <c r="X52">
        <v>10</v>
      </c>
      <c r="Y52">
        <v>10</v>
      </c>
      <c r="Z52">
        <v>10</v>
      </c>
      <c r="AA52">
        <v>10</v>
      </c>
      <c r="AB52">
        <v>10</v>
      </c>
      <c r="AC52">
        <v>12</v>
      </c>
      <c r="AD52">
        <v>11</v>
      </c>
      <c r="AE52" t="s">
        <v>325</v>
      </c>
      <c r="AF52">
        <v>8</v>
      </c>
      <c r="AG52">
        <v>13</v>
      </c>
      <c r="AH52">
        <v>11</v>
      </c>
      <c r="AI52">
        <v>15</v>
      </c>
      <c r="AJ52">
        <v>20</v>
      </c>
      <c r="AK52">
        <v>8</v>
      </c>
      <c r="AL52">
        <v>9</v>
      </c>
      <c r="AM52">
        <v>3</v>
      </c>
      <c r="AN52">
        <v>2</v>
      </c>
      <c r="AO52">
        <v>2</v>
      </c>
      <c r="AP52">
        <v>2</v>
      </c>
      <c r="AQ52">
        <v>1</v>
      </c>
      <c r="AR52">
        <v>3</v>
      </c>
      <c r="AS52">
        <v>1</v>
      </c>
      <c r="AT52">
        <v>1</v>
      </c>
      <c r="AU52">
        <v>2</v>
      </c>
      <c r="AV52">
        <v>1</v>
      </c>
      <c r="AW52">
        <v>3</v>
      </c>
      <c r="AX52">
        <v>12</v>
      </c>
      <c r="AY52">
        <v>10</v>
      </c>
      <c r="AZ52">
        <v>5</v>
      </c>
      <c r="BA52">
        <v>9</v>
      </c>
      <c r="BB52">
        <v>4</v>
      </c>
      <c r="BC52">
        <v>9</v>
      </c>
      <c r="BD52">
        <v>8</v>
      </c>
      <c r="BE52">
        <v>10</v>
      </c>
      <c r="BF52">
        <v>7</v>
      </c>
      <c r="BG52">
        <v>13</v>
      </c>
      <c r="BH52">
        <v>3</v>
      </c>
      <c r="BI52">
        <v>2</v>
      </c>
      <c r="BJ52">
        <v>6</v>
      </c>
      <c r="BK52">
        <v>6</v>
      </c>
      <c r="BL52">
        <v>4</v>
      </c>
      <c r="BM52">
        <v>2</v>
      </c>
      <c r="BN52">
        <v>13</v>
      </c>
      <c r="BO52">
        <v>12</v>
      </c>
      <c r="BP52">
        <v>12</v>
      </c>
      <c r="BQ52">
        <v>4</v>
      </c>
      <c r="BR52">
        <v>13</v>
      </c>
      <c r="BS52">
        <v>8</v>
      </c>
      <c r="BT52">
        <v>2</v>
      </c>
      <c r="BU52">
        <v>3</v>
      </c>
      <c r="BV52">
        <v>8</v>
      </c>
      <c r="BW52">
        <v>3</v>
      </c>
      <c r="BX52">
        <v>1</v>
      </c>
      <c r="BY52">
        <v>9</v>
      </c>
      <c r="BZ52">
        <v>1</v>
      </c>
      <c r="CA52">
        <v>1</v>
      </c>
      <c r="CB52">
        <v>1</v>
      </c>
      <c r="CC52">
        <v>1</v>
      </c>
      <c r="CD52">
        <v>1</v>
      </c>
      <c r="CE52">
        <v>4</v>
      </c>
      <c r="CF52">
        <v>1</v>
      </c>
      <c r="CG52">
        <v>1</v>
      </c>
      <c r="CH52">
        <v>20</v>
      </c>
      <c r="CJ52" t="s">
        <v>230</v>
      </c>
      <c r="CK52" t="s">
        <v>396</v>
      </c>
      <c r="CL52">
        <v>251</v>
      </c>
      <c r="CM52">
        <v>88</v>
      </c>
      <c r="CN52">
        <v>7</v>
      </c>
    </row>
    <row r="53" spans="1:92" x14ac:dyDescent="0.3">
      <c r="A53">
        <v>36</v>
      </c>
      <c r="C53" t="s">
        <v>397</v>
      </c>
      <c r="D53" t="s">
        <v>94</v>
      </c>
      <c r="E53" t="s">
        <v>256</v>
      </c>
      <c r="F53">
        <v>26</v>
      </c>
      <c r="G53">
        <v>67</v>
      </c>
      <c r="H53">
        <v>16</v>
      </c>
      <c r="I53">
        <v>1246</v>
      </c>
      <c r="J53" t="s">
        <v>398</v>
      </c>
      <c r="K53">
        <v>9784</v>
      </c>
      <c r="L53" t="s">
        <v>228</v>
      </c>
      <c r="M53" t="s">
        <v>228</v>
      </c>
      <c r="N53">
        <v>70</v>
      </c>
      <c r="O53">
        <v>10000</v>
      </c>
      <c r="P53">
        <v>12</v>
      </c>
      <c r="Q53">
        <v>11</v>
      </c>
      <c r="R53">
        <v>12</v>
      </c>
      <c r="S53">
        <v>12</v>
      </c>
      <c r="T53">
        <v>7</v>
      </c>
      <c r="U53">
        <v>12</v>
      </c>
      <c r="V53">
        <v>9</v>
      </c>
      <c r="W53">
        <v>12</v>
      </c>
      <c r="X53">
        <v>12</v>
      </c>
      <c r="Y53">
        <v>15</v>
      </c>
      <c r="Z53">
        <v>9</v>
      </c>
      <c r="AA53">
        <v>5</v>
      </c>
      <c r="AB53">
        <v>4</v>
      </c>
      <c r="AC53">
        <v>4</v>
      </c>
      <c r="AD53">
        <v>11</v>
      </c>
      <c r="AE53" t="s">
        <v>279</v>
      </c>
      <c r="AF53">
        <v>11</v>
      </c>
      <c r="AG53">
        <v>7</v>
      </c>
      <c r="AH53">
        <v>12</v>
      </c>
      <c r="AI53">
        <v>9</v>
      </c>
      <c r="AJ53">
        <v>20</v>
      </c>
      <c r="AK53">
        <v>3</v>
      </c>
      <c r="AL53">
        <v>3</v>
      </c>
      <c r="AM53">
        <v>10</v>
      </c>
      <c r="AN53">
        <v>9</v>
      </c>
      <c r="AO53">
        <v>9</v>
      </c>
      <c r="AP53">
        <v>9</v>
      </c>
      <c r="AQ53">
        <v>11</v>
      </c>
      <c r="AR53">
        <v>5</v>
      </c>
      <c r="AS53">
        <v>5</v>
      </c>
      <c r="AT53">
        <v>5</v>
      </c>
      <c r="AU53">
        <v>13</v>
      </c>
      <c r="AV53">
        <v>14</v>
      </c>
      <c r="AW53">
        <v>4</v>
      </c>
      <c r="AX53">
        <v>11</v>
      </c>
      <c r="AY53">
        <v>4</v>
      </c>
      <c r="AZ53">
        <v>8</v>
      </c>
      <c r="BA53">
        <v>4</v>
      </c>
      <c r="BB53">
        <v>12</v>
      </c>
      <c r="BC53">
        <v>6</v>
      </c>
      <c r="BD53">
        <v>9</v>
      </c>
      <c r="BE53">
        <v>1</v>
      </c>
      <c r="BF53">
        <v>10</v>
      </c>
      <c r="BG53">
        <v>2</v>
      </c>
      <c r="BH53">
        <v>5</v>
      </c>
      <c r="BI53">
        <v>7</v>
      </c>
      <c r="BJ53">
        <v>4</v>
      </c>
      <c r="BK53">
        <v>2</v>
      </c>
      <c r="BL53">
        <v>4</v>
      </c>
      <c r="BM53">
        <v>1</v>
      </c>
      <c r="BN53">
        <v>2</v>
      </c>
      <c r="BO53">
        <v>2</v>
      </c>
      <c r="BP53">
        <v>4</v>
      </c>
      <c r="BQ53">
        <v>5</v>
      </c>
      <c r="BR53">
        <v>1</v>
      </c>
      <c r="BS53">
        <v>1</v>
      </c>
      <c r="BT53">
        <v>1</v>
      </c>
      <c r="BU53">
        <v>3</v>
      </c>
      <c r="BV53">
        <v>4</v>
      </c>
      <c r="BW53">
        <v>2</v>
      </c>
      <c r="BX53">
        <v>1</v>
      </c>
      <c r="BY53">
        <v>3</v>
      </c>
      <c r="BZ53">
        <v>20</v>
      </c>
      <c r="CA53">
        <v>1</v>
      </c>
      <c r="CB53">
        <v>1</v>
      </c>
      <c r="CC53">
        <v>1</v>
      </c>
      <c r="CD53">
        <v>1</v>
      </c>
      <c r="CE53">
        <v>1</v>
      </c>
      <c r="CF53">
        <v>1</v>
      </c>
      <c r="CG53">
        <v>1</v>
      </c>
      <c r="CH53">
        <v>1</v>
      </c>
      <c r="CJ53" t="s">
        <v>359</v>
      </c>
      <c r="CK53" t="s">
        <v>393</v>
      </c>
      <c r="CL53">
        <v>0</v>
      </c>
      <c r="CM53">
        <v>0</v>
      </c>
      <c r="CN53">
        <v>19</v>
      </c>
    </row>
    <row r="54" spans="1:92" x14ac:dyDescent="0.3">
      <c r="A54">
        <v>41</v>
      </c>
      <c r="C54" t="s">
        <v>399</v>
      </c>
      <c r="D54" t="s">
        <v>123</v>
      </c>
      <c r="E54" t="s">
        <v>76</v>
      </c>
      <c r="F54">
        <v>60</v>
      </c>
      <c r="G54">
        <v>72</v>
      </c>
      <c r="H54">
        <v>16</v>
      </c>
      <c r="I54">
        <v>2171</v>
      </c>
      <c r="J54" t="s">
        <v>400</v>
      </c>
      <c r="K54">
        <v>6470</v>
      </c>
      <c r="L54" t="s">
        <v>228</v>
      </c>
      <c r="M54" t="s">
        <v>289</v>
      </c>
      <c r="N54">
        <v>63</v>
      </c>
      <c r="O54">
        <v>9228</v>
      </c>
      <c r="P54">
        <v>6</v>
      </c>
      <c r="Q54">
        <v>9</v>
      </c>
      <c r="R54">
        <v>12</v>
      </c>
      <c r="S54">
        <v>8</v>
      </c>
      <c r="T54">
        <v>10</v>
      </c>
      <c r="U54">
        <v>11</v>
      </c>
      <c r="V54">
        <v>12</v>
      </c>
      <c r="W54">
        <v>13</v>
      </c>
      <c r="X54">
        <v>8</v>
      </c>
      <c r="Y54">
        <v>13</v>
      </c>
      <c r="Z54">
        <v>12</v>
      </c>
      <c r="AA54">
        <v>6</v>
      </c>
      <c r="AB54">
        <v>12</v>
      </c>
      <c r="AC54">
        <v>12</v>
      </c>
      <c r="AD54">
        <v>14</v>
      </c>
      <c r="AE54" t="s">
        <v>337</v>
      </c>
      <c r="AF54">
        <v>10</v>
      </c>
      <c r="AG54">
        <v>20</v>
      </c>
      <c r="AH54">
        <v>5</v>
      </c>
      <c r="AI54">
        <v>13</v>
      </c>
      <c r="AJ54">
        <v>9</v>
      </c>
      <c r="AK54">
        <v>11</v>
      </c>
      <c r="AL54">
        <v>6</v>
      </c>
      <c r="AM54">
        <v>1</v>
      </c>
      <c r="AN54">
        <v>3</v>
      </c>
      <c r="AO54">
        <v>1</v>
      </c>
      <c r="AP54">
        <v>1</v>
      </c>
      <c r="AQ54">
        <v>1</v>
      </c>
      <c r="AR54">
        <v>2</v>
      </c>
      <c r="AS54">
        <v>2</v>
      </c>
      <c r="AT54">
        <v>3</v>
      </c>
      <c r="AU54">
        <v>3</v>
      </c>
      <c r="AV54">
        <v>2</v>
      </c>
      <c r="AW54">
        <v>1</v>
      </c>
      <c r="AX54">
        <v>12</v>
      </c>
      <c r="AY54">
        <v>8</v>
      </c>
      <c r="AZ54">
        <v>9</v>
      </c>
      <c r="BA54">
        <v>7</v>
      </c>
      <c r="BB54">
        <v>4</v>
      </c>
      <c r="BC54">
        <v>8</v>
      </c>
      <c r="BD54">
        <v>19</v>
      </c>
      <c r="BE54">
        <v>8</v>
      </c>
      <c r="BF54">
        <v>11</v>
      </c>
      <c r="BG54">
        <v>9</v>
      </c>
      <c r="BH54">
        <v>6</v>
      </c>
      <c r="BI54">
        <v>5</v>
      </c>
      <c r="BJ54">
        <v>7</v>
      </c>
      <c r="BK54">
        <v>9</v>
      </c>
      <c r="BL54">
        <v>6</v>
      </c>
      <c r="BM54">
        <v>8</v>
      </c>
      <c r="BN54">
        <v>7</v>
      </c>
      <c r="BO54">
        <v>6</v>
      </c>
      <c r="BP54">
        <v>6</v>
      </c>
      <c r="BQ54">
        <v>6</v>
      </c>
      <c r="BR54">
        <v>3</v>
      </c>
      <c r="BS54">
        <v>5</v>
      </c>
      <c r="BT54">
        <v>1</v>
      </c>
      <c r="BU54">
        <v>2</v>
      </c>
      <c r="BV54">
        <v>8</v>
      </c>
      <c r="BW54">
        <v>5</v>
      </c>
      <c r="BX54">
        <v>5</v>
      </c>
      <c r="BY54">
        <v>6</v>
      </c>
      <c r="BZ54">
        <v>1</v>
      </c>
      <c r="CA54">
        <v>1</v>
      </c>
      <c r="CB54">
        <v>3</v>
      </c>
      <c r="CC54">
        <v>1</v>
      </c>
      <c r="CD54">
        <v>1</v>
      </c>
      <c r="CE54">
        <v>1</v>
      </c>
      <c r="CF54">
        <v>1</v>
      </c>
      <c r="CG54">
        <v>16</v>
      </c>
      <c r="CH54">
        <v>1</v>
      </c>
      <c r="CJ54" t="s">
        <v>359</v>
      </c>
      <c r="CK54" t="s">
        <v>393</v>
      </c>
      <c r="CL54">
        <v>0</v>
      </c>
      <c r="CM54">
        <v>0</v>
      </c>
      <c r="CN54">
        <v>19</v>
      </c>
    </row>
    <row r="55" spans="1:92" x14ac:dyDescent="0.3">
      <c r="A55">
        <v>46</v>
      </c>
      <c r="C55" t="s">
        <v>401</v>
      </c>
      <c r="D55" t="s">
        <v>402</v>
      </c>
      <c r="E55" t="s">
        <v>403</v>
      </c>
      <c r="F55">
        <v>48</v>
      </c>
      <c r="G55">
        <v>87</v>
      </c>
      <c r="H55">
        <v>16</v>
      </c>
      <c r="I55">
        <v>824</v>
      </c>
      <c r="J55" t="s">
        <v>357</v>
      </c>
      <c r="K55">
        <v>9528</v>
      </c>
      <c r="L55" t="s">
        <v>228</v>
      </c>
      <c r="M55" t="s">
        <v>228</v>
      </c>
      <c r="N55">
        <v>67</v>
      </c>
      <c r="O55">
        <v>9300</v>
      </c>
      <c r="P55">
        <v>7</v>
      </c>
      <c r="Q55">
        <v>6</v>
      </c>
      <c r="R55">
        <v>15</v>
      </c>
      <c r="S55">
        <v>8</v>
      </c>
      <c r="T55">
        <v>7</v>
      </c>
      <c r="U55">
        <v>6</v>
      </c>
      <c r="V55">
        <v>17</v>
      </c>
      <c r="W55">
        <v>12</v>
      </c>
      <c r="X55">
        <v>4</v>
      </c>
      <c r="Y55">
        <v>10</v>
      </c>
      <c r="Z55">
        <v>14</v>
      </c>
      <c r="AA55">
        <v>10</v>
      </c>
      <c r="AB55">
        <v>6</v>
      </c>
      <c r="AC55">
        <v>9</v>
      </c>
      <c r="AD55">
        <v>12</v>
      </c>
      <c r="AE55" t="s">
        <v>229</v>
      </c>
      <c r="AF55">
        <v>6</v>
      </c>
      <c r="AG55">
        <v>12</v>
      </c>
      <c r="AH55">
        <v>16</v>
      </c>
      <c r="AI55">
        <v>9</v>
      </c>
      <c r="AJ55">
        <v>20</v>
      </c>
      <c r="AK55">
        <v>6</v>
      </c>
      <c r="AL55">
        <v>5</v>
      </c>
      <c r="AM55">
        <v>3</v>
      </c>
      <c r="AN55">
        <v>2</v>
      </c>
      <c r="AO55">
        <v>1</v>
      </c>
      <c r="AP55">
        <v>1</v>
      </c>
      <c r="AQ55">
        <v>1</v>
      </c>
      <c r="AR55">
        <v>3</v>
      </c>
      <c r="AS55">
        <v>1</v>
      </c>
      <c r="AT55">
        <v>3</v>
      </c>
      <c r="AU55">
        <v>2</v>
      </c>
      <c r="AV55">
        <v>2</v>
      </c>
      <c r="AW55">
        <v>3</v>
      </c>
      <c r="AX55">
        <v>7</v>
      </c>
      <c r="AY55">
        <v>6</v>
      </c>
      <c r="AZ55">
        <v>6</v>
      </c>
      <c r="BA55">
        <v>6</v>
      </c>
      <c r="BB55">
        <v>5</v>
      </c>
      <c r="BC55">
        <v>12</v>
      </c>
      <c r="BD55">
        <v>12</v>
      </c>
      <c r="BE55">
        <v>13</v>
      </c>
      <c r="BF55">
        <v>13</v>
      </c>
      <c r="BG55">
        <v>9</v>
      </c>
      <c r="BH55">
        <v>4</v>
      </c>
      <c r="BI55">
        <v>8</v>
      </c>
      <c r="BJ55">
        <v>9</v>
      </c>
      <c r="BK55">
        <v>6</v>
      </c>
      <c r="BL55">
        <v>5</v>
      </c>
      <c r="BM55">
        <v>7</v>
      </c>
      <c r="BN55">
        <v>6</v>
      </c>
      <c r="BO55">
        <v>7</v>
      </c>
      <c r="BP55">
        <v>8</v>
      </c>
      <c r="BQ55">
        <v>6</v>
      </c>
      <c r="BR55">
        <v>2</v>
      </c>
      <c r="BS55">
        <v>7</v>
      </c>
      <c r="BT55">
        <v>1</v>
      </c>
      <c r="BU55">
        <v>2</v>
      </c>
      <c r="BV55">
        <v>6</v>
      </c>
      <c r="BW55">
        <v>3</v>
      </c>
      <c r="BX55">
        <v>6</v>
      </c>
      <c r="BY55">
        <v>13</v>
      </c>
      <c r="BZ55">
        <v>1</v>
      </c>
      <c r="CA55">
        <v>1</v>
      </c>
      <c r="CB55">
        <v>1</v>
      </c>
      <c r="CC55">
        <v>1</v>
      </c>
      <c r="CD55">
        <v>12</v>
      </c>
      <c r="CE55">
        <v>1</v>
      </c>
      <c r="CF55">
        <v>16</v>
      </c>
      <c r="CG55">
        <v>1</v>
      </c>
      <c r="CH55">
        <v>1</v>
      </c>
      <c r="CJ55" t="s">
        <v>359</v>
      </c>
      <c r="CK55" t="s">
        <v>393</v>
      </c>
      <c r="CL55">
        <v>0</v>
      </c>
      <c r="CM55">
        <v>0</v>
      </c>
      <c r="CN55">
        <v>19</v>
      </c>
    </row>
    <row r="56" spans="1:92" x14ac:dyDescent="0.3">
      <c r="A56">
        <v>44</v>
      </c>
      <c r="C56" t="s">
        <v>404</v>
      </c>
      <c r="D56" t="s">
        <v>405</v>
      </c>
      <c r="E56" t="s">
        <v>406</v>
      </c>
      <c r="F56">
        <v>50</v>
      </c>
      <c r="G56">
        <v>84</v>
      </c>
      <c r="H56">
        <v>16</v>
      </c>
      <c r="I56">
        <v>1914</v>
      </c>
      <c r="J56" t="s">
        <v>357</v>
      </c>
      <c r="K56">
        <v>9102</v>
      </c>
      <c r="L56" t="s">
        <v>228</v>
      </c>
      <c r="M56" t="s">
        <v>228</v>
      </c>
      <c r="N56">
        <v>80</v>
      </c>
      <c r="O56">
        <v>10000</v>
      </c>
      <c r="P56">
        <v>14</v>
      </c>
      <c r="Q56">
        <v>13</v>
      </c>
      <c r="R56">
        <v>10</v>
      </c>
      <c r="S56">
        <v>11</v>
      </c>
      <c r="T56">
        <v>5</v>
      </c>
      <c r="U56">
        <v>9</v>
      </c>
      <c r="V56">
        <v>1</v>
      </c>
      <c r="W56">
        <v>9</v>
      </c>
      <c r="X56">
        <v>18</v>
      </c>
      <c r="Y56">
        <v>16</v>
      </c>
      <c r="Z56">
        <v>18</v>
      </c>
      <c r="AA56">
        <v>17</v>
      </c>
      <c r="AB56">
        <v>17</v>
      </c>
      <c r="AC56">
        <v>8</v>
      </c>
      <c r="AD56">
        <v>8</v>
      </c>
      <c r="AE56" t="s">
        <v>229</v>
      </c>
      <c r="AF56">
        <v>9</v>
      </c>
      <c r="AG56">
        <v>12</v>
      </c>
      <c r="AH56">
        <v>16</v>
      </c>
      <c r="AI56">
        <v>8</v>
      </c>
      <c r="AJ56">
        <v>20</v>
      </c>
      <c r="AK56">
        <v>11</v>
      </c>
      <c r="AL56">
        <v>5</v>
      </c>
      <c r="AM56">
        <v>2</v>
      </c>
      <c r="AN56">
        <v>2</v>
      </c>
      <c r="AO56">
        <v>4</v>
      </c>
      <c r="AP56">
        <v>3</v>
      </c>
      <c r="AQ56">
        <v>2</v>
      </c>
      <c r="AR56">
        <v>3</v>
      </c>
      <c r="AS56">
        <v>3</v>
      </c>
      <c r="AT56">
        <v>3</v>
      </c>
      <c r="AU56">
        <v>1</v>
      </c>
      <c r="AV56">
        <v>1</v>
      </c>
      <c r="AW56">
        <v>3</v>
      </c>
      <c r="AX56">
        <v>10</v>
      </c>
      <c r="AY56">
        <v>7</v>
      </c>
      <c r="AZ56">
        <v>11</v>
      </c>
      <c r="BA56">
        <v>6</v>
      </c>
      <c r="BB56">
        <v>8</v>
      </c>
      <c r="BC56">
        <v>10</v>
      </c>
      <c r="BD56">
        <v>6</v>
      </c>
      <c r="BE56">
        <v>3</v>
      </c>
      <c r="BF56">
        <v>1</v>
      </c>
      <c r="BG56">
        <v>7</v>
      </c>
      <c r="BH56">
        <v>10</v>
      </c>
      <c r="BI56">
        <v>13</v>
      </c>
      <c r="BJ56">
        <v>7</v>
      </c>
      <c r="BK56">
        <v>10</v>
      </c>
      <c r="BL56">
        <v>6</v>
      </c>
      <c r="BM56">
        <v>6</v>
      </c>
      <c r="BN56">
        <v>5</v>
      </c>
      <c r="BO56">
        <v>8</v>
      </c>
      <c r="BP56">
        <v>8</v>
      </c>
      <c r="BQ56">
        <v>4</v>
      </c>
      <c r="BR56">
        <v>6</v>
      </c>
      <c r="BS56">
        <v>4</v>
      </c>
      <c r="BT56">
        <v>2</v>
      </c>
      <c r="BU56">
        <v>8</v>
      </c>
      <c r="BV56">
        <v>10</v>
      </c>
      <c r="BW56">
        <v>5</v>
      </c>
      <c r="BX56">
        <v>10</v>
      </c>
      <c r="BY56">
        <v>11</v>
      </c>
      <c r="BZ56">
        <v>1</v>
      </c>
      <c r="CA56">
        <v>3</v>
      </c>
      <c r="CB56">
        <v>16</v>
      </c>
      <c r="CC56">
        <v>1</v>
      </c>
      <c r="CD56">
        <v>14</v>
      </c>
      <c r="CE56">
        <v>1</v>
      </c>
      <c r="CF56">
        <v>10</v>
      </c>
      <c r="CG56">
        <v>1</v>
      </c>
      <c r="CH56">
        <v>1</v>
      </c>
      <c r="CJ56" t="s">
        <v>359</v>
      </c>
      <c r="CK56" t="s">
        <v>393</v>
      </c>
      <c r="CL56">
        <v>0</v>
      </c>
      <c r="CM56">
        <v>0</v>
      </c>
      <c r="CN56">
        <v>19</v>
      </c>
    </row>
    <row r="57" spans="1:92" x14ac:dyDescent="0.3">
      <c r="A57">
        <v>-1</v>
      </c>
      <c r="C57" t="s">
        <v>407</v>
      </c>
      <c r="D57" t="s">
        <v>73</v>
      </c>
      <c r="E57" t="s">
        <v>408</v>
      </c>
      <c r="F57">
        <v>48</v>
      </c>
      <c r="G57">
        <v>86</v>
      </c>
      <c r="H57">
        <v>17</v>
      </c>
      <c r="I57">
        <v>1476</v>
      </c>
      <c r="J57" t="s">
        <v>409</v>
      </c>
      <c r="K57">
        <v>9244</v>
      </c>
      <c r="L57" t="s">
        <v>228</v>
      </c>
      <c r="M57" t="s">
        <v>228</v>
      </c>
      <c r="N57">
        <v>25</v>
      </c>
      <c r="O57">
        <v>10000</v>
      </c>
      <c r="P57">
        <v>15</v>
      </c>
      <c r="Q57">
        <v>9</v>
      </c>
      <c r="R57">
        <v>10</v>
      </c>
      <c r="S57">
        <v>7</v>
      </c>
      <c r="T57">
        <v>10</v>
      </c>
      <c r="U57">
        <v>17</v>
      </c>
      <c r="V57">
        <v>3</v>
      </c>
      <c r="W57">
        <v>9</v>
      </c>
      <c r="X57">
        <v>12</v>
      </c>
      <c r="Y57">
        <v>9</v>
      </c>
      <c r="Z57">
        <v>13</v>
      </c>
      <c r="AA57">
        <v>13</v>
      </c>
      <c r="AB57">
        <v>12</v>
      </c>
      <c r="AC57">
        <v>6</v>
      </c>
      <c r="AD57">
        <v>5</v>
      </c>
      <c r="AE57" t="s">
        <v>286</v>
      </c>
      <c r="AF57">
        <v>15</v>
      </c>
      <c r="AG57">
        <v>9</v>
      </c>
      <c r="AH57">
        <v>16</v>
      </c>
      <c r="AI57">
        <v>7</v>
      </c>
      <c r="AJ57">
        <v>20</v>
      </c>
      <c r="AK57">
        <v>8</v>
      </c>
      <c r="AL57">
        <v>7</v>
      </c>
      <c r="AM57">
        <v>3</v>
      </c>
      <c r="AN57">
        <v>4</v>
      </c>
      <c r="AO57">
        <v>3</v>
      </c>
      <c r="AP57">
        <v>1</v>
      </c>
      <c r="AQ57">
        <v>3</v>
      </c>
      <c r="AR57">
        <v>2</v>
      </c>
      <c r="AS57">
        <v>3</v>
      </c>
      <c r="AT57">
        <v>1</v>
      </c>
      <c r="AU57">
        <v>3</v>
      </c>
      <c r="AV57">
        <v>2</v>
      </c>
      <c r="AW57">
        <v>1</v>
      </c>
      <c r="AX57">
        <v>15</v>
      </c>
      <c r="AY57">
        <v>8</v>
      </c>
      <c r="AZ57">
        <v>9</v>
      </c>
      <c r="BA57">
        <v>12</v>
      </c>
      <c r="BB57">
        <v>5</v>
      </c>
      <c r="BC57">
        <v>9</v>
      </c>
      <c r="BD57">
        <v>3</v>
      </c>
      <c r="BE57">
        <v>15</v>
      </c>
      <c r="BF57">
        <v>12</v>
      </c>
      <c r="BG57">
        <v>11</v>
      </c>
      <c r="BH57">
        <v>5</v>
      </c>
      <c r="BI57">
        <v>5</v>
      </c>
      <c r="BJ57">
        <v>5</v>
      </c>
      <c r="BK57">
        <v>3</v>
      </c>
      <c r="BL57">
        <v>5</v>
      </c>
      <c r="BM57">
        <v>2</v>
      </c>
      <c r="BN57">
        <v>6</v>
      </c>
      <c r="BO57">
        <v>10</v>
      </c>
      <c r="BP57">
        <v>11</v>
      </c>
      <c r="BQ57">
        <v>8</v>
      </c>
      <c r="BR57">
        <v>14</v>
      </c>
      <c r="BS57">
        <v>4</v>
      </c>
      <c r="BT57">
        <v>1</v>
      </c>
      <c r="BU57">
        <v>2</v>
      </c>
      <c r="BV57">
        <v>5</v>
      </c>
      <c r="BW57">
        <v>3</v>
      </c>
      <c r="BX57">
        <v>1</v>
      </c>
      <c r="BY57">
        <v>8</v>
      </c>
      <c r="BZ57">
        <v>1</v>
      </c>
      <c r="CA57">
        <v>1</v>
      </c>
      <c r="CB57">
        <v>2</v>
      </c>
      <c r="CC57">
        <v>1</v>
      </c>
      <c r="CD57">
        <v>2</v>
      </c>
      <c r="CE57">
        <v>1</v>
      </c>
      <c r="CF57">
        <v>1</v>
      </c>
      <c r="CG57">
        <v>1</v>
      </c>
      <c r="CH57">
        <v>20</v>
      </c>
      <c r="CJ57" t="s">
        <v>359</v>
      </c>
      <c r="CK57" t="s">
        <v>360</v>
      </c>
      <c r="CL57">
        <v>0</v>
      </c>
      <c r="CM57">
        <v>0</v>
      </c>
      <c r="CN57">
        <v>7</v>
      </c>
    </row>
    <row r="58" spans="1:92" x14ac:dyDescent="0.3">
      <c r="A58">
        <v>-1</v>
      </c>
      <c r="C58" t="s">
        <v>410</v>
      </c>
      <c r="D58" t="s">
        <v>78</v>
      </c>
      <c r="E58" t="s">
        <v>76</v>
      </c>
      <c r="F58">
        <v>45</v>
      </c>
      <c r="G58">
        <v>86</v>
      </c>
      <c r="H58">
        <v>18</v>
      </c>
      <c r="I58">
        <v>1018</v>
      </c>
      <c r="J58" t="s">
        <v>411</v>
      </c>
      <c r="K58">
        <v>9091</v>
      </c>
      <c r="L58" t="s">
        <v>228</v>
      </c>
      <c r="M58" t="s">
        <v>228</v>
      </c>
      <c r="N58">
        <v>-78</v>
      </c>
      <c r="O58">
        <v>10000</v>
      </c>
      <c r="P58">
        <v>12</v>
      </c>
      <c r="Q58">
        <v>7</v>
      </c>
      <c r="R58">
        <v>15</v>
      </c>
      <c r="S58">
        <v>9</v>
      </c>
      <c r="T58">
        <v>9</v>
      </c>
      <c r="U58">
        <v>11</v>
      </c>
      <c r="V58">
        <v>3</v>
      </c>
      <c r="W58">
        <v>5</v>
      </c>
      <c r="X58">
        <v>18</v>
      </c>
      <c r="Y58">
        <v>19</v>
      </c>
      <c r="Z58">
        <v>11</v>
      </c>
      <c r="AA58">
        <v>17</v>
      </c>
      <c r="AB58">
        <v>16</v>
      </c>
      <c r="AC58">
        <v>5</v>
      </c>
      <c r="AD58">
        <v>6</v>
      </c>
      <c r="AE58" t="s">
        <v>246</v>
      </c>
      <c r="AF58">
        <v>6</v>
      </c>
      <c r="AG58">
        <v>13</v>
      </c>
      <c r="AH58">
        <v>13</v>
      </c>
      <c r="AI58">
        <v>8</v>
      </c>
      <c r="AJ58">
        <v>20</v>
      </c>
      <c r="AK58">
        <v>9</v>
      </c>
      <c r="AL58">
        <v>5</v>
      </c>
      <c r="AM58">
        <v>3</v>
      </c>
      <c r="AN58">
        <v>1</v>
      </c>
      <c r="AO58">
        <v>2</v>
      </c>
      <c r="AP58">
        <v>2</v>
      </c>
      <c r="AQ58">
        <v>2</v>
      </c>
      <c r="AR58">
        <v>1</v>
      </c>
      <c r="AS58">
        <v>3</v>
      </c>
      <c r="AT58">
        <v>1</v>
      </c>
      <c r="AU58">
        <v>1</v>
      </c>
      <c r="AV58">
        <v>3</v>
      </c>
      <c r="AW58">
        <v>2</v>
      </c>
      <c r="AX58">
        <v>7</v>
      </c>
      <c r="AY58">
        <v>8</v>
      </c>
      <c r="AZ58">
        <v>4</v>
      </c>
      <c r="BA58">
        <v>7</v>
      </c>
      <c r="BB58">
        <v>7</v>
      </c>
      <c r="BC58">
        <v>13</v>
      </c>
      <c r="BD58">
        <v>14</v>
      </c>
      <c r="BE58">
        <v>12</v>
      </c>
      <c r="BF58">
        <v>9</v>
      </c>
      <c r="BG58">
        <v>5</v>
      </c>
      <c r="BH58">
        <v>4</v>
      </c>
      <c r="BI58">
        <v>8</v>
      </c>
      <c r="BJ58">
        <v>9</v>
      </c>
      <c r="BK58">
        <v>12</v>
      </c>
      <c r="BL58">
        <v>3</v>
      </c>
      <c r="BM58">
        <v>4</v>
      </c>
      <c r="BN58">
        <v>5</v>
      </c>
      <c r="BO58">
        <v>3</v>
      </c>
      <c r="BP58">
        <v>12</v>
      </c>
      <c r="BQ58">
        <v>2</v>
      </c>
      <c r="BR58">
        <v>6</v>
      </c>
      <c r="BS58">
        <v>5</v>
      </c>
      <c r="BT58">
        <v>2</v>
      </c>
      <c r="BU58">
        <v>7</v>
      </c>
      <c r="BV58">
        <v>9</v>
      </c>
      <c r="BW58">
        <v>4</v>
      </c>
      <c r="BX58">
        <v>11</v>
      </c>
      <c r="BY58">
        <v>7</v>
      </c>
      <c r="BZ58">
        <v>1</v>
      </c>
      <c r="CA58">
        <v>1</v>
      </c>
      <c r="CB58">
        <v>1</v>
      </c>
      <c r="CC58">
        <v>1</v>
      </c>
      <c r="CD58">
        <v>16</v>
      </c>
      <c r="CE58">
        <v>1</v>
      </c>
      <c r="CF58">
        <v>15</v>
      </c>
      <c r="CG58">
        <v>1</v>
      </c>
      <c r="CH58">
        <v>1</v>
      </c>
      <c r="CJ58" t="s">
        <v>359</v>
      </c>
      <c r="CK58" t="s">
        <v>360</v>
      </c>
      <c r="CL58">
        <v>0</v>
      </c>
      <c r="CM58">
        <v>0</v>
      </c>
      <c r="CN58">
        <v>7</v>
      </c>
    </row>
    <row r="59" spans="1:92" x14ac:dyDescent="0.3">
      <c r="A59">
        <v>-1</v>
      </c>
      <c r="C59" t="s">
        <v>412</v>
      </c>
      <c r="D59" t="s">
        <v>296</v>
      </c>
      <c r="E59" t="s">
        <v>76</v>
      </c>
      <c r="F59">
        <v>44</v>
      </c>
      <c r="G59">
        <v>92</v>
      </c>
      <c r="H59">
        <v>18</v>
      </c>
      <c r="I59">
        <v>1274</v>
      </c>
      <c r="J59" t="s">
        <v>413</v>
      </c>
      <c r="K59">
        <v>9258</v>
      </c>
      <c r="L59" t="s">
        <v>228</v>
      </c>
      <c r="M59" t="s">
        <v>228</v>
      </c>
      <c r="N59">
        <v>-58</v>
      </c>
      <c r="O59">
        <v>9300</v>
      </c>
      <c r="P59">
        <v>15</v>
      </c>
      <c r="Q59">
        <v>6</v>
      </c>
      <c r="R59">
        <v>6</v>
      </c>
      <c r="S59">
        <v>1</v>
      </c>
      <c r="T59">
        <v>7</v>
      </c>
      <c r="U59">
        <v>5</v>
      </c>
      <c r="V59">
        <v>6</v>
      </c>
      <c r="W59">
        <v>8</v>
      </c>
      <c r="X59">
        <v>13</v>
      </c>
      <c r="Y59">
        <v>8</v>
      </c>
      <c r="Z59">
        <v>12</v>
      </c>
      <c r="AA59">
        <v>12</v>
      </c>
      <c r="AB59">
        <v>15</v>
      </c>
      <c r="AC59">
        <v>8</v>
      </c>
      <c r="AD59">
        <v>10</v>
      </c>
      <c r="AE59" t="s">
        <v>279</v>
      </c>
      <c r="AF59">
        <v>14</v>
      </c>
      <c r="AG59">
        <v>9</v>
      </c>
      <c r="AH59">
        <v>14</v>
      </c>
      <c r="AI59">
        <v>7</v>
      </c>
      <c r="AJ59">
        <v>20</v>
      </c>
      <c r="AK59">
        <v>7</v>
      </c>
      <c r="AL59">
        <v>7</v>
      </c>
      <c r="AM59">
        <v>3</v>
      </c>
      <c r="AN59">
        <v>3</v>
      </c>
      <c r="AO59">
        <v>2</v>
      </c>
      <c r="AP59">
        <v>2</v>
      </c>
      <c r="AQ59">
        <v>2</v>
      </c>
      <c r="AR59">
        <v>2</v>
      </c>
      <c r="AS59">
        <v>2</v>
      </c>
      <c r="AT59">
        <v>3</v>
      </c>
      <c r="AU59">
        <v>2</v>
      </c>
      <c r="AV59">
        <v>3</v>
      </c>
      <c r="AW59">
        <v>3</v>
      </c>
      <c r="AX59">
        <v>7</v>
      </c>
      <c r="AY59">
        <v>8</v>
      </c>
      <c r="AZ59">
        <v>2</v>
      </c>
      <c r="BA59">
        <v>9</v>
      </c>
      <c r="BB59">
        <v>5</v>
      </c>
      <c r="BC59">
        <v>10</v>
      </c>
      <c r="BD59">
        <v>5</v>
      </c>
      <c r="BE59">
        <v>10</v>
      </c>
      <c r="BF59">
        <v>5</v>
      </c>
      <c r="BG59">
        <v>7</v>
      </c>
      <c r="BH59">
        <v>4</v>
      </c>
      <c r="BI59">
        <v>11</v>
      </c>
      <c r="BJ59">
        <v>6</v>
      </c>
      <c r="BK59">
        <v>10</v>
      </c>
      <c r="BL59">
        <v>2</v>
      </c>
      <c r="BM59">
        <v>4</v>
      </c>
      <c r="BN59">
        <v>11</v>
      </c>
      <c r="BO59">
        <v>6</v>
      </c>
      <c r="BP59">
        <v>9</v>
      </c>
      <c r="BQ59">
        <v>4</v>
      </c>
      <c r="BR59">
        <v>5</v>
      </c>
      <c r="BS59">
        <v>7</v>
      </c>
      <c r="BT59">
        <v>3</v>
      </c>
      <c r="BU59">
        <v>5</v>
      </c>
      <c r="BV59">
        <v>11</v>
      </c>
      <c r="BW59">
        <v>3</v>
      </c>
      <c r="BX59">
        <v>5</v>
      </c>
      <c r="BY59">
        <v>10</v>
      </c>
      <c r="BZ59">
        <v>1</v>
      </c>
      <c r="CA59">
        <v>1</v>
      </c>
      <c r="CB59">
        <v>1</v>
      </c>
      <c r="CC59">
        <v>1</v>
      </c>
      <c r="CD59">
        <v>1</v>
      </c>
      <c r="CE59">
        <v>16</v>
      </c>
      <c r="CF59">
        <v>20</v>
      </c>
      <c r="CG59">
        <v>16</v>
      </c>
      <c r="CH59">
        <v>16</v>
      </c>
      <c r="CJ59" t="s">
        <v>359</v>
      </c>
      <c r="CK59" t="s">
        <v>360</v>
      </c>
      <c r="CL59">
        <v>0</v>
      </c>
      <c r="CM59">
        <v>0</v>
      </c>
      <c r="CN59">
        <v>7</v>
      </c>
    </row>
    <row r="60" spans="1:92" x14ac:dyDescent="0.3">
      <c r="A60">
        <v>45</v>
      </c>
      <c r="C60" t="s">
        <v>414</v>
      </c>
      <c r="D60" t="s">
        <v>415</v>
      </c>
      <c r="E60" t="s">
        <v>416</v>
      </c>
      <c r="F60">
        <v>49</v>
      </c>
      <c r="G60">
        <v>92</v>
      </c>
      <c r="H60">
        <v>16</v>
      </c>
      <c r="I60">
        <v>1776</v>
      </c>
      <c r="J60" t="s">
        <v>417</v>
      </c>
      <c r="K60">
        <v>8671</v>
      </c>
      <c r="L60" t="s">
        <v>228</v>
      </c>
      <c r="M60" t="s">
        <v>228</v>
      </c>
      <c r="N60">
        <v>82</v>
      </c>
      <c r="O60">
        <v>10000</v>
      </c>
      <c r="P60">
        <v>6</v>
      </c>
      <c r="Q60">
        <v>7</v>
      </c>
      <c r="R60">
        <v>15</v>
      </c>
      <c r="S60">
        <v>12</v>
      </c>
      <c r="T60">
        <v>8</v>
      </c>
      <c r="U60">
        <v>7</v>
      </c>
      <c r="V60">
        <v>3</v>
      </c>
      <c r="W60">
        <v>5</v>
      </c>
      <c r="X60">
        <v>18</v>
      </c>
      <c r="Y60">
        <v>19</v>
      </c>
      <c r="Z60">
        <v>17</v>
      </c>
      <c r="AA60">
        <v>18</v>
      </c>
      <c r="AB60">
        <v>19</v>
      </c>
      <c r="AC60">
        <v>13</v>
      </c>
      <c r="AD60">
        <v>8</v>
      </c>
      <c r="AE60" t="s">
        <v>342</v>
      </c>
      <c r="AF60">
        <v>10</v>
      </c>
      <c r="AG60">
        <v>20</v>
      </c>
      <c r="AH60">
        <v>13</v>
      </c>
      <c r="AI60">
        <v>9</v>
      </c>
      <c r="AJ60">
        <v>9</v>
      </c>
      <c r="AK60">
        <v>8</v>
      </c>
      <c r="AL60">
        <v>5</v>
      </c>
      <c r="AM60">
        <v>1</v>
      </c>
      <c r="AN60">
        <v>3</v>
      </c>
      <c r="AO60">
        <v>1</v>
      </c>
      <c r="AP60">
        <v>2</v>
      </c>
      <c r="AQ60">
        <v>3</v>
      </c>
      <c r="AR60">
        <v>3</v>
      </c>
      <c r="AS60">
        <v>3</v>
      </c>
      <c r="AT60">
        <v>3</v>
      </c>
      <c r="AU60">
        <v>2</v>
      </c>
      <c r="AV60">
        <v>3</v>
      </c>
      <c r="AW60">
        <v>2</v>
      </c>
      <c r="AX60">
        <v>8</v>
      </c>
      <c r="AY60">
        <v>7</v>
      </c>
      <c r="AZ60">
        <v>6</v>
      </c>
      <c r="BA60">
        <v>8</v>
      </c>
      <c r="BB60">
        <v>5</v>
      </c>
      <c r="BC60">
        <v>7</v>
      </c>
      <c r="BD60">
        <v>14</v>
      </c>
      <c r="BE60">
        <v>10</v>
      </c>
      <c r="BF60">
        <v>6</v>
      </c>
      <c r="BG60">
        <v>7</v>
      </c>
      <c r="BH60">
        <v>6</v>
      </c>
      <c r="BI60">
        <v>12</v>
      </c>
      <c r="BJ60">
        <v>13</v>
      </c>
      <c r="BK60">
        <v>8</v>
      </c>
      <c r="BL60">
        <v>5</v>
      </c>
      <c r="BM60">
        <v>7</v>
      </c>
      <c r="BN60">
        <v>7</v>
      </c>
      <c r="BO60">
        <v>5</v>
      </c>
      <c r="BP60">
        <v>9</v>
      </c>
      <c r="BQ60">
        <v>5</v>
      </c>
      <c r="BR60">
        <v>6</v>
      </c>
      <c r="BS60">
        <v>8</v>
      </c>
      <c r="BT60">
        <v>4</v>
      </c>
      <c r="BU60">
        <v>4</v>
      </c>
      <c r="BV60">
        <v>9</v>
      </c>
      <c r="BW60">
        <v>6</v>
      </c>
      <c r="BX60">
        <v>4</v>
      </c>
      <c r="BY60">
        <v>7</v>
      </c>
      <c r="BZ60">
        <v>1</v>
      </c>
      <c r="CA60">
        <v>1</v>
      </c>
      <c r="CB60">
        <v>1</v>
      </c>
      <c r="CC60">
        <v>1</v>
      </c>
      <c r="CD60">
        <v>1</v>
      </c>
      <c r="CE60">
        <v>1</v>
      </c>
      <c r="CF60">
        <v>20</v>
      </c>
      <c r="CG60">
        <v>1</v>
      </c>
      <c r="CH60">
        <v>1</v>
      </c>
      <c r="CJ60" t="s">
        <v>359</v>
      </c>
      <c r="CK60" t="s">
        <v>393</v>
      </c>
      <c r="CL60">
        <v>0</v>
      </c>
      <c r="CM60">
        <v>0</v>
      </c>
      <c r="CN60">
        <v>19</v>
      </c>
    </row>
    <row r="61" spans="1:92" x14ac:dyDescent="0.3">
      <c r="A61">
        <v>-1</v>
      </c>
      <c r="C61" t="s">
        <v>418</v>
      </c>
      <c r="D61" t="s">
        <v>168</v>
      </c>
      <c r="E61" t="s">
        <v>76</v>
      </c>
      <c r="F61">
        <v>47</v>
      </c>
      <c r="G61">
        <v>87</v>
      </c>
      <c r="H61">
        <v>17</v>
      </c>
      <c r="I61">
        <v>1336</v>
      </c>
      <c r="J61" t="s">
        <v>409</v>
      </c>
      <c r="K61">
        <v>8850</v>
      </c>
      <c r="L61" t="s">
        <v>228</v>
      </c>
      <c r="M61" t="s">
        <v>228</v>
      </c>
      <c r="N61">
        <v>33</v>
      </c>
      <c r="O61">
        <v>10000</v>
      </c>
      <c r="P61">
        <v>8</v>
      </c>
      <c r="Q61">
        <v>8</v>
      </c>
      <c r="R61">
        <v>15</v>
      </c>
      <c r="S61">
        <v>8</v>
      </c>
      <c r="T61">
        <v>8</v>
      </c>
      <c r="U61">
        <v>5</v>
      </c>
      <c r="V61">
        <v>10</v>
      </c>
      <c r="W61">
        <v>16</v>
      </c>
      <c r="X61">
        <v>12</v>
      </c>
      <c r="Y61">
        <v>18</v>
      </c>
      <c r="Z61">
        <v>11</v>
      </c>
      <c r="AA61">
        <v>4</v>
      </c>
      <c r="AB61">
        <v>4</v>
      </c>
      <c r="AC61">
        <v>13</v>
      </c>
      <c r="AD61">
        <v>10</v>
      </c>
      <c r="AE61" t="s">
        <v>252</v>
      </c>
      <c r="AF61">
        <v>4</v>
      </c>
      <c r="AG61">
        <v>10</v>
      </c>
      <c r="AH61">
        <v>12</v>
      </c>
      <c r="AI61">
        <v>12</v>
      </c>
      <c r="AJ61">
        <v>20</v>
      </c>
      <c r="AK61">
        <v>9</v>
      </c>
      <c r="AL61">
        <v>4</v>
      </c>
      <c r="AM61">
        <v>2</v>
      </c>
      <c r="AN61">
        <v>3</v>
      </c>
      <c r="AO61">
        <v>1</v>
      </c>
      <c r="AP61">
        <v>2</v>
      </c>
      <c r="AQ61">
        <v>1</v>
      </c>
      <c r="AR61">
        <v>3</v>
      </c>
      <c r="AS61">
        <v>2</v>
      </c>
      <c r="AT61">
        <v>3</v>
      </c>
      <c r="AU61">
        <v>1</v>
      </c>
      <c r="AV61">
        <v>2</v>
      </c>
      <c r="AW61">
        <v>2</v>
      </c>
      <c r="AX61">
        <v>8</v>
      </c>
      <c r="AY61">
        <v>6</v>
      </c>
      <c r="AZ61">
        <v>7</v>
      </c>
      <c r="BA61">
        <v>6</v>
      </c>
      <c r="BB61">
        <v>3</v>
      </c>
      <c r="BC61">
        <v>3</v>
      </c>
      <c r="BD61">
        <v>9</v>
      </c>
      <c r="BE61">
        <v>13</v>
      </c>
      <c r="BF61">
        <v>14</v>
      </c>
      <c r="BG61">
        <v>8</v>
      </c>
      <c r="BH61">
        <v>1</v>
      </c>
      <c r="BI61">
        <v>4</v>
      </c>
      <c r="BJ61">
        <v>4</v>
      </c>
      <c r="BK61">
        <v>8</v>
      </c>
      <c r="BL61">
        <v>3</v>
      </c>
      <c r="BM61">
        <v>7</v>
      </c>
      <c r="BN61">
        <v>10</v>
      </c>
      <c r="BO61">
        <v>5</v>
      </c>
      <c r="BP61">
        <v>8</v>
      </c>
      <c r="BQ61">
        <v>4</v>
      </c>
      <c r="BR61">
        <v>1</v>
      </c>
      <c r="BS61">
        <v>3</v>
      </c>
      <c r="BT61">
        <v>2</v>
      </c>
      <c r="BU61">
        <v>4</v>
      </c>
      <c r="BV61">
        <v>7</v>
      </c>
      <c r="BW61">
        <v>2</v>
      </c>
      <c r="BX61">
        <v>2</v>
      </c>
      <c r="BY61">
        <v>13</v>
      </c>
      <c r="BZ61">
        <v>1</v>
      </c>
      <c r="CA61">
        <v>1</v>
      </c>
      <c r="CB61">
        <v>1</v>
      </c>
      <c r="CC61">
        <v>1</v>
      </c>
      <c r="CD61">
        <v>1</v>
      </c>
      <c r="CE61">
        <v>20</v>
      </c>
      <c r="CF61">
        <v>10</v>
      </c>
      <c r="CG61">
        <v>2</v>
      </c>
      <c r="CH61">
        <v>16</v>
      </c>
      <c r="CJ61" t="s">
        <v>359</v>
      </c>
      <c r="CK61" t="s">
        <v>393</v>
      </c>
      <c r="CL61">
        <v>0</v>
      </c>
      <c r="CM61">
        <v>0</v>
      </c>
      <c r="CN61">
        <v>7</v>
      </c>
    </row>
    <row r="62" spans="1:92" x14ac:dyDescent="0.3">
      <c r="A62">
        <v>-1</v>
      </c>
      <c r="C62" t="s">
        <v>419</v>
      </c>
      <c r="D62" t="s">
        <v>420</v>
      </c>
      <c r="E62" t="s">
        <v>76</v>
      </c>
      <c r="F62">
        <v>58</v>
      </c>
      <c r="G62">
        <v>66</v>
      </c>
      <c r="H62">
        <v>16</v>
      </c>
      <c r="I62">
        <v>2170</v>
      </c>
      <c r="J62" t="s">
        <v>421</v>
      </c>
      <c r="K62">
        <v>7028</v>
      </c>
      <c r="L62" t="s">
        <v>228</v>
      </c>
      <c r="M62" t="s">
        <v>289</v>
      </c>
      <c r="N62">
        <v>74</v>
      </c>
      <c r="O62">
        <v>9300</v>
      </c>
      <c r="P62">
        <v>13</v>
      </c>
      <c r="Q62">
        <v>14</v>
      </c>
      <c r="R62">
        <v>12</v>
      </c>
      <c r="S62">
        <v>11</v>
      </c>
      <c r="T62">
        <v>9</v>
      </c>
      <c r="U62">
        <v>9</v>
      </c>
      <c r="V62">
        <v>7</v>
      </c>
      <c r="W62">
        <v>10</v>
      </c>
      <c r="X62">
        <v>14</v>
      </c>
      <c r="Y62">
        <v>11</v>
      </c>
      <c r="Z62">
        <v>5</v>
      </c>
      <c r="AA62">
        <v>9</v>
      </c>
      <c r="AB62">
        <v>2</v>
      </c>
      <c r="AC62">
        <v>12</v>
      </c>
      <c r="AD62">
        <v>10</v>
      </c>
      <c r="AE62" t="s">
        <v>337</v>
      </c>
      <c r="AF62">
        <v>11</v>
      </c>
      <c r="AG62">
        <v>20</v>
      </c>
      <c r="AH62">
        <v>13</v>
      </c>
      <c r="AI62">
        <v>11</v>
      </c>
      <c r="AJ62">
        <v>8</v>
      </c>
      <c r="AK62">
        <v>10</v>
      </c>
      <c r="AL62">
        <v>7</v>
      </c>
      <c r="AM62">
        <v>1</v>
      </c>
      <c r="AN62">
        <v>2</v>
      </c>
      <c r="AO62">
        <v>2</v>
      </c>
      <c r="AP62">
        <v>2</v>
      </c>
      <c r="AQ62">
        <v>2</v>
      </c>
      <c r="AR62">
        <v>2</v>
      </c>
      <c r="AS62">
        <v>3</v>
      </c>
      <c r="AT62">
        <v>3</v>
      </c>
      <c r="AU62">
        <v>2</v>
      </c>
      <c r="AV62">
        <v>3</v>
      </c>
      <c r="AW62">
        <v>2</v>
      </c>
      <c r="AX62">
        <v>10</v>
      </c>
      <c r="AY62">
        <v>7</v>
      </c>
      <c r="AZ62">
        <v>10</v>
      </c>
      <c r="BA62">
        <v>6</v>
      </c>
      <c r="BB62">
        <v>6</v>
      </c>
      <c r="BC62">
        <v>11</v>
      </c>
      <c r="BD62">
        <v>5</v>
      </c>
      <c r="BE62">
        <v>6</v>
      </c>
      <c r="BF62">
        <v>12</v>
      </c>
      <c r="BG62">
        <v>8</v>
      </c>
      <c r="BH62">
        <v>8</v>
      </c>
      <c r="BI62">
        <v>9</v>
      </c>
      <c r="BJ62">
        <v>8</v>
      </c>
      <c r="BK62">
        <v>12</v>
      </c>
      <c r="BL62">
        <v>4</v>
      </c>
      <c r="BM62">
        <v>9</v>
      </c>
      <c r="BN62">
        <v>8</v>
      </c>
      <c r="BO62">
        <v>3</v>
      </c>
      <c r="BP62">
        <v>8</v>
      </c>
      <c r="BQ62">
        <v>5</v>
      </c>
      <c r="BR62">
        <v>5</v>
      </c>
      <c r="BS62">
        <v>7</v>
      </c>
      <c r="BT62">
        <v>4</v>
      </c>
      <c r="BU62">
        <v>5</v>
      </c>
      <c r="BV62">
        <v>7</v>
      </c>
      <c r="BW62">
        <v>5</v>
      </c>
      <c r="BX62">
        <v>8</v>
      </c>
      <c r="BY62">
        <v>6</v>
      </c>
      <c r="BZ62">
        <v>1</v>
      </c>
      <c r="CA62">
        <v>1</v>
      </c>
      <c r="CB62">
        <v>1</v>
      </c>
      <c r="CC62">
        <v>15</v>
      </c>
      <c r="CD62">
        <v>1</v>
      </c>
      <c r="CE62">
        <v>1</v>
      </c>
      <c r="CF62">
        <v>1</v>
      </c>
      <c r="CG62">
        <v>16</v>
      </c>
      <c r="CH62">
        <v>1</v>
      </c>
      <c r="CJ62" t="s">
        <v>359</v>
      </c>
      <c r="CK62" t="s">
        <v>393</v>
      </c>
      <c r="CL62">
        <v>0</v>
      </c>
      <c r="CM62">
        <v>0</v>
      </c>
      <c r="CN62">
        <v>19</v>
      </c>
    </row>
    <row r="63" spans="1:92" x14ac:dyDescent="0.3">
      <c r="A63">
        <v>-1</v>
      </c>
      <c r="C63" t="s">
        <v>422</v>
      </c>
      <c r="D63" t="s">
        <v>186</v>
      </c>
      <c r="E63" t="s">
        <v>76</v>
      </c>
      <c r="F63">
        <v>53</v>
      </c>
      <c r="G63">
        <v>124</v>
      </c>
      <c r="H63">
        <v>16</v>
      </c>
      <c r="I63">
        <v>2177</v>
      </c>
      <c r="J63" t="s">
        <v>423</v>
      </c>
      <c r="K63">
        <v>8598</v>
      </c>
      <c r="L63" t="s">
        <v>228</v>
      </c>
      <c r="M63" t="s">
        <v>228</v>
      </c>
      <c r="N63">
        <v>87</v>
      </c>
      <c r="O63">
        <v>10000</v>
      </c>
      <c r="P63">
        <v>13</v>
      </c>
      <c r="Q63">
        <v>12</v>
      </c>
      <c r="R63">
        <v>9</v>
      </c>
      <c r="S63">
        <v>9</v>
      </c>
      <c r="T63">
        <v>9</v>
      </c>
      <c r="U63">
        <v>10</v>
      </c>
      <c r="V63">
        <v>4</v>
      </c>
      <c r="W63">
        <v>8</v>
      </c>
      <c r="X63">
        <v>13</v>
      </c>
      <c r="Y63">
        <v>5</v>
      </c>
      <c r="Z63">
        <v>10</v>
      </c>
      <c r="AA63">
        <v>13</v>
      </c>
      <c r="AB63">
        <v>12</v>
      </c>
      <c r="AC63">
        <v>15</v>
      </c>
      <c r="AD63">
        <v>11</v>
      </c>
      <c r="AE63" t="s">
        <v>252</v>
      </c>
      <c r="AF63">
        <v>8</v>
      </c>
      <c r="AG63">
        <v>20</v>
      </c>
      <c r="AH63">
        <v>10</v>
      </c>
      <c r="AI63">
        <v>12</v>
      </c>
      <c r="AJ63">
        <v>9</v>
      </c>
      <c r="AK63">
        <v>12</v>
      </c>
      <c r="AL63">
        <v>2</v>
      </c>
      <c r="AM63">
        <v>3</v>
      </c>
      <c r="AN63">
        <v>3</v>
      </c>
      <c r="AO63">
        <v>1</v>
      </c>
      <c r="AP63">
        <v>3</v>
      </c>
      <c r="AQ63">
        <v>4</v>
      </c>
      <c r="AR63">
        <v>3</v>
      </c>
      <c r="AS63">
        <v>2</v>
      </c>
      <c r="AT63">
        <v>4</v>
      </c>
      <c r="AU63">
        <v>3</v>
      </c>
      <c r="AV63">
        <v>2</v>
      </c>
      <c r="AW63">
        <v>1</v>
      </c>
      <c r="AX63">
        <v>9</v>
      </c>
      <c r="AY63">
        <v>7</v>
      </c>
      <c r="AZ63">
        <v>15</v>
      </c>
      <c r="BA63">
        <v>6</v>
      </c>
      <c r="BB63">
        <v>5</v>
      </c>
      <c r="BC63">
        <v>7</v>
      </c>
      <c r="BD63">
        <v>8</v>
      </c>
      <c r="BE63">
        <v>9</v>
      </c>
      <c r="BF63">
        <v>6</v>
      </c>
      <c r="BG63">
        <v>6</v>
      </c>
      <c r="BH63">
        <v>7</v>
      </c>
      <c r="BI63">
        <v>13</v>
      </c>
      <c r="BJ63">
        <v>2</v>
      </c>
      <c r="BK63">
        <v>8</v>
      </c>
      <c r="BL63">
        <v>5</v>
      </c>
      <c r="BM63">
        <v>10</v>
      </c>
      <c r="BN63">
        <v>14</v>
      </c>
      <c r="BO63">
        <v>4</v>
      </c>
      <c r="BP63">
        <v>9</v>
      </c>
      <c r="BQ63">
        <v>1</v>
      </c>
      <c r="BR63">
        <v>1</v>
      </c>
      <c r="BS63">
        <v>2</v>
      </c>
      <c r="BT63">
        <v>3</v>
      </c>
      <c r="BU63">
        <v>4</v>
      </c>
      <c r="BV63">
        <v>7</v>
      </c>
      <c r="BW63">
        <v>5</v>
      </c>
      <c r="BX63">
        <v>7</v>
      </c>
      <c r="BY63">
        <v>4</v>
      </c>
      <c r="BZ63">
        <v>1</v>
      </c>
      <c r="CA63">
        <v>10</v>
      </c>
      <c r="CB63">
        <v>1</v>
      </c>
      <c r="CC63">
        <v>20</v>
      </c>
      <c r="CD63">
        <v>1</v>
      </c>
      <c r="CE63">
        <v>1</v>
      </c>
      <c r="CF63">
        <v>1</v>
      </c>
      <c r="CG63">
        <v>2</v>
      </c>
      <c r="CH63">
        <v>1</v>
      </c>
      <c r="CJ63" t="s">
        <v>359</v>
      </c>
      <c r="CK63" t="s">
        <v>393</v>
      </c>
      <c r="CL63">
        <v>0</v>
      </c>
      <c r="CM63">
        <v>0</v>
      </c>
      <c r="CN63">
        <v>19</v>
      </c>
    </row>
    <row r="64" spans="1:92" x14ac:dyDescent="0.3">
      <c r="A64">
        <v>47</v>
      </c>
      <c r="C64" t="s">
        <v>424</v>
      </c>
      <c r="D64" t="s">
        <v>226</v>
      </c>
      <c r="E64" t="s">
        <v>76</v>
      </c>
      <c r="F64">
        <v>65</v>
      </c>
      <c r="G64">
        <v>129</v>
      </c>
      <c r="H64">
        <v>16</v>
      </c>
      <c r="I64">
        <v>2245</v>
      </c>
      <c r="J64" t="s">
        <v>362</v>
      </c>
      <c r="K64">
        <v>8646</v>
      </c>
      <c r="L64" t="s">
        <v>228</v>
      </c>
      <c r="M64" t="s">
        <v>228</v>
      </c>
      <c r="N64">
        <v>92</v>
      </c>
      <c r="O64">
        <v>10000</v>
      </c>
      <c r="P64">
        <v>7</v>
      </c>
      <c r="Q64">
        <v>7</v>
      </c>
      <c r="R64">
        <v>8</v>
      </c>
      <c r="S64">
        <v>8</v>
      </c>
      <c r="T64">
        <v>10</v>
      </c>
      <c r="U64">
        <v>7</v>
      </c>
      <c r="V64">
        <v>18</v>
      </c>
      <c r="W64">
        <v>6</v>
      </c>
      <c r="X64">
        <v>11</v>
      </c>
      <c r="Y64">
        <v>7</v>
      </c>
      <c r="Z64">
        <v>11</v>
      </c>
      <c r="AA64">
        <v>11</v>
      </c>
      <c r="AB64">
        <v>10</v>
      </c>
      <c r="AC64">
        <v>8</v>
      </c>
      <c r="AD64">
        <v>8</v>
      </c>
      <c r="AE64" t="s">
        <v>279</v>
      </c>
      <c r="AF64">
        <v>7</v>
      </c>
      <c r="AG64">
        <v>9</v>
      </c>
      <c r="AH64">
        <v>14</v>
      </c>
      <c r="AI64">
        <v>8</v>
      </c>
      <c r="AJ64">
        <v>20</v>
      </c>
      <c r="AK64">
        <v>9</v>
      </c>
      <c r="AL64">
        <v>3</v>
      </c>
      <c r="AM64">
        <v>2</v>
      </c>
      <c r="AN64">
        <v>4</v>
      </c>
      <c r="AO64">
        <v>3</v>
      </c>
      <c r="AP64">
        <v>2</v>
      </c>
      <c r="AQ64">
        <v>3</v>
      </c>
      <c r="AR64">
        <v>3</v>
      </c>
      <c r="AS64">
        <v>2</v>
      </c>
      <c r="AT64">
        <v>1</v>
      </c>
      <c r="AU64">
        <v>4</v>
      </c>
      <c r="AV64">
        <v>3</v>
      </c>
      <c r="AW64">
        <v>2</v>
      </c>
      <c r="AX64">
        <v>11</v>
      </c>
      <c r="AY64">
        <v>10</v>
      </c>
      <c r="AZ64">
        <v>8</v>
      </c>
      <c r="BA64">
        <v>11</v>
      </c>
      <c r="BB64">
        <v>9</v>
      </c>
      <c r="BC64">
        <v>12</v>
      </c>
      <c r="BD64">
        <v>19</v>
      </c>
      <c r="BE64">
        <v>8</v>
      </c>
      <c r="BF64">
        <v>15</v>
      </c>
      <c r="BG64">
        <v>8</v>
      </c>
      <c r="BH64">
        <v>5</v>
      </c>
      <c r="BI64">
        <v>10</v>
      </c>
      <c r="BJ64">
        <v>11</v>
      </c>
      <c r="BK64">
        <v>14</v>
      </c>
      <c r="BL64">
        <v>3</v>
      </c>
      <c r="BM64">
        <v>7</v>
      </c>
      <c r="BN64">
        <v>6</v>
      </c>
      <c r="BO64">
        <v>6</v>
      </c>
      <c r="BP64">
        <v>13</v>
      </c>
      <c r="BQ64">
        <v>5</v>
      </c>
      <c r="BR64">
        <v>4</v>
      </c>
      <c r="BS64">
        <v>8</v>
      </c>
      <c r="BT64">
        <v>5</v>
      </c>
      <c r="BU64">
        <v>10</v>
      </c>
      <c r="BV64">
        <v>13</v>
      </c>
      <c r="BW64">
        <v>5</v>
      </c>
      <c r="BX64">
        <v>9</v>
      </c>
      <c r="BY64">
        <v>11</v>
      </c>
      <c r="BZ64">
        <v>1</v>
      </c>
      <c r="CA64">
        <v>1</v>
      </c>
      <c r="CB64">
        <v>2</v>
      </c>
      <c r="CC64">
        <v>1</v>
      </c>
      <c r="CD64">
        <v>16</v>
      </c>
      <c r="CE64">
        <v>1</v>
      </c>
      <c r="CF64">
        <v>16</v>
      </c>
      <c r="CG64">
        <v>1</v>
      </c>
      <c r="CH64">
        <v>1</v>
      </c>
      <c r="CJ64" t="s">
        <v>359</v>
      </c>
      <c r="CK64" t="s">
        <v>393</v>
      </c>
      <c r="CL64">
        <v>0</v>
      </c>
      <c r="CM64">
        <v>0</v>
      </c>
      <c r="CN64">
        <v>19</v>
      </c>
    </row>
    <row r="65" spans="1:92" x14ac:dyDescent="0.3">
      <c r="A65">
        <v>12</v>
      </c>
      <c r="C65" t="s">
        <v>425</v>
      </c>
      <c r="D65" t="s">
        <v>426</v>
      </c>
      <c r="E65" t="s">
        <v>427</v>
      </c>
      <c r="F65">
        <v>67</v>
      </c>
      <c r="G65">
        <v>94</v>
      </c>
      <c r="H65">
        <v>18</v>
      </c>
      <c r="I65">
        <v>979</v>
      </c>
      <c r="J65" t="s">
        <v>245</v>
      </c>
      <c r="K65">
        <v>7265</v>
      </c>
      <c r="L65" t="s">
        <v>228</v>
      </c>
      <c r="M65" t="s">
        <v>228</v>
      </c>
      <c r="N65">
        <v>51</v>
      </c>
      <c r="O65">
        <v>9500</v>
      </c>
      <c r="P65">
        <v>7</v>
      </c>
      <c r="Q65">
        <v>10</v>
      </c>
      <c r="R65">
        <v>3</v>
      </c>
      <c r="S65">
        <v>14</v>
      </c>
      <c r="T65">
        <v>14</v>
      </c>
      <c r="U65">
        <v>5</v>
      </c>
      <c r="V65">
        <v>12</v>
      </c>
      <c r="W65">
        <v>18</v>
      </c>
      <c r="X65">
        <v>10</v>
      </c>
      <c r="Y65">
        <v>4</v>
      </c>
      <c r="Z65">
        <v>12</v>
      </c>
      <c r="AA65">
        <v>10</v>
      </c>
      <c r="AB65">
        <v>7</v>
      </c>
      <c r="AC65">
        <v>7</v>
      </c>
      <c r="AD65">
        <v>7</v>
      </c>
      <c r="AE65" t="s">
        <v>279</v>
      </c>
      <c r="AF65">
        <v>6</v>
      </c>
      <c r="AG65">
        <v>12</v>
      </c>
      <c r="AH65">
        <v>9</v>
      </c>
      <c r="AI65">
        <v>8</v>
      </c>
      <c r="AJ65">
        <v>20</v>
      </c>
      <c r="AK65">
        <v>12</v>
      </c>
      <c r="AL65">
        <v>7</v>
      </c>
      <c r="AM65">
        <v>3</v>
      </c>
      <c r="AN65">
        <v>3</v>
      </c>
      <c r="AO65">
        <v>3</v>
      </c>
      <c r="AP65">
        <v>3</v>
      </c>
      <c r="AQ65">
        <v>2</v>
      </c>
      <c r="AR65">
        <v>4</v>
      </c>
      <c r="AS65">
        <v>2</v>
      </c>
      <c r="AT65">
        <v>1</v>
      </c>
      <c r="AU65">
        <v>3</v>
      </c>
      <c r="AV65">
        <v>1</v>
      </c>
      <c r="AW65">
        <v>2</v>
      </c>
      <c r="AX65">
        <v>19</v>
      </c>
      <c r="AY65">
        <v>11</v>
      </c>
      <c r="AZ65">
        <v>5</v>
      </c>
      <c r="BA65">
        <v>9</v>
      </c>
      <c r="BB65">
        <v>8</v>
      </c>
      <c r="BC65">
        <v>11</v>
      </c>
      <c r="BD65">
        <v>12</v>
      </c>
      <c r="BE65">
        <v>4</v>
      </c>
      <c r="BF65">
        <v>11</v>
      </c>
      <c r="BG65">
        <v>7</v>
      </c>
      <c r="BH65">
        <v>14</v>
      </c>
      <c r="BI65">
        <v>16</v>
      </c>
      <c r="BJ65">
        <v>8</v>
      </c>
      <c r="BK65">
        <v>15</v>
      </c>
      <c r="BL65">
        <v>5</v>
      </c>
      <c r="BM65">
        <v>2</v>
      </c>
      <c r="BN65">
        <v>5</v>
      </c>
      <c r="BO65">
        <v>3</v>
      </c>
      <c r="BP65">
        <v>9</v>
      </c>
      <c r="BQ65">
        <v>7</v>
      </c>
      <c r="BR65">
        <v>12</v>
      </c>
      <c r="BS65">
        <v>5</v>
      </c>
      <c r="BT65">
        <v>5</v>
      </c>
      <c r="BU65">
        <v>12</v>
      </c>
      <c r="BV65">
        <v>9</v>
      </c>
      <c r="BW65">
        <v>4</v>
      </c>
      <c r="BX65">
        <v>7</v>
      </c>
      <c r="BY65">
        <v>11</v>
      </c>
      <c r="BZ65">
        <v>1</v>
      </c>
      <c r="CA65">
        <v>1</v>
      </c>
      <c r="CB65">
        <v>16</v>
      </c>
      <c r="CC65">
        <v>1</v>
      </c>
      <c r="CD65">
        <v>20</v>
      </c>
      <c r="CE65">
        <v>1</v>
      </c>
      <c r="CF65">
        <v>1</v>
      </c>
      <c r="CG65">
        <v>1</v>
      </c>
      <c r="CH65">
        <v>1</v>
      </c>
      <c r="CI65" t="s">
        <v>428</v>
      </c>
      <c r="CJ65" t="s">
        <v>359</v>
      </c>
      <c r="CK65" t="s">
        <v>360</v>
      </c>
      <c r="CL65">
        <v>0</v>
      </c>
      <c r="CM65">
        <v>0</v>
      </c>
      <c r="CN65">
        <v>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V468"/>
  <sheetViews>
    <sheetView workbookViewId="0">
      <selection activeCell="BT5" sqref="BT5"/>
    </sheetView>
  </sheetViews>
  <sheetFormatPr defaultColWidth="8.6640625" defaultRowHeight="14.4" x14ac:dyDescent="0.3"/>
  <cols>
    <col min="1" max="1" width="24.5546875" bestFit="1" customWidth="1"/>
    <col min="2" max="2" width="16.33203125" bestFit="1" customWidth="1"/>
    <col min="3" max="3" width="8.44140625" style="2" bestFit="1" customWidth="1"/>
    <col min="4" max="5" width="7.6640625" style="2" bestFit="1" customWidth="1"/>
    <col min="6" max="6" width="40.5546875" bestFit="1" customWidth="1"/>
    <col min="7" max="7" width="9.33203125" bestFit="1" customWidth="1"/>
    <col min="8" max="8" width="15.5546875" style="2" bestFit="1" customWidth="1"/>
    <col min="9" max="9" width="13.109375" bestFit="1" customWidth="1"/>
    <col min="10" max="10" width="11.109375" style="2" bestFit="1" customWidth="1"/>
    <col min="11" max="11" width="10.33203125" style="2" bestFit="1" customWidth="1"/>
    <col min="12" max="12" width="10.5546875" style="2" bestFit="1" customWidth="1"/>
    <col min="13" max="13" width="10.44140625" style="2" bestFit="1" customWidth="1"/>
    <col min="14" max="14" width="10.33203125" style="2" bestFit="1" customWidth="1"/>
    <col min="15" max="15" width="10.5546875" style="2" bestFit="1" customWidth="1"/>
    <col min="16" max="16" width="9.33203125" style="2" bestFit="1" customWidth="1"/>
    <col min="17" max="17" width="10.6640625" style="2" bestFit="1" customWidth="1"/>
    <col min="18" max="18" width="7.88671875" style="2" bestFit="1" customWidth="1"/>
    <col min="19" max="26" width="8.6640625" style="3" customWidth="1"/>
    <col min="27" max="37" width="8.6640625" style="4" customWidth="1"/>
    <col min="38" max="51" width="8.6640625" style="5" customWidth="1"/>
    <col min="52" max="61" width="8.6640625" style="6" customWidth="1"/>
    <col min="62" max="65" width="8.6640625" style="13" customWidth="1"/>
    <col min="66" max="74" width="8.6640625" style="41" customWidth="1"/>
  </cols>
  <sheetData>
    <row r="1" spans="1:74" s="7" customFormat="1" ht="15" customHeight="1" thickBot="1" x14ac:dyDescent="0.35">
      <c r="A1" s="7" t="s">
        <v>1</v>
      </c>
      <c r="B1" s="7" t="s">
        <v>429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11</v>
      </c>
      <c r="K1" s="7" t="s">
        <v>12</v>
      </c>
      <c r="L1" s="7" t="s">
        <v>13</v>
      </c>
      <c r="M1" s="7" t="s">
        <v>14</v>
      </c>
      <c r="N1" s="7" t="s">
        <v>430</v>
      </c>
      <c r="O1" s="7" t="s">
        <v>431</v>
      </c>
      <c r="P1" s="7" t="s">
        <v>17</v>
      </c>
      <c r="Q1" s="7" t="s">
        <v>432</v>
      </c>
      <c r="R1" s="7" t="s">
        <v>19</v>
      </c>
      <c r="S1" s="8" t="s">
        <v>207</v>
      </c>
      <c r="T1" s="8" t="s">
        <v>21</v>
      </c>
      <c r="U1" s="8" t="s">
        <v>22</v>
      </c>
      <c r="V1" s="8" t="s">
        <v>23</v>
      </c>
      <c r="W1" s="8" t="s">
        <v>25</v>
      </c>
      <c r="X1" s="8" t="s">
        <v>26</v>
      </c>
      <c r="Y1" s="8" t="s">
        <v>28</v>
      </c>
      <c r="Z1" s="8" t="s">
        <v>29</v>
      </c>
      <c r="AA1" s="9" t="s">
        <v>30</v>
      </c>
      <c r="AB1" s="9" t="s">
        <v>31</v>
      </c>
      <c r="AC1" s="9" t="s">
        <v>32</v>
      </c>
      <c r="AD1" s="9" t="s">
        <v>33</v>
      </c>
      <c r="AE1" s="9" t="s">
        <v>34</v>
      </c>
      <c r="AF1" s="9" t="s">
        <v>35</v>
      </c>
      <c r="AG1" s="9" t="s">
        <v>36</v>
      </c>
      <c r="AH1" s="9" t="s">
        <v>39</v>
      </c>
      <c r="AI1" s="9" t="s">
        <v>37</v>
      </c>
      <c r="AJ1" s="9" t="s">
        <v>38</v>
      </c>
      <c r="AK1" s="9" t="s">
        <v>40</v>
      </c>
      <c r="AL1" s="10" t="s">
        <v>41</v>
      </c>
      <c r="AM1" s="10" t="s">
        <v>42</v>
      </c>
      <c r="AN1" s="10" t="s">
        <v>43</v>
      </c>
      <c r="AO1" s="10" t="s">
        <v>44</v>
      </c>
      <c r="AP1" s="10" t="s">
        <v>45</v>
      </c>
      <c r="AQ1" s="10" t="s">
        <v>46</v>
      </c>
      <c r="AR1" s="10" t="s">
        <v>47</v>
      </c>
      <c r="AS1" s="10" t="s">
        <v>48</v>
      </c>
      <c r="AT1" s="10" t="s">
        <v>49</v>
      </c>
      <c r="AU1" s="10" t="s">
        <v>211</v>
      </c>
      <c r="AV1" s="10" t="s">
        <v>51</v>
      </c>
      <c r="AW1" s="10" t="s">
        <v>52</v>
      </c>
      <c r="AX1" s="10" t="s">
        <v>53</v>
      </c>
      <c r="AY1" s="10" t="s">
        <v>433</v>
      </c>
      <c r="AZ1" s="11" t="s">
        <v>56</v>
      </c>
      <c r="BA1" s="11" t="s">
        <v>57</v>
      </c>
      <c r="BB1" s="11" t="s">
        <v>58</v>
      </c>
      <c r="BC1" s="11" t="s">
        <v>59</v>
      </c>
      <c r="BD1" s="11" t="s">
        <v>61</v>
      </c>
      <c r="BE1" s="11" t="s">
        <v>62</v>
      </c>
      <c r="BF1" s="11" t="s">
        <v>64</v>
      </c>
      <c r="BG1" s="11" t="s">
        <v>65</v>
      </c>
      <c r="BH1" s="11" t="s">
        <v>67</v>
      </c>
      <c r="BI1" s="11" t="s">
        <v>68</v>
      </c>
      <c r="BJ1" s="12" t="s">
        <v>55</v>
      </c>
      <c r="BK1" s="12" t="s">
        <v>434</v>
      </c>
      <c r="BL1" s="12" t="s">
        <v>63</v>
      </c>
      <c r="BM1" s="12" t="s">
        <v>66</v>
      </c>
      <c r="BN1" s="42" t="s">
        <v>19</v>
      </c>
      <c r="BO1" s="42" t="s">
        <v>435</v>
      </c>
      <c r="BP1" s="42" t="s">
        <v>436</v>
      </c>
      <c r="BQ1" s="42" t="s">
        <v>437</v>
      </c>
      <c r="BR1" s="42" t="s">
        <v>15</v>
      </c>
      <c r="BS1" s="42" t="s">
        <v>438</v>
      </c>
      <c r="BT1" s="42" t="s">
        <v>439</v>
      </c>
      <c r="BU1" s="42" t="s">
        <v>440</v>
      </c>
      <c r="BV1" s="42" t="s">
        <v>441</v>
      </c>
    </row>
    <row r="2" spans="1:74" x14ac:dyDescent="0.3">
      <c r="A2" t="str">
        <f>IF(ISBLANK('Paste Full'!C2),"",'Paste Full'!C2)</f>
        <v>Allan Hall</v>
      </c>
      <c r="B2" t="str">
        <f t="shared" ref="B2:B33" si="0">INDEX($J$1:$R$1, MATCH(MAX($J2:$R2), $J2:$R2, 0))</f>
        <v>AM(C)</v>
      </c>
      <c r="C2" s="2">
        <f>IF(ISBLANK('Paste Full'!H2),"",'Paste Full'!H2)</f>
        <v>19</v>
      </c>
      <c r="D2" s="2">
        <f>IF(ISBLANK('Paste Full'!F2),"",'Paste Full'!F2)</f>
        <v>108</v>
      </c>
      <c r="E2" s="2">
        <f>IF(ISBLANK('Paste Full'!G2),"",'Paste Full'!G2)</f>
        <v>146</v>
      </c>
      <c r="F2" s="21" t="str">
        <f>IF(ISBLANK('Paste Full'!E2),"",'Paste Full'!E2)</f>
        <v>Australia,England</v>
      </c>
      <c r="G2" t="str">
        <f>IF(ISBLANK('Paste Full'!CI2),"",'Paste Full'!CI2)</f>
        <v/>
      </c>
      <c r="H2" s="21" t="str">
        <f>IF(ISBLANK('Paste Full'!J2),"",'Paste Full'!J2)</f>
        <v>$472,856</v>
      </c>
      <c r="I2" s="21" t="str">
        <f>IF(ISBLANK('Paste Full'!D2),"",'Paste Full'!D2)</f>
        <v>DM/M/AM C</v>
      </c>
      <c r="J2" s="14">
        <f>AVERAGE(SUMPRODUCT($S2:$BM2,AttWeights!$C$10:$AW$10)/SUM(AttWeights!$C$10:$AW$10),SUMPRODUCT($S2:$BM2,AttWeights!$C$17:$AW$17)/SUM(AttWeights!$C$17:$AW$17))*10</f>
        <v>85.834121186076487</v>
      </c>
      <c r="K2" s="14">
        <f>AVERAGE(SUMPRODUCT($S2:$BM2,AttWeights!$C$7:$AW$7)/SUM(AttWeights!$C$7:$AW$7),SUMPRODUCT($S2:$BM2,AttWeights!$C$15:$AW$15)/SUM(AttWeights!$C$15:$AW$15))*10</f>
        <v>93.704193482030036</v>
      </c>
      <c r="L2" s="14">
        <f>AVERAGE(SUMPRODUCT($S2:$BM2,AttWeights!$C$8:$AW$8)/SUM(AttWeights!$C$8:$AW$8),SUMPRODUCT($S2:$BM2,AttWeights!$C$16:$AW$16)/SUM(AttWeights!$C$16:$AW$16))*10</f>
        <v>95.257777273629571</v>
      </c>
      <c r="M2" s="14">
        <f>AVERAGE(SUMPRODUCT($S2:$BM2,AttWeights!$C$9:$AW$9)/SUM(AttWeights!$C$9:$AW$9),SUMPRODUCT($S2:$BM2,AttWeights!$C$15:$AW$15)/SUM(AttWeights!$C$15:$AW$15))*10</f>
        <v>94.22086523860294</v>
      </c>
      <c r="N2" s="14">
        <f>AVERAGE(SUMPRODUCT($S2:$BM2,AttWeights!$C$6:$AW$6)/SUM(AttWeights!$C$6:$AW$6),SUMPRODUCT($S2:$BM2,AttWeights!$C$14:$AW$14)/SUM(AttWeights!$C$14:$AW$14))*10</f>
        <v>90.943693451098667</v>
      </c>
      <c r="O2" s="14">
        <f>AVERAGE(SUMPRODUCT($S2:$BM2,AttWeights!$C$5:$AW$5)/SUM(AttWeights!$C$5:$AW$5),SUMPRODUCT($S2:$BM2,AttWeights!$C$14:$AW$14)/SUM(AttWeights!$C$14:$AW$14))*10</f>
        <v>89.036916944312239</v>
      </c>
      <c r="P2" s="14">
        <f>AVERAGE(SUMPRODUCT($S2:$BM2,AttWeights!$C$4:$AW$4)/SUM(AttWeights!$C$4:$AW$4),SUMPRODUCT($S2:$BM2,AttWeights!$C$13:$AW$13)/SUM(AttWeights!$C$13:$AW$13))*10</f>
        <v>82.451923076923066</v>
      </c>
      <c r="Q2" s="14">
        <f>AVERAGE(SUMPRODUCT($S2:$BM2,AttWeights!$C$3:$AW$3)/SUM(AttWeights!$C$3:$AW$3),SUMPRODUCT($S2:$BM2,AttWeights!$C$12:$AW$12)/SUM(AttWeights!$C$12:$AW$12))*10</f>
        <v>88.846370463078856</v>
      </c>
      <c r="R2" s="14">
        <f>AVERAGE(SUMPRODUCT($S2:$BM2,AttWeights!$C$2:$AW$2)/SUM(AttWeights!$C$2:$AW$2),SUMPRODUCT($S2:$BM2,AttWeights!$C$11:$AW$11)/SUM(AttWeights!$C$11:$AW$11))*10</f>
        <v>61.079764829764827</v>
      </c>
      <c r="S2" s="3">
        <f>IF(ISBLANK('Paste Full'!AC2),"",'Paste Full'!AC2)</f>
        <v>15</v>
      </c>
      <c r="T2" s="3">
        <f>IF(ISBLANK('Paste Full'!AD2),"",'Paste Full'!AD2)</f>
        <v>17</v>
      </c>
      <c r="U2" s="3" t="str">
        <f>IF(ISBLANK('Paste Full'!AE2),"",'Paste Full'!AE2)</f>
        <v>$12</v>
      </c>
      <c r="V2" s="3">
        <f>IF(ISBLANK('Paste Full'!AF2),"",'Paste Full'!AF2)</f>
        <v>4</v>
      </c>
      <c r="W2" s="3">
        <f>IF(ISBLANK('Paste Full'!AH2),"",'Paste Full'!AH2)</f>
        <v>13</v>
      </c>
      <c r="X2" s="3">
        <f>IF(ISBLANK('Paste Full'!AI2),"",'Paste Full'!AI2)</f>
        <v>15</v>
      </c>
      <c r="Y2" s="3">
        <f>IF(ISBLANK('Paste Full'!AK2),"",'Paste Full'!AK2)</f>
        <v>15</v>
      </c>
      <c r="Z2" s="3">
        <f>IF(ISBLANK('Paste Full'!AL2),"",'Paste Full'!AL2)</f>
        <v>7</v>
      </c>
      <c r="AA2" s="4">
        <f>IF(ISBLANK('Paste Full'!AM2),"",'Paste Full'!AM2)</f>
        <v>3</v>
      </c>
      <c r="AB2" s="4">
        <f>IF(ISBLANK('Paste Full'!AN2),"",'Paste Full'!AN2)</f>
        <v>1</v>
      </c>
      <c r="AC2" s="4">
        <f>IF(ISBLANK('Paste Full'!AO2),"",'Paste Full'!AO2)</f>
        <v>2</v>
      </c>
      <c r="AD2" s="4">
        <f>IF(ISBLANK('Paste Full'!AP2),"",'Paste Full'!AP2)</f>
        <v>2</v>
      </c>
      <c r="AE2" s="4">
        <f>IF(ISBLANK('Paste Full'!AQ2),"",'Paste Full'!AQ2)</f>
        <v>2</v>
      </c>
      <c r="AF2" s="4">
        <f>IF(ISBLANK('Paste Full'!AR2),"",'Paste Full'!AR2)</f>
        <v>2</v>
      </c>
      <c r="AG2" s="4">
        <f>IF(ISBLANK('Paste Full'!AS2),"",'Paste Full'!AS2)</f>
        <v>1</v>
      </c>
      <c r="AH2" s="4">
        <f>IF(ISBLANK('Paste Full'!AV2),"",'Paste Full'!AV2)</f>
        <v>4</v>
      </c>
      <c r="AI2" s="4">
        <f>IF(ISBLANK('Paste Full'!AT2),"",'Paste Full'!AT2)</f>
        <v>3</v>
      </c>
      <c r="AJ2" s="4">
        <f>IF(ISBLANK('Paste Full'!AU2),"",'Paste Full'!AU2)</f>
        <v>3</v>
      </c>
      <c r="AK2" s="4">
        <f>IF(ISBLANK('Paste Full'!AW2),"",'Paste Full'!AW2)</f>
        <v>2</v>
      </c>
      <c r="AL2" s="5">
        <f>IF(ISBLANK('Paste Full'!AX2),"",'Paste Full'!AX2)</f>
        <v>10</v>
      </c>
      <c r="AM2" s="5">
        <f>IF(ISBLANK('Paste Full'!AY2),"",'Paste Full'!AY2)</f>
        <v>11</v>
      </c>
      <c r="AN2" s="5">
        <f>IF(ISBLANK('Paste Full'!AZ2),"",'Paste Full'!AZ2)</f>
        <v>13</v>
      </c>
      <c r="AO2" s="5">
        <f>IF(ISBLANK('Paste Full'!BA2),"",'Paste Full'!BA2)</f>
        <v>9</v>
      </c>
      <c r="AP2" s="5">
        <f>IF(ISBLANK('Paste Full'!BB2),"",'Paste Full'!BB2)</f>
        <v>7</v>
      </c>
      <c r="AQ2" s="5">
        <f>IF(ISBLANK('Paste Full'!BC2),"",'Paste Full'!BC2)</f>
        <v>13</v>
      </c>
      <c r="AR2" s="5">
        <f>IF(ISBLANK('Paste Full'!BD2),"",'Paste Full'!BD2)</f>
        <v>13</v>
      </c>
      <c r="AS2" s="5">
        <f>IF(ISBLANK('Paste Full'!BE2),"",'Paste Full'!BE2)</f>
        <v>11</v>
      </c>
      <c r="AT2" s="5">
        <f>IF(ISBLANK('Paste Full'!BF2),"",'Paste Full'!BF2)</f>
        <v>4</v>
      </c>
      <c r="AU2" s="5">
        <f>IF(ISBLANK('Paste Full'!BG2),"",'Paste Full'!BG2)</f>
        <v>8</v>
      </c>
      <c r="AV2" s="5">
        <f>IF(ISBLANK('Paste Full'!BH2),"",'Paste Full'!BH2)</f>
        <v>5</v>
      </c>
      <c r="AW2" s="5">
        <f>IF(ISBLANK('Paste Full'!BI2),"",'Paste Full'!BI2)</f>
        <v>9</v>
      </c>
      <c r="AX2" s="5">
        <f>IF(ISBLANK('Paste Full'!BJ2),"",'Paste Full'!BJ2)</f>
        <v>14</v>
      </c>
      <c r="AY2" s="5">
        <f>IF(ISBLANK('Paste Full'!BK2),"",'Paste Full'!BK2)</f>
        <v>14</v>
      </c>
      <c r="AZ2" s="6">
        <f>IF(ISBLANK('Paste Full'!BM2),"",'Paste Full'!BM2)</f>
        <v>7</v>
      </c>
      <c r="BA2" s="6">
        <f>IF(ISBLANK('Paste Full'!BN2),"",'Paste Full'!BN2)</f>
        <v>7</v>
      </c>
      <c r="BB2" s="6">
        <f>IF(ISBLANK('Paste Full'!BO2),"",'Paste Full'!BO2)</f>
        <v>6</v>
      </c>
      <c r="BC2" s="6">
        <f>IF(ISBLANK('Paste Full'!BP2),"",'Paste Full'!BP2)</f>
        <v>9</v>
      </c>
      <c r="BD2" s="6">
        <f>IF(ISBLANK('Paste Full'!BR2),"",'Paste Full'!BR2)</f>
        <v>3</v>
      </c>
      <c r="BE2" s="6">
        <f>IF(ISBLANK('Paste Full'!BS2),"",'Paste Full'!BS2)</f>
        <v>6</v>
      </c>
      <c r="BF2" s="6">
        <f>IF(ISBLANK('Paste Full'!BU2),"",'Paste Full'!BU2)</f>
        <v>7</v>
      </c>
      <c r="BG2" s="6">
        <f>IF(ISBLANK('Paste Full'!BV2),"",'Paste Full'!BV2)</f>
        <v>11</v>
      </c>
      <c r="BH2" s="6">
        <f>IF(ISBLANK('Paste Full'!BX2),"",'Paste Full'!BX2)</f>
        <v>4</v>
      </c>
      <c r="BI2" s="6">
        <f>IF(ISBLANK('Paste Full'!BY2),"",'Paste Full'!BY2)</f>
        <v>10</v>
      </c>
      <c r="BJ2" s="13">
        <f>IF(ISBLANK('Paste Full'!BL2),"",'Paste Full'!BL2)</f>
        <v>3</v>
      </c>
      <c r="BK2" s="13">
        <f>IF(ISBLANK('Paste Full'!BQ2),"",'Paste Full'!BQ2)</f>
        <v>3</v>
      </c>
      <c r="BL2" s="13">
        <f>IF(ISBLANK('Paste Full'!BT2),"",'Paste Full'!BT2)</f>
        <v>3</v>
      </c>
      <c r="BM2" s="13">
        <f>IF(ISBLANK('Paste Full'!BW2),"",'Paste Full'!BW2)</f>
        <v>6</v>
      </c>
      <c r="BN2" s="41">
        <f>IF(ISBLANK('Paste Full'!BZ2),"",'Paste Full'!BZ2)</f>
        <v>1</v>
      </c>
      <c r="BO2" s="41">
        <f>IF(ISBLANK('Paste Full'!CA2),"",'Paste Full'!CA2)</f>
        <v>1</v>
      </c>
      <c r="BP2" s="41">
        <f>IF(ISBLANK('Paste Full'!CB2),"",'Paste Full'!CB2)</f>
        <v>1</v>
      </c>
      <c r="BQ2" s="41">
        <f>IF(ISBLANK('Paste Full'!CC2),"",'Paste Full'!CC2)</f>
        <v>1</v>
      </c>
      <c r="BR2" s="41">
        <f>IF(ISBLANK('Paste Full'!CD2),"",'Paste Full'!CD2)</f>
        <v>20</v>
      </c>
      <c r="BS2" s="41">
        <f>IF(ISBLANK('Paste Full'!CE2),"",'Paste Full'!CE2)</f>
        <v>6</v>
      </c>
      <c r="BT2" s="41">
        <f>IF(ISBLANK('Paste Full'!CF2),"",'Paste Full'!CF2)</f>
        <v>20</v>
      </c>
      <c r="BU2" s="41">
        <f>IF(ISBLANK('Paste Full'!CG2),"",'Paste Full'!CG2)</f>
        <v>1</v>
      </c>
      <c r="BV2" s="41">
        <f>IF(ISBLANK('Paste Full'!CH2),"",'Paste Full'!CH2)</f>
        <v>1</v>
      </c>
    </row>
    <row r="3" spans="1:74" x14ac:dyDescent="0.3">
      <c r="A3" t="str">
        <f>IF(ISBLANK('Paste Full'!C3),"",'Paste Full'!C3)</f>
        <v>Andrii Khrystenko</v>
      </c>
      <c r="B3" t="str">
        <f t="shared" si="0"/>
        <v>D(C)</v>
      </c>
      <c r="C3" s="2">
        <f>IF(ISBLANK('Paste Full'!H3),"",'Paste Full'!H3)</f>
        <v>20</v>
      </c>
      <c r="D3" s="2">
        <f>IF(ISBLANK('Paste Full'!F3),"",'Paste Full'!F3)</f>
        <v>73</v>
      </c>
      <c r="E3" s="2">
        <f>IF(ISBLANK('Paste Full'!G3),"",'Paste Full'!G3)</f>
        <v>109</v>
      </c>
      <c r="F3" s="21" t="str">
        <f>IF(ISBLANK('Paste Full'!E3),"",'Paste Full'!E3)</f>
        <v>Ukraine,England</v>
      </c>
      <c r="G3" t="str">
        <f>IF(ISBLANK('Paste Full'!CI3),"",'Paste Full'!CI3)</f>
        <v>Truro City</v>
      </c>
      <c r="H3" s="21" t="str">
        <f>IF(ISBLANK('Paste Full'!J3),"",'Paste Full'!J3)</f>
        <v>$427,874</v>
      </c>
      <c r="I3" s="21" t="str">
        <f>IF(ISBLANK('Paste Full'!D3),"",'Paste Full'!D3)</f>
        <v>D C</v>
      </c>
      <c r="J3" s="14">
        <f>AVERAGE(SUMPRODUCT($S3:$BM3,AttWeights!$C$10:$AW$10)/SUM(AttWeights!$C$10:$AW$10),SUMPRODUCT($S3:$BM3,AttWeights!$C$17:$AW$17)/SUM(AttWeights!$C$17:$AW$17))*10</f>
        <v>71.867354247242503</v>
      </c>
      <c r="K3" s="14">
        <f>AVERAGE(SUMPRODUCT($S3:$BM3,AttWeights!$C$7:$AW$7)/SUM(AttWeights!$C$7:$AW$7),SUMPRODUCT($S3:$BM3,AttWeights!$C$15:$AW$15)/SUM(AttWeights!$C$15:$AW$15))*10</f>
        <v>73.333480266831231</v>
      </c>
      <c r="L3" s="14">
        <f>AVERAGE(SUMPRODUCT($S3:$BM3,AttWeights!$C$8:$AW$8)/SUM(AttWeights!$C$8:$AW$8),SUMPRODUCT($S3:$BM3,AttWeights!$C$16:$AW$16)/SUM(AttWeights!$C$16:$AW$16))*10</f>
        <v>73.753651135751355</v>
      </c>
      <c r="M3" s="14">
        <f>AVERAGE(SUMPRODUCT($S3:$BM3,AttWeights!$C$9:$AW$9)/SUM(AttWeights!$C$9:$AW$9),SUMPRODUCT($S3:$BM3,AttWeights!$C$15:$AW$15)/SUM(AttWeights!$C$15:$AW$15))*10</f>
        <v>75.245387871151181</v>
      </c>
      <c r="N3" s="14">
        <f>AVERAGE(SUMPRODUCT($S3:$BM3,AttWeights!$C$6:$AW$6)/SUM(AttWeights!$C$6:$AW$6),SUMPRODUCT($S3:$BM3,AttWeights!$C$14:$AW$14)/SUM(AttWeights!$C$14:$AW$14))*10</f>
        <v>78.406532744506677</v>
      </c>
      <c r="O3" s="14">
        <f>AVERAGE(SUMPRODUCT($S3:$BM3,AttWeights!$C$5:$AW$5)/SUM(AttWeights!$C$5:$AW$5),SUMPRODUCT($S3:$BM3,AttWeights!$C$14:$AW$14)/SUM(AttWeights!$C$14:$AW$14))*10</f>
        <v>80.819996430271303</v>
      </c>
      <c r="P3" s="14">
        <f>AVERAGE(SUMPRODUCT($S3:$BM3,AttWeights!$C$4:$AW$4)/SUM(AttWeights!$C$4:$AW$4),SUMPRODUCT($S3:$BM3,AttWeights!$C$13:$AW$13)/SUM(AttWeights!$C$13:$AW$13))*10</f>
        <v>83.066620879120876</v>
      </c>
      <c r="Q3" s="14">
        <f>AVERAGE(SUMPRODUCT($S3:$BM3,AttWeights!$C$3:$AW$3)/SUM(AttWeights!$C$3:$AW$3),SUMPRODUCT($S3:$BM3,AttWeights!$C$12:$AW$12)/SUM(AttWeights!$C$12:$AW$12))*10</f>
        <v>82.033479349186479</v>
      </c>
      <c r="R3" s="14">
        <f>AVERAGE(SUMPRODUCT($S3:$BM3,AttWeights!$C$2:$AW$2)/SUM(AttWeights!$C$2:$AW$2),SUMPRODUCT($S3:$BM3,AttWeights!$C$11:$AW$11)/SUM(AttWeights!$C$11:$AW$11))*10</f>
        <v>54.583187083187084</v>
      </c>
      <c r="S3" s="3">
        <f>IF(ISBLANK('Paste Full'!AC3),"",'Paste Full'!AC3)</f>
        <v>12</v>
      </c>
      <c r="T3" s="3">
        <f>IF(ISBLANK('Paste Full'!AD3),"",'Paste Full'!AD3)</f>
        <v>10</v>
      </c>
      <c r="U3" s="3" t="str">
        <f>IF(ISBLANK('Paste Full'!AE3),"",'Paste Full'!AE3)</f>
        <v>$12</v>
      </c>
      <c r="V3" s="3">
        <f>IF(ISBLANK('Paste Full'!AF3),"",'Paste Full'!AF3)</f>
        <v>11</v>
      </c>
      <c r="W3" s="3">
        <f>IF(ISBLANK('Paste Full'!AH3),"",'Paste Full'!AH3)</f>
        <v>15</v>
      </c>
      <c r="X3" s="3">
        <f>IF(ISBLANK('Paste Full'!AI3),"",'Paste Full'!AI3)</f>
        <v>11</v>
      </c>
      <c r="Y3" s="3">
        <f>IF(ISBLANK('Paste Full'!AK3),"",'Paste Full'!AK3)</f>
        <v>15</v>
      </c>
      <c r="Z3" s="3">
        <f>IF(ISBLANK('Paste Full'!AL3),"",'Paste Full'!AL3)</f>
        <v>12</v>
      </c>
      <c r="AA3" s="4">
        <f>IF(ISBLANK('Paste Full'!AM3),"",'Paste Full'!AM3)</f>
        <v>2</v>
      </c>
      <c r="AB3" s="4">
        <f>IF(ISBLANK('Paste Full'!AN3),"",'Paste Full'!AN3)</f>
        <v>1</v>
      </c>
      <c r="AC3" s="4">
        <f>IF(ISBLANK('Paste Full'!AO3),"",'Paste Full'!AO3)</f>
        <v>1</v>
      </c>
      <c r="AD3" s="4">
        <f>IF(ISBLANK('Paste Full'!AP3),"",'Paste Full'!AP3)</f>
        <v>3</v>
      </c>
      <c r="AE3" s="4">
        <f>IF(ISBLANK('Paste Full'!AQ3),"",'Paste Full'!AQ3)</f>
        <v>2</v>
      </c>
      <c r="AF3" s="4">
        <f>IF(ISBLANK('Paste Full'!AR3),"",'Paste Full'!AR3)</f>
        <v>2</v>
      </c>
      <c r="AG3" s="4">
        <f>IF(ISBLANK('Paste Full'!AS3),"",'Paste Full'!AS3)</f>
        <v>3</v>
      </c>
      <c r="AH3" s="4">
        <f>IF(ISBLANK('Paste Full'!AV3),"",'Paste Full'!AV3)</f>
        <v>2</v>
      </c>
      <c r="AI3" s="4">
        <f>IF(ISBLANK('Paste Full'!AT3),"",'Paste Full'!AT3)</f>
        <v>2</v>
      </c>
      <c r="AJ3" s="4">
        <f>IF(ISBLANK('Paste Full'!AU3),"",'Paste Full'!AU3)</f>
        <v>1</v>
      </c>
      <c r="AK3" s="4">
        <f>IF(ISBLANK('Paste Full'!AW3),"",'Paste Full'!AW3)</f>
        <v>1</v>
      </c>
      <c r="AL3" s="5">
        <f>IF(ISBLANK('Paste Full'!AX3),"",'Paste Full'!AX3)</f>
        <v>9</v>
      </c>
      <c r="AM3" s="5">
        <f>IF(ISBLANK('Paste Full'!AY3),"",'Paste Full'!AY3)</f>
        <v>9</v>
      </c>
      <c r="AN3" s="5">
        <f>IF(ISBLANK('Paste Full'!AZ3),"",'Paste Full'!AZ3)</f>
        <v>10</v>
      </c>
      <c r="AO3" s="5">
        <f>IF(ISBLANK('Paste Full'!BA3),"",'Paste Full'!BA3)</f>
        <v>4</v>
      </c>
      <c r="AP3" s="5">
        <f>IF(ISBLANK('Paste Full'!BB3),"",'Paste Full'!BB3)</f>
        <v>9</v>
      </c>
      <c r="AQ3" s="5">
        <f>IF(ISBLANK('Paste Full'!BC3),"",'Paste Full'!BC3)</f>
        <v>11</v>
      </c>
      <c r="AR3" s="5">
        <f>IF(ISBLANK('Paste Full'!BD3),"",'Paste Full'!BD3)</f>
        <v>7</v>
      </c>
      <c r="AS3" s="5">
        <f>IF(ISBLANK('Paste Full'!BE3),"",'Paste Full'!BE3)</f>
        <v>5</v>
      </c>
      <c r="AT3" s="5">
        <f>IF(ISBLANK('Paste Full'!BF3),"",'Paste Full'!BF3)</f>
        <v>10</v>
      </c>
      <c r="AU3" s="5">
        <f>IF(ISBLANK('Paste Full'!BG3),"",'Paste Full'!BG3)</f>
        <v>4</v>
      </c>
      <c r="AV3" s="5">
        <f>IF(ISBLANK('Paste Full'!BH3),"",'Paste Full'!BH3)</f>
        <v>11</v>
      </c>
      <c r="AW3" s="5">
        <f>IF(ISBLANK('Paste Full'!BI3),"",'Paste Full'!BI3)</f>
        <v>8</v>
      </c>
      <c r="AX3" s="5">
        <f>IF(ISBLANK('Paste Full'!BJ3),"",'Paste Full'!BJ3)</f>
        <v>7</v>
      </c>
      <c r="AY3" s="5">
        <f>IF(ISBLANK('Paste Full'!BK3),"",'Paste Full'!BK3)</f>
        <v>7</v>
      </c>
      <c r="AZ3" s="6">
        <f>IF(ISBLANK('Paste Full'!BM3),"",'Paste Full'!BM3)</f>
        <v>4</v>
      </c>
      <c r="BA3" s="6">
        <f>IF(ISBLANK('Paste Full'!BN3),"",'Paste Full'!BN3)</f>
        <v>6</v>
      </c>
      <c r="BB3" s="6">
        <f>IF(ISBLANK('Paste Full'!BO3),"",'Paste Full'!BO3)</f>
        <v>3</v>
      </c>
      <c r="BC3" s="6">
        <f>IF(ISBLANK('Paste Full'!BP3),"",'Paste Full'!BP3)</f>
        <v>8</v>
      </c>
      <c r="BD3" s="6">
        <f>IF(ISBLANK('Paste Full'!BR3),"",'Paste Full'!BR3)</f>
        <v>10</v>
      </c>
      <c r="BE3" s="6">
        <f>IF(ISBLANK('Paste Full'!BS3),"",'Paste Full'!BS3)</f>
        <v>3</v>
      </c>
      <c r="BF3" s="6">
        <f>IF(ISBLANK('Paste Full'!BU3),"",'Paste Full'!BU3)</f>
        <v>11</v>
      </c>
      <c r="BG3" s="6">
        <f>IF(ISBLANK('Paste Full'!BV3),"",'Paste Full'!BV3)</f>
        <v>5</v>
      </c>
      <c r="BH3" s="6">
        <f>IF(ISBLANK('Paste Full'!BX3),"",'Paste Full'!BX3)</f>
        <v>8</v>
      </c>
      <c r="BI3" s="6">
        <f>IF(ISBLANK('Paste Full'!BY3),"",'Paste Full'!BY3)</f>
        <v>7</v>
      </c>
      <c r="BJ3" s="13">
        <f>IF(ISBLANK('Paste Full'!BL3),"",'Paste Full'!BL3)</f>
        <v>3</v>
      </c>
      <c r="BK3" s="13">
        <f>IF(ISBLANK('Paste Full'!BQ3),"",'Paste Full'!BQ3)</f>
        <v>1</v>
      </c>
      <c r="BL3" s="13">
        <f>IF(ISBLANK('Paste Full'!BT3),"",'Paste Full'!BT3)</f>
        <v>2</v>
      </c>
      <c r="BM3" s="13">
        <f>IF(ISBLANK('Paste Full'!BW3),"",'Paste Full'!BW3)</f>
        <v>2</v>
      </c>
      <c r="BN3" s="41">
        <f>IF(ISBLANK('Paste Full'!BZ3),"",'Paste Full'!BZ3)</f>
        <v>1</v>
      </c>
      <c r="BO3" s="41">
        <f>IF(ISBLANK('Paste Full'!CA3),"",'Paste Full'!CA3)</f>
        <v>2</v>
      </c>
      <c r="BP3" s="41">
        <f>IF(ISBLANK('Paste Full'!CB3),"",'Paste Full'!CB3)</f>
        <v>20</v>
      </c>
      <c r="BQ3" s="41">
        <f>IF(ISBLANK('Paste Full'!CC3),"",'Paste Full'!CC3)</f>
        <v>1</v>
      </c>
      <c r="BR3" s="41">
        <f>IF(ISBLANK('Paste Full'!CD3),"",'Paste Full'!CD3)</f>
        <v>3</v>
      </c>
      <c r="BS3" s="41">
        <f>IF(ISBLANK('Paste Full'!CE3),"",'Paste Full'!CE3)</f>
        <v>1</v>
      </c>
      <c r="BT3" s="41">
        <f>IF(ISBLANK('Paste Full'!CF3),"",'Paste Full'!CF3)</f>
        <v>1</v>
      </c>
      <c r="BU3" s="41">
        <f>IF(ISBLANK('Paste Full'!CG3),"",'Paste Full'!CG3)</f>
        <v>1</v>
      </c>
      <c r="BV3" s="41">
        <f>IF(ISBLANK('Paste Full'!CH3),"",'Paste Full'!CH3)</f>
        <v>4</v>
      </c>
    </row>
    <row r="4" spans="1:74" x14ac:dyDescent="0.3">
      <c r="A4" t="str">
        <f>IF(ISBLANK('Paste Full'!C4),"",'Paste Full'!C4)</f>
        <v>Ashley Sarahs</v>
      </c>
      <c r="B4" t="str">
        <f t="shared" si="0"/>
        <v>GK</v>
      </c>
      <c r="C4" s="2">
        <f>IF(ISBLANK('Paste Full'!H4),"",'Paste Full'!H4)</f>
        <v>20</v>
      </c>
      <c r="D4" s="2">
        <f>IF(ISBLANK('Paste Full'!F4),"",'Paste Full'!F4)</f>
        <v>99</v>
      </c>
      <c r="E4" s="2">
        <f>IF(ISBLANK('Paste Full'!G4),"",'Paste Full'!G4)</f>
        <v>146</v>
      </c>
      <c r="F4" s="21" t="str">
        <f>IF(ISBLANK('Paste Full'!E4),"",'Paste Full'!E4)</f>
        <v>Northern Ireland,England</v>
      </c>
      <c r="G4" t="str">
        <f>IF(ISBLANK('Paste Full'!CI4),"",'Paste Full'!CI4)</f>
        <v>Brixham</v>
      </c>
      <c r="H4" s="21" t="str">
        <f>IF(ISBLANK('Paste Full'!J4),"",'Paste Full'!J4)</f>
        <v>$6,939,511</v>
      </c>
      <c r="I4" s="21" t="str">
        <f>IF(ISBLANK('Paste Full'!D4),"",'Paste Full'!D4)</f>
        <v xml:space="preserve">GK </v>
      </c>
      <c r="J4" s="14">
        <f>AVERAGE(SUMPRODUCT($S4:$BM4,AttWeights!$C$10:$AW$10)/SUM(AttWeights!$C$10:$AW$10),SUMPRODUCT($S4:$BM4,AttWeights!$C$17:$AW$17)/SUM(AttWeights!$C$17:$AW$17))*10</f>
        <v>77.374158430024352</v>
      </c>
      <c r="K4" s="14">
        <f>AVERAGE(SUMPRODUCT($S4:$BM4,AttWeights!$C$7:$AW$7)/SUM(AttWeights!$C$7:$AW$7),SUMPRODUCT($S4:$BM4,AttWeights!$C$15:$AW$15)/SUM(AttWeights!$C$15:$AW$15))*10</f>
        <v>76.689147491845191</v>
      </c>
      <c r="L4" s="14">
        <f>AVERAGE(SUMPRODUCT($S4:$BM4,AttWeights!$C$8:$AW$8)/SUM(AttWeights!$C$8:$AW$8),SUMPRODUCT($S4:$BM4,AttWeights!$C$16:$AW$16)/SUM(AttWeights!$C$16:$AW$16))*10</f>
        <v>76.317953662479084</v>
      </c>
      <c r="M4" s="14">
        <f>AVERAGE(SUMPRODUCT($S4:$BM4,AttWeights!$C$9:$AW$9)/SUM(AttWeights!$C$9:$AW$9),SUMPRODUCT($S4:$BM4,AttWeights!$C$15:$AW$15)/SUM(AttWeights!$C$15:$AW$15))*10</f>
        <v>79.791121450033927</v>
      </c>
      <c r="N4" s="14">
        <f>AVERAGE(SUMPRODUCT($S4:$BM4,AttWeights!$C$6:$AW$6)/SUM(AttWeights!$C$6:$AW$6),SUMPRODUCT($S4:$BM4,AttWeights!$C$14:$AW$14)/SUM(AttWeights!$C$14:$AW$14))*10</f>
        <v>80.296612451529512</v>
      </c>
      <c r="O4" s="14">
        <f>AVERAGE(SUMPRODUCT($S4:$BM4,AttWeights!$C$5:$AW$5)/SUM(AttWeights!$C$5:$AW$5),SUMPRODUCT($S4:$BM4,AttWeights!$C$14:$AW$14)/SUM(AttWeights!$C$14:$AW$14))*10</f>
        <v>83.278052118039028</v>
      </c>
      <c r="P4" s="14">
        <f>AVERAGE(SUMPRODUCT($S4:$BM4,AttWeights!$C$4:$AW$4)/SUM(AttWeights!$C$4:$AW$4),SUMPRODUCT($S4:$BM4,AttWeights!$C$13:$AW$13)/SUM(AttWeights!$C$13:$AW$13))*10</f>
        <v>81.301510989010978</v>
      </c>
      <c r="Q4" s="14">
        <f>AVERAGE(SUMPRODUCT($S4:$BM4,AttWeights!$C$3:$AW$3)/SUM(AttWeights!$C$3:$AW$3),SUMPRODUCT($S4:$BM4,AttWeights!$C$12:$AW$12)/SUM(AttWeights!$C$12:$AW$12))*10</f>
        <v>83.704005006257802</v>
      </c>
      <c r="R4" s="14">
        <f>AVERAGE(SUMPRODUCT($S4:$BM4,AttWeights!$C$2:$AW$2)/SUM(AttWeights!$C$2:$AW$2),SUMPRODUCT($S4:$BM4,AttWeights!$C$11:$AW$11)/SUM(AttWeights!$C$11:$AW$11))*10</f>
        <v>103.00105300105301</v>
      </c>
      <c r="S4" s="3">
        <f>IF(ISBLANK('Paste Full'!AC4),"",'Paste Full'!AC4)</f>
        <v>11</v>
      </c>
      <c r="T4" s="3">
        <f>IF(ISBLANK('Paste Full'!AD4),"",'Paste Full'!AD4)</f>
        <v>12</v>
      </c>
      <c r="U4" s="3" t="str">
        <f>IF(ISBLANK('Paste Full'!AE4),"",'Paste Full'!AE4)</f>
        <v>$10</v>
      </c>
      <c r="V4" s="3">
        <f>IF(ISBLANK('Paste Full'!AF4),"",'Paste Full'!AF4)</f>
        <v>16</v>
      </c>
      <c r="W4" s="3">
        <f>IF(ISBLANK('Paste Full'!AH4),"",'Paste Full'!AH4)</f>
        <v>7</v>
      </c>
      <c r="X4" s="3">
        <f>IF(ISBLANK('Paste Full'!AI4),"",'Paste Full'!AI4)</f>
        <v>10</v>
      </c>
      <c r="Y4" s="3">
        <f>IF(ISBLANK('Paste Full'!AK4),"",'Paste Full'!AK4)</f>
        <v>6</v>
      </c>
      <c r="Z4" s="3">
        <f>IF(ISBLANK('Paste Full'!AL4),"",'Paste Full'!AL4)</f>
        <v>8</v>
      </c>
      <c r="AA4" s="4">
        <f>IF(ISBLANK('Paste Full'!AM4),"",'Paste Full'!AM4)</f>
        <v>10</v>
      </c>
      <c r="AB4" s="4">
        <f>IF(ISBLANK('Paste Full'!AN4),"",'Paste Full'!AN4)</f>
        <v>8</v>
      </c>
      <c r="AC4" s="4">
        <f>IF(ISBLANK('Paste Full'!AO4),"",'Paste Full'!AO4)</f>
        <v>9</v>
      </c>
      <c r="AD4" s="4">
        <f>IF(ISBLANK('Paste Full'!AP4),"",'Paste Full'!AP4)</f>
        <v>2</v>
      </c>
      <c r="AE4" s="4">
        <f>IF(ISBLANK('Paste Full'!AQ4),"",'Paste Full'!AQ4)</f>
        <v>14</v>
      </c>
      <c r="AF4" s="4">
        <f>IF(ISBLANK('Paste Full'!AR4),"",'Paste Full'!AR4)</f>
        <v>8</v>
      </c>
      <c r="AG4" s="4">
        <f>IF(ISBLANK('Paste Full'!AS4),"",'Paste Full'!AS4)</f>
        <v>10</v>
      </c>
      <c r="AH4" s="4">
        <f>IF(ISBLANK('Paste Full'!AV4),"",'Paste Full'!AV4)</f>
        <v>5</v>
      </c>
      <c r="AI4" s="4">
        <f>IF(ISBLANK('Paste Full'!AT4),"",'Paste Full'!AT4)</f>
        <v>12</v>
      </c>
      <c r="AJ4" s="4">
        <f>IF(ISBLANK('Paste Full'!AU4),"",'Paste Full'!AU4)</f>
        <v>15</v>
      </c>
      <c r="AK4" s="4">
        <f>IF(ISBLANK('Paste Full'!AW4),"",'Paste Full'!AW4)</f>
        <v>12</v>
      </c>
      <c r="AL4" s="5">
        <f>IF(ISBLANK('Paste Full'!AX4),"",'Paste Full'!AX4)</f>
        <v>10</v>
      </c>
      <c r="AM4" s="5">
        <f>IF(ISBLANK('Paste Full'!AY4),"",'Paste Full'!AY4)</f>
        <v>15</v>
      </c>
      <c r="AN4" s="5">
        <f>IF(ISBLANK('Paste Full'!AZ4),"",'Paste Full'!AZ4)</f>
        <v>6</v>
      </c>
      <c r="AO4" s="5">
        <f>IF(ISBLANK('Paste Full'!BA4),"",'Paste Full'!BA4)</f>
        <v>5</v>
      </c>
      <c r="AP4" s="5">
        <f>IF(ISBLANK('Paste Full'!BB4),"",'Paste Full'!BB4)</f>
        <v>13</v>
      </c>
      <c r="AQ4" s="5">
        <f>IF(ISBLANK('Paste Full'!BC4),"",'Paste Full'!BC4)</f>
        <v>15</v>
      </c>
      <c r="AR4" s="5">
        <f>IF(ISBLANK('Paste Full'!BD4),"",'Paste Full'!BD4)</f>
        <v>12</v>
      </c>
      <c r="AS4" s="5">
        <f>IF(ISBLANK('Paste Full'!BE4),"",'Paste Full'!BE4)</f>
        <v>3</v>
      </c>
      <c r="AT4" s="5">
        <f>IF(ISBLANK('Paste Full'!BF4),"",'Paste Full'!BF4)</f>
        <v>8</v>
      </c>
      <c r="AU4" s="5">
        <f>IF(ISBLANK('Paste Full'!BG4),"",'Paste Full'!BG4)</f>
        <v>3</v>
      </c>
      <c r="AV4" s="5">
        <f>IF(ISBLANK('Paste Full'!BH4),"",'Paste Full'!BH4)</f>
        <v>10</v>
      </c>
      <c r="AW4" s="5">
        <f>IF(ISBLANK('Paste Full'!BI4),"",'Paste Full'!BI4)</f>
        <v>12</v>
      </c>
      <c r="AX4" s="5">
        <f>IF(ISBLANK('Paste Full'!BJ4),"",'Paste Full'!BJ4)</f>
        <v>3</v>
      </c>
      <c r="AY4" s="5">
        <f>IF(ISBLANK('Paste Full'!BK4),"",'Paste Full'!BK4)</f>
        <v>9</v>
      </c>
      <c r="AZ4" s="6">
        <f>IF(ISBLANK('Paste Full'!BM4),"",'Paste Full'!BM4)</f>
        <v>1</v>
      </c>
      <c r="BA4" s="6">
        <f>IF(ISBLANK('Paste Full'!BN4),"",'Paste Full'!BN4)</f>
        <v>3</v>
      </c>
      <c r="BB4" s="6">
        <f>IF(ISBLANK('Paste Full'!BO4),"",'Paste Full'!BO4)</f>
        <v>1</v>
      </c>
      <c r="BC4" s="6">
        <f>IF(ISBLANK('Paste Full'!BP4),"",'Paste Full'!BP4)</f>
        <v>5</v>
      </c>
      <c r="BD4" s="6">
        <f>IF(ISBLANK('Paste Full'!BR4),"",'Paste Full'!BR4)</f>
        <v>1</v>
      </c>
      <c r="BE4" s="6">
        <f>IF(ISBLANK('Paste Full'!BS4),"",'Paste Full'!BS4)</f>
        <v>2</v>
      </c>
      <c r="BF4" s="6">
        <f>IF(ISBLANK('Paste Full'!BU4),"",'Paste Full'!BU4)</f>
        <v>1</v>
      </c>
      <c r="BG4" s="6">
        <f>IF(ISBLANK('Paste Full'!BV4),"",'Paste Full'!BV4)</f>
        <v>5</v>
      </c>
      <c r="BH4" s="6">
        <f>IF(ISBLANK('Paste Full'!BX4),"",'Paste Full'!BX4)</f>
        <v>1</v>
      </c>
      <c r="BI4" s="6">
        <f>IF(ISBLANK('Paste Full'!BY4),"",'Paste Full'!BY4)</f>
        <v>9</v>
      </c>
      <c r="BJ4" s="13">
        <f>IF(ISBLANK('Paste Full'!BL4),"",'Paste Full'!BL4)</f>
        <v>4</v>
      </c>
      <c r="BK4" s="13">
        <f>IF(ISBLANK('Paste Full'!BQ4),"",'Paste Full'!BQ4)</f>
        <v>4</v>
      </c>
      <c r="BL4" s="13">
        <f>IF(ISBLANK('Paste Full'!BT4),"",'Paste Full'!BT4)</f>
        <v>2</v>
      </c>
      <c r="BM4" s="13">
        <f>IF(ISBLANK('Paste Full'!BW4),"",'Paste Full'!BW4)</f>
        <v>1</v>
      </c>
      <c r="BN4" s="41">
        <f>IF(ISBLANK('Paste Full'!BZ4),"",'Paste Full'!BZ4)</f>
        <v>20</v>
      </c>
      <c r="BO4" s="41">
        <f>IF(ISBLANK('Paste Full'!CA4),"",'Paste Full'!CA4)</f>
        <v>1</v>
      </c>
      <c r="BP4" s="41">
        <f>IF(ISBLANK('Paste Full'!CB4),"",'Paste Full'!CB4)</f>
        <v>1</v>
      </c>
      <c r="BQ4" s="41">
        <f>IF(ISBLANK('Paste Full'!CC4),"",'Paste Full'!CC4)</f>
        <v>1</v>
      </c>
      <c r="BR4" s="41">
        <f>IF(ISBLANK('Paste Full'!CD4),"",'Paste Full'!CD4)</f>
        <v>1</v>
      </c>
      <c r="BS4" s="41">
        <f>IF(ISBLANK('Paste Full'!CE4),"",'Paste Full'!CE4)</f>
        <v>1</v>
      </c>
      <c r="BT4" s="41">
        <f>IF(ISBLANK('Paste Full'!CF4),"",'Paste Full'!CF4)</f>
        <v>1</v>
      </c>
      <c r="BU4" s="41">
        <f>IF(ISBLANK('Paste Full'!CG4),"",'Paste Full'!CG4)</f>
        <v>1</v>
      </c>
      <c r="BV4" s="41">
        <f>IF(ISBLANK('Paste Full'!CH4),"",'Paste Full'!CH4)</f>
        <v>1</v>
      </c>
    </row>
    <row r="5" spans="1:74" x14ac:dyDescent="0.3">
      <c r="A5" t="str">
        <f>IF(ISBLANK('Paste Full'!C5),"",'Paste Full'!C5)</f>
        <v>Aydin Webb</v>
      </c>
      <c r="B5" t="str">
        <f t="shared" si="0"/>
        <v>DM(L)</v>
      </c>
      <c r="C5" s="2">
        <f>IF(ISBLANK('Paste Full'!H5),"",'Paste Full'!H5)</f>
        <v>19</v>
      </c>
      <c r="D5" s="2">
        <f>IF(ISBLANK('Paste Full'!F5),"",'Paste Full'!F5)</f>
        <v>119</v>
      </c>
      <c r="E5" s="2">
        <f>IF(ISBLANK('Paste Full'!G5),"",'Paste Full'!G5)</f>
        <v>135</v>
      </c>
      <c r="F5" s="21" t="str">
        <f>IF(ISBLANK('Paste Full'!E5),"",'Paste Full'!E5)</f>
        <v>England</v>
      </c>
      <c r="G5" t="str">
        <f>IF(ISBLANK('Paste Full'!CI5),"",'Paste Full'!CI5)</f>
        <v/>
      </c>
      <c r="H5" s="21" t="str">
        <f>IF(ISBLANK('Paste Full'!J5),"",'Paste Full'!J5)</f>
        <v>$567,427</v>
      </c>
      <c r="I5" s="21" t="str">
        <f>IF(ISBLANK('Paste Full'!D5),"",'Paste Full'!D5)</f>
        <v>DM/M/AM RLC</v>
      </c>
      <c r="J5" s="14">
        <f>AVERAGE(SUMPRODUCT($S5:$BM5,AttWeights!$C$10:$AW$10)/SUM(AttWeights!$C$10:$AW$10),SUMPRODUCT($S5:$BM5,AttWeights!$C$17:$AW$17)/SUM(AttWeights!$C$17:$AW$17))*10</f>
        <v>100.28133505228479</v>
      </c>
      <c r="K5" s="14">
        <f>AVERAGE(SUMPRODUCT($S5:$BM5,AttWeights!$C$7:$AW$7)/SUM(AttWeights!$C$7:$AW$7),SUMPRODUCT($S5:$BM5,AttWeights!$C$15:$AW$15)/SUM(AttWeights!$C$15:$AW$15))*10</f>
        <v>104.63810279467512</v>
      </c>
      <c r="L5" s="14">
        <f>AVERAGE(SUMPRODUCT($S5:$BM5,AttWeights!$C$8:$AW$8)/SUM(AttWeights!$C$8:$AW$8),SUMPRODUCT($S5:$BM5,AttWeights!$C$16:$AW$16)/SUM(AttWeights!$C$16:$AW$16))*10</f>
        <v>106.79664237302555</v>
      </c>
      <c r="M5" s="14">
        <f>AVERAGE(SUMPRODUCT($S5:$BM5,AttWeights!$C$9:$AW$9)/SUM(AttWeights!$C$9:$AW$9),SUMPRODUCT($S5:$BM5,AttWeights!$C$15:$AW$15)/SUM(AttWeights!$C$15:$AW$15))*10</f>
        <v>105.41630318891151</v>
      </c>
      <c r="N5" s="14">
        <f>AVERAGE(SUMPRODUCT($S5:$BM5,AttWeights!$C$6:$AW$6)/SUM(AttWeights!$C$6:$AW$6),SUMPRODUCT($S5:$BM5,AttWeights!$C$14:$AW$14)/SUM(AttWeights!$C$14:$AW$14))*10</f>
        <v>107.23960577337354</v>
      </c>
      <c r="O5" s="14">
        <f>AVERAGE(SUMPRODUCT($S5:$BM5,AttWeights!$C$5:$AW$5)/SUM(AttWeights!$C$5:$AW$5),SUMPRODUCT($S5:$BM5,AttWeights!$C$14:$AW$14)/SUM(AttWeights!$C$14:$AW$14))*10</f>
        <v>105.56669443122324</v>
      </c>
      <c r="P5" s="14">
        <f>AVERAGE(SUMPRODUCT($S5:$BM5,AttWeights!$C$4:$AW$4)/SUM(AttWeights!$C$4:$AW$4),SUMPRODUCT($S5:$BM5,AttWeights!$C$13:$AW$13)/SUM(AttWeights!$C$13:$AW$13))*10</f>
        <v>97.311126373626365</v>
      </c>
      <c r="Q5" s="14">
        <f>AVERAGE(SUMPRODUCT($S5:$BM5,AttWeights!$C$3:$AW$3)/SUM(AttWeights!$C$3:$AW$3),SUMPRODUCT($S5:$BM5,AttWeights!$C$12:$AW$12)/SUM(AttWeights!$C$12:$AW$12))*10</f>
        <v>104.37984981226533</v>
      </c>
      <c r="R5" s="14">
        <f>AVERAGE(SUMPRODUCT($S5:$BM5,AttWeights!$C$2:$AW$2)/SUM(AttWeights!$C$2:$AW$2),SUMPRODUCT($S5:$BM5,AttWeights!$C$11:$AW$11)/SUM(AttWeights!$C$11:$AW$11))*10</f>
        <v>70.935415935415932</v>
      </c>
      <c r="S5" s="3">
        <f>IF(ISBLANK('Paste Full'!AC5),"",'Paste Full'!AC5)</f>
        <v>10</v>
      </c>
      <c r="T5" s="3">
        <f>IF(ISBLANK('Paste Full'!AD5),"",'Paste Full'!AD5)</f>
        <v>10</v>
      </c>
      <c r="U5" s="3" t="str">
        <f>IF(ISBLANK('Paste Full'!AE5),"",'Paste Full'!AE5)</f>
        <v>$10</v>
      </c>
      <c r="V5" s="3">
        <f>IF(ISBLANK('Paste Full'!AF5),"",'Paste Full'!AF5)</f>
        <v>11</v>
      </c>
      <c r="W5" s="3">
        <f>IF(ISBLANK('Paste Full'!AH5),"",'Paste Full'!AH5)</f>
        <v>14</v>
      </c>
      <c r="X5" s="3">
        <f>IF(ISBLANK('Paste Full'!AI5),"",'Paste Full'!AI5)</f>
        <v>11</v>
      </c>
      <c r="Y5" s="3">
        <f>IF(ISBLANK('Paste Full'!AK5),"",'Paste Full'!AK5)</f>
        <v>15</v>
      </c>
      <c r="Z5" s="3">
        <f>IF(ISBLANK('Paste Full'!AL5),"",'Paste Full'!AL5)</f>
        <v>10</v>
      </c>
      <c r="AA5" s="4">
        <f>IF(ISBLANK('Paste Full'!AM5),"",'Paste Full'!AM5)</f>
        <v>2</v>
      </c>
      <c r="AB5" s="4">
        <f>IF(ISBLANK('Paste Full'!AN5),"",'Paste Full'!AN5)</f>
        <v>2</v>
      </c>
      <c r="AC5" s="4">
        <f>IF(ISBLANK('Paste Full'!AO5),"",'Paste Full'!AO5)</f>
        <v>3</v>
      </c>
      <c r="AD5" s="4">
        <f>IF(ISBLANK('Paste Full'!AP5),"",'Paste Full'!AP5)</f>
        <v>1</v>
      </c>
      <c r="AE5" s="4">
        <f>IF(ISBLANK('Paste Full'!AQ5),"",'Paste Full'!AQ5)</f>
        <v>1</v>
      </c>
      <c r="AF5" s="4">
        <f>IF(ISBLANK('Paste Full'!AR5),"",'Paste Full'!AR5)</f>
        <v>3</v>
      </c>
      <c r="AG5" s="4">
        <f>IF(ISBLANK('Paste Full'!AS5),"",'Paste Full'!AS5)</f>
        <v>1</v>
      </c>
      <c r="AH5" s="4">
        <f>IF(ISBLANK('Paste Full'!AV5),"",'Paste Full'!AV5)</f>
        <v>1</v>
      </c>
      <c r="AI5" s="4">
        <f>IF(ISBLANK('Paste Full'!AT5),"",'Paste Full'!AT5)</f>
        <v>2</v>
      </c>
      <c r="AJ5" s="4">
        <f>IF(ISBLANK('Paste Full'!AU5),"",'Paste Full'!AU5)</f>
        <v>1</v>
      </c>
      <c r="AK5" s="4">
        <f>IF(ISBLANK('Paste Full'!AW5),"",'Paste Full'!AW5)</f>
        <v>3</v>
      </c>
      <c r="AL5" s="5">
        <f>IF(ISBLANK('Paste Full'!AX5),"",'Paste Full'!AX5)</f>
        <v>11</v>
      </c>
      <c r="AM5" s="5">
        <f>IF(ISBLANK('Paste Full'!AY5),"",'Paste Full'!AY5)</f>
        <v>11</v>
      </c>
      <c r="AN5" s="5">
        <f>IF(ISBLANK('Paste Full'!AZ5),"",'Paste Full'!AZ5)</f>
        <v>9</v>
      </c>
      <c r="AO5" s="5">
        <f>IF(ISBLANK('Paste Full'!BA5),"",'Paste Full'!BA5)</f>
        <v>12</v>
      </c>
      <c r="AP5" s="5">
        <f>IF(ISBLANK('Paste Full'!BB5),"",'Paste Full'!BB5)</f>
        <v>14</v>
      </c>
      <c r="AQ5" s="5">
        <f>IF(ISBLANK('Paste Full'!BC5),"",'Paste Full'!BC5)</f>
        <v>16</v>
      </c>
      <c r="AR5" s="5">
        <f>IF(ISBLANK('Paste Full'!BD5),"",'Paste Full'!BD5)</f>
        <v>20</v>
      </c>
      <c r="AS5" s="5">
        <f>IF(ISBLANK('Paste Full'!BE5),"",'Paste Full'!BE5)</f>
        <v>11</v>
      </c>
      <c r="AT5" s="5">
        <f>IF(ISBLANK('Paste Full'!BF5),"",'Paste Full'!BF5)</f>
        <v>20</v>
      </c>
      <c r="AU5" s="5">
        <f>IF(ISBLANK('Paste Full'!BG5),"",'Paste Full'!BG5)</f>
        <v>13</v>
      </c>
      <c r="AV5" s="5">
        <f>IF(ISBLANK('Paste Full'!BH5),"",'Paste Full'!BH5)</f>
        <v>10</v>
      </c>
      <c r="AW5" s="5">
        <f>IF(ISBLANK('Paste Full'!BI5),"",'Paste Full'!BI5)</f>
        <v>20</v>
      </c>
      <c r="AX5" s="5">
        <f>IF(ISBLANK('Paste Full'!BJ5),"",'Paste Full'!BJ5)</f>
        <v>15</v>
      </c>
      <c r="AY5" s="5">
        <f>IF(ISBLANK('Paste Full'!BK5),"",'Paste Full'!BK5)</f>
        <v>14</v>
      </c>
      <c r="AZ5" s="6">
        <f>IF(ISBLANK('Paste Full'!BM5),"",'Paste Full'!BM5)</f>
        <v>7</v>
      </c>
      <c r="BA5" s="6">
        <f>IF(ISBLANK('Paste Full'!BN5),"",'Paste Full'!BN5)</f>
        <v>8</v>
      </c>
      <c r="BB5" s="6">
        <f>IF(ISBLANK('Paste Full'!BO5),"",'Paste Full'!BO5)</f>
        <v>7</v>
      </c>
      <c r="BC5" s="6">
        <f>IF(ISBLANK('Paste Full'!BP5),"",'Paste Full'!BP5)</f>
        <v>15</v>
      </c>
      <c r="BD5" s="6">
        <f>IF(ISBLANK('Paste Full'!BR5),"",'Paste Full'!BR5)</f>
        <v>3</v>
      </c>
      <c r="BE5" s="6">
        <f>IF(ISBLANK('Paste Full'!BS5),"",'Paste Full'!BS5)</f>
        <v>9</v>
      </c>
      <c r="BF5" s="6">
        <f>IF(ISBLANK('Paste Full'!BU5),"",'Paste Full'!BU5)</f>
        <v>10</v>
      </c>
      <c r="BG5" s="6">
        <f>IF(ISBLANK('Paste Full'!BV5),"",'Paste Full'!BV5)</f>
        <v>10</v>
      </c>
      <c r="BH5" s="6">
        <f>IF(ISBLANK('Paste Full'!BX5),"",'Paste Full'!BX5)</f>
        <v>7</v>
      </c>
      <c r="BI5" s="6">
        <f>IF(ISBLANK('Paste Full'!BY5),"",'Paste Full'!BY5)</f>
        <v>12</v>
      </c>
      <c r="BJ5" s="13">
        <f>IF(ISBLANK('Paste Full'!BL5),"",'Paste Full'!BL5)</f>
        <v>3</v>
      </c>
      <c r="BK5" s="13">
        <f>IF(ISBLANK('Paste Full'!BQ5),"",'Paste Full'!BQ5)</f>
        <v>3</v>
      </c>
      <c r="BL5" s="13">
        <f>IF(ISBLANK('Paste Full'!BT5),"",'Paste Full'!BT5)</f>
        <v>3</v>
      </c>
      <c r="BM5" s="13">
        <f>IF(ISBLANK('Paste Full'!BW5),"",'Paste Full'!BW5)</f>
        <v>5</v>
      </c>
      <c r="BN5" s="41">
        <f>IF(ISBLANK('Paste Full'!BZ5),"",'Paste Full'!BZ5)</f>
        <v>1</v>
      </c>
      <c r="BO5" s="41">
        <f>IF(ISBLANK('Paste Full'!CA5),"",'Paste Full'!CA5)</f>
        <v>1</v>
      </c>
      <c r="BP5" s="41">
        <f>IF(ISBLANK('Paste Full'!CB5),"",'Paste Full'!CB5)</f>
        <v>1</v>
      </c>
      <c r="BQ5" s="41">
        <f>IF(ISBLANK('Paste Full'!CC5),"",'Paste Full'!CC5)</f>
        <v>1</v>
      </c>
      <c r="BR5" s="41">
        <f>IF(ISBLANK('Paste Full'!CD5),"",'Paste Full'!CD5)</f>
        <v>20</v>
      </c>
      <c r="BS5" s="41">
        <f>IF(ISBLANK('Paste Full'!CE5),"",'Paste Full'!CE5)</f>
        <v>20</v>
      </c>
      <c r="BT5" s="41">
        <f>IF(ISBLANK('Paste Full'!CF5),"",'Paste Full'!CF5)</f>
        <v>1</v>
      </c>
      <c r="BU5" s="41">
        <f>IF(ISBLANK('Paste Full'!CG5),"",'Paste Full'!CG5)</f>
        <v>16</v>
      </c>
      <c r="BV5" s="41">
        <f>IF(ISBLANK('Paste Full'!CH5),"",'Paste Full'!CH5)</f>
        <v>1</v>
      </c>
    </row>
    <row r="6" spans="1:74" x14ac:dyDescent="0.3">
      <c r="A6" t="str">
        <f>IF(ISBLANK('Paste Full'!C6),"",'Paste Full'!C6)</f>
        <v>Charlie Bell</v>
      </c>
      <c r="B6" t="str">
        <f t="shared" si="0"/>
        <v>DM(R)</v>
      </c>
      <c r="C6" s="2">
        <f>IF(ISBLANK('Paste Full'!H6),"",'Paste Full'!H6)</f>
        <v>21</v>
      </c>
      <c r="D6" s="2">
        <f>IF(ISBLANK('Paste Full'!F6),"",'Paste Full'!F6)</f>
        <v>83</v>
      </c>
      <c r="E6" s="2">
        <f>IF(ISBLANK('Paste Full'!G6),"",'Paste Full'!G6)</f>
        <v>97</v>
      </c>
      <c r="F6" s="21" t="str">
        <f>IF(ISBLANK('Paste Full'!E6),"",'Paste Full'!E6)</f>
        <v>England</v>
      </c>
      <c r="G6" t="str">
        <f>IF(ISBLANK('Paste Full'!CI6),"",'Paste Full'!CI6)</f>
        <v/>
      </c>
      <c r="H6" s="21" t="str">
        <f>IF(ISBLANK('Paste Full'!J6),"",'Paste Full'!J6)</f>
        <v>$45,692</v>
      </c>
      <c r="I6" s="21" t="str">
        <f>IF(ISBLANK('Paste Full'!D6),"",'Paste Full'!D6)</f>
        <v>DM/M C</v>
      </c>
      <c r="J6" s="14">
        <f>AVERAGE(SUMPRODUCT($S6:$BM6,AttWeights!$C$10:$AW$10)/SUM(AttWeights!$C$10:$AW$10),SUMPRODUCT($S6:$BM6,AttWeights!$C$17:$AW$17)/SUM(AttWeights!$C$17:$AW$17))*10</f>
        <v>84.278183641312125</v>
      </c>
      <c r="K6" s="14">
        <f>AVERAGE(SUMPRODUCT($S6:$BM6,AttWeights!$C$7:$AW$7)/SUM(AttWeights!$C$7:$AW$7),SUMPRODUCT($S6:$BM6,AttWeights!$C$15:$AW$15)/SUM(AttWeights!$C$15:$AW$15))*10</f>
        <v>89.848511563666293</v>
      </c>
      <c r="L6" s="14">
        <f>AVERAGE(SUMPRODUCT($S6:$BM6,AttWeights!$C$8:$AW$8)/SUM(AttWeights!$C$8:$AW$8),SUMPRODUCT($S6:$BM6,AttWeights!$C$16:$AW$16)/SUM(AttWeights!$C$16:$AW$16))*10</f>
        <v>91.138020020985167</v>
      </c>
      <c r="M6" s="14">
        <f>AVERAGE(SUMPRODUCT($S6:$BM6,AttWeights!$C$9:$AW$9)/SUM(AttWeights!$C$9:$AW$9),SUMPRODUCT($S6:$BM6,AttWeights!$C$15:$AW$15)/SUM(AttWeights!$C$15:$AW$15))*10</f>
        <v>90.715970404833456</v>
      </c>
      <c r="N6" s="14">
        <f>AVERAGE(SUMPRODUCT($S6:$BM6,AttWeights!$C$6:$AW$6)/SUM(AttWeights!$C$6:$AW$6),SUMPRODUCT($S6:$BM6,AttWeights!$C$14:$AW$14)/SUM(AttWeights!$C$14:$AW$14))*10</f>
        <v>93.548308918569575</v>
      </c>
      <c r="O6" s="14">
        <f>AVERAGE(SUMPRODUCT($S6:$BM6,AttWeights!$C$5:$AW$5)/SUM(AttWeights!$C$5:$AW$5),SUMPRODUCT($S6:$BM6,AttWeights!$C$14:$AW$14)/SUM(AttWeights!$C$14:$AW$14))*10</f>
        <v>93.759221799143262</v>
      </c>
      <c r="P6" s="14">
        <f>AVERAGE(SUMPRODUCT($S6:$BM6,AttWeights!$C$4:$AW$4)/SUM(AttWeights!$C$4:$AW$4),SUMPRODUCT($S6:$BM6,AttWeights!$C$13:$AW$13)/SUM(AttWeights!$C$13:$AW$13))*10</f>
        <v>87.788461538461533</v>
      </c>
      <c r="Q6" s="14">
        <f>AVERAGE(SUMPRODUCT($S6:$BM6,AttWeights!$C$3:$AW$3)/SUM(AttWeights!$C$3:$AW$3),SUMPRODUCT($S6:$BM6,AttWeights!$C$12:$AW$12)/SUM(AttWeights!$C$12:$AW$12))*10</f>
        <v>92.610137672090104</v>
      </c>
      <c r="R6" s="14">
        <f>AVERAGE(SUMPRODUCT($S6:$BM6,AttWeights!$C$2:$AW$2)/SUM(AttWeights!$C$2:$AW$2),SUMPRODUCT($S6:$BM6,AttWeights!$C$11:$AW$11)/SUM(AttWeights!$C$11:$AW$11))*10</f>
        <v>61.258775008775004</v>
      </c>
      <c r="S6" s="3">
        <f>IF(ISBLANK('Paste Full'!AC6),"",'Paste Full'!AC6)</f>
        <v>10</v>
      </c>
      <c r="T6" s="3">
        <f>IF(ISBLANK('Paste Full'!AD6),"",'Paste Full'!AD6)</f>
        <v>11</v>
      </c>
      <c r="U6" s="3" t="str">
        <f>IF(ISBLANK('Paste Full'!AE6),"",'Paste Full'!AE6)</f>
        <v>$11</v>
      </c>
      <c r="V6" s="3">
        <f>IF(ISBLANK('Paste Full'!AF6),"",'Paste Full'!AF6)</f>
        <v>4</v>
      </c>
      <c r="W6" s="3">
        <f>IF(ISBLANK('Paste Full'!AH6),"",'Paste Full'!AH6)</f>
        <v>10</v>
      </c>
      <c r="X6" s="3">
        <f>IF(ISBLANK('Paste Full'!AI6),"",'Paste Full'!AI6)</f>
        <v>12</v>
      </c>
      <c r="Y6" s="3">
        <f>IF(ISBLANK('Paste Full'!AK6),"",'Paste Full'!AK6)</f>
        <v>10</v>
      </c>
      <c r="Z6" s="3">
        <f>IF(ISBLANK('Paste Full'!AL6),"",'Paste Full'!AL6)</f>
        <v>9</v>
      </c>
      <c r="AA6" s="4">
        <f>IF(ISBLANK('Paste Full'!AM6),"",'Paste Full'!AM6)</f>
        <v>2</v>
      </c>
      <c r="AB6" s="4">
        <f>IF(ISBLANK('Paste Full'!AN6),"",'Paste Full'!AN6)</f>
        <v>2</v>
      </c>
      <c r="AC6" s="4">
        <f>IF(ISBLANK('Paste Full'!AO6),"",'Paste Full'!AO6)</f>
        <v>1</v>
      </c>
      <c r="AD6" s="4">
        <f>IF(ISBLANK('Paste Full'!AP6),"",'Paste Full'!AP6)</f>
        <v>2</v>
      </c>
      <c r="AE6" s="4">
        <f>IF(ISBLANK('Paste Full'!AQ6),"",'Paste Full'!AQ6)</f>
        <v>2</v>
      </c>
      <c r="AF6" s="4">
        <f>IF(ISBLANK('Paste Full'!AR6),"",'Paste Full'!AR6)</f>
        <v>4</v>
      </c>
      <c r="AG6" s="4">
        <f>IF(ISBLANK('Paste Full'!AS6),"",'Paste Full'!AS6)</f>
        <v>1</v>
      </c>
      <c r="AH6" s="4">
        <f>IF(ISBLANK('Paste Full'!AV6),"",'Paste Full'!AV6)</f>
        <v>1</v>
      </c>
      <c r="AI6" s="4">
        <f>IF(ISBLANK('Paste Full'!AT6),"",'Paste Full'!AT6)</f>
        <v>1</v>
      </c>
      <c r="AJ6" s="4">
        <f>IF(ISBLANK('Paste Full'!AU6),"",'Paste Full'!AU6)</f>
        <v>1</v>
      </c>
      <c r="AK6" s="4">
        <f>IF(ISBLANK('Paste Full'!AW6),"",'Paste Full'!AW6)</f>
        <v>3</v>
      </c>
      <c r="AL6" s="5">
        <f>IF(ISBLANK('Paste Full'!AX6),"",'Paste Full'!AX6)</f>
        <v>15</v>
      </c>
      <c r="AM6" s="5">
        <f>IF(ISBLANK('Paste Full'!AY6),"",'Paste Full'!AY6)</f>
        <v>9</v>
      </c>
      <c r="AN6" s="5">
        <f>IF(ISBLANK('Paste Full'!AZ6),"",'Paste Full'!AZ6)</f>
        <v>9</v>
      </c>
      <c r="AO6" s="5">
        <f>IF(ISBLANK('Paste Full'!BA6),"",'Paste Full'!BA6)</f>
        <v>7</v>
      </c>
      <c r="AP6" s="5">
        <f>IF(ISBLANK('Paste Full'!BB6),"",'Paste Full'!BB6)</f>
        <v>11</v>
      </c>
      <c r="AQ6" s="5">
        <f>IF(ISBLANK('Paste Full'!BC6),"",'Paste Full'!BC6)</f>
        <v>13</v>
      </c>
      <c r="AR6" s="5">
        <f>IF(ISBLANK('Paste Full'!BD6),"",'Paste Full'!BD6)</f>
        <v>15</v>
      </c>
      <c r="AS6" s="5">
        <f>IF(ISBLANK('Paste Full'!BE6),"",'Paste Full'!BE6)</f>
        <v>8</v>
      </c>
      <c r="AT6" s="5">
        <f>IF(ISBLANK('Paste Full'!BF6),"",'Paste Full'!BF6)</f>
        <v>12</v>
      </c>
      <c r="AU6" s="5">
        <f>IF(ISBLANK('Paste Full'!BG6),"",'Paste Full'!BG6)</f>
        <v>8</v>
      </c>
      <c r="AV6" s="5">
        <f>IF(ISBLANK('Paste Full'!BH6),"",'Paste Full'!BH6)</f>
        <v>10</v>
      </c>
      <c r="AW6" s="5">
        <f>IF(ISBLANK('Paste Full'!BI6),"",'Paste Full'!BI6)</f>
        <v>11</v>
      </c>
      <c r="AX6" s="5">
        <f>IF(ISBLANK('Paste Full'!BJ6),"",'Paste Full'!BJ6)</f>
        <v>8</v>
      </c>
      <c r="AY6" s="5">
        <f>IF(ISBLANK('Paste Full'!BK6),"",'Paste Full'!BK6)</f>
        <v>14</v>
      </c>
      <c r="AZ6" s="6">
        <f>IF(ISBLANK('Paste Full'!BM6),"",'Paste Full'!BM6)</f>
        <v>3</v>
      </c>
      <c r="BA6" s="6">
        <f>IF(ISBLANK('Paste Full'!BN6),"",'Paste Full'!BN6)</f>
        <v>7</v>
      </c>
      <c r="BB6" s="6">
        <f>IF(ISBLANK('Paste Full'!BO6),"",'Paste Full'!BO6)</f>
        <v>7</v>
      </c>
      <c r="BC6" s="6">
        <f>IF(ISBLANK('Paste Full'!BP6),"",'Paste Full'!BP6)</f>
        <v>13</v>
      </c>
      <c r="BD6" s="6">
        <f>IF(ISBLANK('Paste Full'!BR6),"",'Paste Full'!BR6)</f>
        <v>5</v>
      </c>
      <c r="BE6" s="6">
        <f>IF(ISBLANK('Paste Full'!BS6),"",'Paste Full'!BS6)</f>
        <v>7</v>
      </c>
      <c r="BF6" s="6">
        <f>IF(ISBLANK('Paste Full'!BU6),"",'Paste Full'!BU6)</f>
        <v>11</v>
      </c>
      <c r="BG6" s="6">
        <f>IF(ISBLANK('Paste Full'!BV6),"",'Paste Full'!BV6)</f>
        <v>12</v>
      </c>
      <c r="BH6" s="6">
        <f>IF(ISBLANK('Paste Full'!BX6),"",'Paste Full'!BX6)</f>
        <v>11</v>
      </c>
      <c r="BI6" s="6">
        <f>IF(ISBLANK('Paste Full'!BY6),"",'Paste Full'!BY6)</f>
        <v>14</v>
      </c>
      <c r="BJ6" s="13">
        <f>IF(ISBLANK('Paste Full'!BL6),"",'Paste Full'!BL6)</f>
        <v>5</v>
      </c>
      <c r="BK6" s="13">
        <f>IF(ISBLANK('Paste Full'!BQ6),"",'Paste Full'!BQ6)</f>
        <v>5</v>
      </c>
      <c r="BL6" s="13">
        <f>IF(ISBLANK('Paste Full'!BT6),"",'Paste Full'!BT6)</f>
        <v>5</v>
      </c>
      <c r="BM6" s="13">
        <f>IF(ISBLANK('Paste Full'!BW6),"",'Paste Full'!BW6)</f>
        <v>7</v>
      </c>
      <c r="BN6" s="41">
        <f>IF(ISBLANK('Paste Full'!BZ6),"",'Paste Full'!BZ6)</f>
        <v>1</v>
      </c>
      <c r="BO6" s="41">
        <f>IF(ISBLANK('Paste Full'!CA6),"",'Paste Full'!CA6)</f>
        <v>1</v>
      </c>
      <c r="BP6" s="41">
        <f>IF(ISBLANK('Paste Full'!CB6),"",'Paste Full'!CB6)</f>
        <v>1</v>
      </c>
      <c r="BQ6" s="41">
        <f>IF(ISBLANK('Paste Full'!CC6),"",'Paste Full'!CC6)</f>
        <v>1</v>
      </c>
      <c r="BR6" s="41">
        <f>IF(ISBLANK('Paste Full'!CD6),"",'Paste Full'!CD6)</f>
        <v>19</v>
      </c>
      <c r="BS6" s="41">
        <f>IF(ISBLANK('Paste Full'!CE6),"",'Paste Full'!CE6)</f>
        <v>1</v>
      </c>
      <c r="BT6" s="41">
        <f>IF(ISBLANK('Paste Full'!CF6),"",'Paste Full'!CF6)</f>
        <v>1</v>
      </c>
      <c r="BU6" s="41">
        <f>IF(ISBLANK('Paste Full'!CG6),"",'Paste Full'!CG6)</f>
        <v>1</v>
      </c>
      <c r="BV6" s="41">
        <f>IF(ISBLANK('Paste Full'!CH6),"",'Paste Full'!CH6)</f>
        <v>1</v>
      </c>
    </row>
    <row r="7" spans="1:74" x14ac:dyDescent="0.3">
      <c r="A7" t="str">
        <f>IF(ISBLANK('Paste Full'!C7),"",'Paste Full'!C7)</f>
        <v>Cole Deeming</v>
      </c>
      <c r="B7" t="str">
        <f t="shared" si="0"/>
        <v>D(C)</v>
      </c>
      <c r="C7" s="2">
        <f>IF(ISBLANK('Paste Full'!H7),"",'Paste Full'!H7)</f>
        <v>22</v>
      </c>
      <c r="D7" s="2">
        <f>IF(ISBLANK('Paste Full'!F7),"",'Paste Full'!F7)</f>
        <v>99</v>
      </c>
      <c r="E7" s="2">
        <f>IF(ISBLANK('Paste Full'!G7),"",'Paste Full'!G7)</f>
        <v>107</v>
      </c>
      <c r="F7" s="21" t="str">
        <f>IF(ISBLANK('Paste Full'!E7),"",'Paste Full'!E7)</f>
        <v>England</v>
      </c>
      <c r="G7" t="str">
        <f>IF(ISBLANK('Paste Full'!CI7),"",'Paste Full'!CI7)</f>
        <v/>
      </c>
      <c r="H7" s="21" t="str">
        <f>IF(ISBLANK('Paste Full'!J7),"",'Paste Full'!J7)</f>
        <v>$327,372</v>
      </c>
      <c r="I7" s="21" t="str">
        <f>IF(ISBLANK('Paste Full'!D7),"",'Paste Full'!D7)</f>
        <v>DM/M LC</v>
      </c>
      <c r="J7" s="14">
        <f>AVERAGE(SUMPRODUCT($S7:$BM7,AttWeights!$C$10:$AW$10)/SUM(AttWeights!$C$10:$AW$10),SUMPRODUCT($S7:$BM7,AttWeights!$C$17:$AW$17)/SUM(AttWeights!$C$17:$AW$17))*10</f>
        <v>92.865921787709482</v>
      </c>
      <c r="K7" s="14">
        <f>AVERAGE(SUMPRODUCT($S7:$BM7,AttWeights!$C$7:$AW$7)/SUM(AttWeights!$C$7:$AW$7),SUMPRODUCT($S7:$BM7,AttWeights!$C$15:$AW$15)/SUM(AttWeights!$C$15:$AW$15))*10</f>
        <v>95.738634693937541</v>
      </c>
      <c r="L7" s="14">
        <f>AVERAGE(SUMPRODUCT($S7:$BM7,AttWeights!$C$8:$AW$8)/SUM(AttWeights!$C$8:$AW$8),SUMPRODUCT($S7:$BM7,AttWeights!$C$16:$AW$16)/SUM(AttWeights!$C$16:$AW$16))*10</f>
        <v>96.689873238238391</v>
      </c>
      <c r="M7" s="14">
        <f>AVERAGE(SUMPRODUCT($S7:$BM7,AttWeights!$C$9:$AW$9)/SUM(AttWeights!$C$9:$AW$9),SUMPRODUCT($S7:$BM7,AttWeights!$C$15:$AW$15)/SUM(AttWeights!$C$15:$AW$15))*10</f>
        <v>95.737940615812093</v>
      </c>
      <c r="N7" s="14">
        <f>AVERAGE(SUMPRODUCT($S7:$BM7,AttWeights!$C$6:$AW$6)/SUM(AttWeights!$C$6:$AW$6),SUMPRODUCT($S7:$BM7,AttWeights!$C$14:$AW$14)/SUM(AttWeights!$C$14:$AW$14))*10</f>
        <v>96.551863420939256</v>
      </c>
      <c r="O7" s="14">
        <f>AVERAGE(SUMPRODUCT($S7:$BM7,AttWeights!$C$5:$AW$5)/SUM(AttWeights!$C$5:$AW$5),SUMPRODUCT($S7:$BM7,AttWeights!$C$14:$AW$14)/SUM(AttWeights!$C$14:$AW$14))*10</f>
        <v>96.710792479771541</v>
      </c>
      <c r="P7" s="14">
        <f>AVERAGE(SUMPRODUCT($S7:$BM7,AttWeights!$C$4:$AW$4)/SUM(AttWeights!$C$4:$AW$4),SUMPRODUCT($S7:$BM7,AttWeights!$C$13:$AW$13)/SUM(AttWeights!$C$13:$AW$13))*10</f>
        <v>97.204670329670336</v>
      </c>
      <c r="Q7" s="14">
        <f>AVERAGE(SUMPRODUCT($S7:$BM7,AttWeights!$C$3:$AW$3)/SUM(AttWeights!$C$3:$AW$3),SUMPRODUCT($S7:$BM7,AttWeights!$C$12:$AW$12)/SUM(AttWeights!$C$12:$AW$12))*10</f>
        <v>96.579474342928648</v>
      </c>
      <c r="R7" s="14">
        <f>AVERAGE(SUMPRODUCT($S7:$BM7,AttWeights!$C$2:$AW$2)/SUM(AttWeights!$C$2:$AW$2),SUMPRODUCT($S7:$BM7,AttWeights!$C$11:$AW$11)/SUM(AttWeights!$C$11:$AW$11))*10</f>
        <v>63.324412074412066</v>
      </c>
      <c r="S7" s="3">
        <f>IF(ISBLANK('Paste Full'!AC7),"",'Paste Full'!AC7)</f>
        <v>11</v>
      </c>
      <c r="T7" s="3">
        <f>IF(ISBLANK('Paste Full'!AD7),"",'Paste Full'!AD7)</f>
        <v>9</v>
      </c>
      <c r="U7" s="3" t="str">
        <f>IF(ISBLANK('Paste Full'!AE7),"",'Paste Full'!AE7)</f>
        <v>$10</v>
      </c>
      <c r="V7" s="3">
        <f>IF(ISBLANK('Paste Full'!AF7),"",'Paste Full'!AF7)</f>
        <v>15</v>
      </c>
      <c r="W7" s="3">
        <f>IF(ISBLANK('Paste Full'!AH7),"",'Paste Full'!AH7)</f>
        <v>15</v>
      </c>
      <c r="X7" s="3">
        <f>IF(ISBLANK('Paste Full'!AI7),"",'Paste Full'!AI7)</f>
        <v>11</v>
      </c>
      <c r="Y7" s="3">
        <f>IF(ISBLANK('Paste Full'!AK7),"",'Paste Full'!AK7)</f>
        <v>11</v>
      </c>
      <c r="Z7" s="3">
        <f>IF(ISBLANK('Paste Full'!AL7),"",'Paste Full'!AL7)</f>
        <v>13</v>
      </c>
      <c r="AA7" s="4">
        <f>IF(ISBLANK('Paste Full'!AM7),"",'Paste Full'!AM7)</f>
        <v>2</v>
      </c>
      <c r="AB7" s="4">
        <f>IF(ISBLANK('Paste Full'!AN7),"",'Paste Full'!AN7)</f>
        <v>2</v>
      </c>
      <c r="AC7" s="4">
        <f>IF(ISBLANK('Paste Full'!AO7),"",'Paste Full'!AO7)</f>
        <v>2</v>
      </c>
      <c r="AD7" s="4">
        <f>IF(ISBLANK('Paste Full'!AP7),"",'Paste Full'!AP7)</f>
        <v>3</v>
      </c>
      <c r="AE7" s="4">
        <f>IF(ISBLANK('Paste Full'!AQ7),"",'Paste Full'!AQ7)</f>
        <v>1</v>
      </c>
      <c r="AF7" s="4">
        <f>IF(ISBLANK('Paste Full'!AR7),"",'Paste Full'!AR7)</f>
        <v>1</v>
      </c>
      <c r="AG7" s="4">
        <f>IF(ISBLANK('Paste Full'!AS7),"",'Paste Full'!AS7)</f>
        <v>4</v>
      </c>
      <c r="AH7" s="4">
        <f>IF(ISBLANK('Paste Full'!AV7),"",'Paste Full'!AV7)</f>
        <v>2</v>
      </c>
      <c r="AI7" s="4">
        <f>IF(ISBLANK('Paste Full'!AT7),"",'Paste Full'!AT7)</f>
        <v>3</v>
      </c>
      <c r="AJ7" s="4">
        <f>IF(ISBLANK('Paste Full'!AU7),"",'Paste Full'!AU7)</f>
        <v>1</v>
      </c>
      <c r="AK7" s="4">
        <f>IF(ISBLANK('Paste Full'!AW7),"",'Paste Full'!AW7)</f>
        <v>3</v>
      </c>
      <c r="AL7" s="5">
        <f>IF(ISBLANK('Paste Full'!AX7),"",'Paste Full'!AX7)</f>
        <v>15</v>
      </c>
      <c r="AM7" s="5">
        <f>IF(ISBLANK('Paste Full'!AY7),"",'Paste Full'!AY7)</f>
        <v>11</v>
      </c>
      <c r="AN7" s="5">
        <f>IF(ISBLANK('Paste Full'!AZ7),"",'Paste Full'!AZ7)</f>
        <v>9</v>
      </c>
      <c r="AO7" s="5">
        <f>IF(ISBLANK('Paste Full'!BA7),"",'Paste Full'!BA7)</f>
        <v>9</v>
      </c>
      <c r="AP7" s="5">
        <f>IF(ISBLANK('Paste Full'!BB7),"",'Paste Full'!BB7)</f>
        <v>11</v>
      </c>
      <c r="AQ7" s="5">
        <f>IF(ISBLANK('Paste Full'!BC7),"",'Paste Full'!BC7)</f>
        <v>12</v>
      </c>
      <c r="AR7" s="5">
        <f>IF(ISBLANK('Paste Full'!BD7),"",'Paste Full'!BD7)</f>
        <v>5</v>
      </c>
      <c r="AS7" s="5">
        <f>IF(ISBLANK('Paste Full'!BE7),"",'Paste Full'!BE7)</f>
        <v>6</v>
      </c>
      <c r="AT7" s="5">
        <f>IF(ISBLANK('Paste Full'!BF7),"",'Paste Full'!BF7)</f>
        <v>12</v>
      </c>
      <c r="AU7" s="5">
        <f>IF(ISBLANK('Paste Full'!BG7),"",'Paste Full'!BG7)</f>
        <v>12</v>
      </c>
      <c r="AV7" s="5">
        <f>IF(ISBLANK('Paste Full'!BH7),"",'Paste Full'!BH7)</f>
        <v>11</v>
      </c>
      <c r="AW7" s="5">
        <f>IF(ISBLANK('Paste Full'!BI7),"",'Paste Full'!BI7)</f>
        <v>14</v>
      </c>
      <c r="AX7" s="5">
        <f>IF(ISBLANK('Paste Full'!BJ7),"",'Paste Full'!BJ7)</f>
        <v>12</v>
      </c>
      <c r="AY7" s="5">
        <f>IF(ISBLANK('Paste Full'!BK7),"",'Paste Full'!BK7)</f>
        <v>14</v>
      </c>
      <c r="AZ7" s="6">
        <f>IF(ISBLANK('Paste Full'!BM7),"",'Paste Full'!BM7)</f>
        <v>9</v>
      </c>
      <c r="BA7" s="6">
        <f>IF(ISBLANK('Paste Full'!BN7),"",'Paste Full'!BN7)</f>
        <v>8</v>
      </c>
      <c r="BB7" s="6">
        <f>IF(ISBLANK('Paste Full'!BO7),"",'Paste Full'!BO7)</f>
        <v>10</v>
      </c>
      <c r="BC7" s="6">
        <f>IF(ISBLANK('Paste Full'!BP7),"",'Paste Full'!BP7)</f>
        <v>11</v>
      </c>
      <c r="BD7" s="6">
        <f>IF(ISBLANK('Paste Full'!BR7),"",'Paste Full'!BR7)</f>
        <v>8</v>
      </c>
      <c r="BE7" s="6">
        <f>IF(ISBLANK('Paste Full'!BS7),"",'Paste Full'!BS7)</f>
        <v>11</v>
      </c>
      <c r="BF7" s="6">
        <f>IF(ISBLANK('Paste Full'!BU7),"",'Paste Full'!BU7)</f>
        <v>8</v>
      </c>
      <c r="BG7" s="6">
        <f>IF(ISBLANK('Paste Full'!BV7),"",'Paste Full'!BV7)</f>
        <v>12</v>
      </c>
      <c r="BH7" s="6">
        <f>IF(ISBLANK('Paste Full'!BX7),"",'Paste Full'!BX7)</f>
        <v>10</v>
      </c>
      <c r="BI7" s="6">
        <f>IF(ISBLANK('Paste Full'!BY7),"",'Paste Full'!BY7)</f>
        <v>12</v>
      </c>
      <c r="BJ7" s="13">
        <f>IF(ISBLANK('Paste Full'!BL7),"",'Paste Full'!BL7)</f>
        <v>10</v>
      </c>
      <c r="BK7" s="13">
        <f>IF(ISBLANK('Paste Full'!BQ7),"",'Paste Full'!BQ7)</f>
        <v>12</v>
      </c>
      <c r="BL7" s="13">
        <f>IF(ISBLANK('Paste Full'!BT7),"",'Paste Full'!BT7)</f>
        <v>5</v>
      </c>
      <c r="BM7" s="13">
        <f>IF(ISBLANK('Paste Full'!BW7),"",'Paste Full'!BW7)</f>
        <v>10</v>
      </c>
      <c r="BN7" s="41">
        <f>IF(ISBLANK('Paste Full'!BZ7),"",'Paste Full'!BZ7)</f>
        <v>1</v>
      </c>
      <c r="BO7" s="41">
        <f>IF(ISBLANK('Paste Full'!CA7),"",'Paste Full'!CA7)</f>
        <v>1</v>
      </c>
      <c r="BP7" s="41">
        <f>IF(ISBLANK('Paste Full'!CB7),"",'Paste Full'!CB7)</f>
        <v>13</v>
      </c>
      <c r="BQ7" s="41">
        <f>IF(ISBLANK('Paste Full'!CC7),"",'Paste Full'!CC7)</f>
        <v>15</v>
      </c>
      <c r="BR7" s="41">
        <f>IF(ISBLANK('Paste Full'!CD7),"",'Paste Full'!CD7)</f>
        <v>20</v>
      </c>
      <c r="BS7" s="41">
        <f>IF(ISBLANK('Paste Full'!CE7),"",'Paste Full'!CE7)</f>
        <v>1</v>
      </c>
      <c r="BT7" s="41">
        <f>IF(ISBLANK('Paste Full'!CF7),"",'Paste Full'!CF7)</f>
        <v>1</v>
      </c>
      <c r="BU7" s="41">
        <f>IF(ISBLANK('Paste Full'!CG7),"",'Paste Full'!CG7)</f>
        <v>1</v>
      </c>
      <c r="BV7" s="41">
        <f>IF(ISBLANK('Paste Full'!CH7),"",'Paste Full'!CH7)</f>
        <v>1</v>
      </c>
    </row>
    <row r="8" spans="1:74" x14ac:dyDescent="0.3">
      <c r="A8" t="str">
        <f>IF(ISBLANK('Paste Full'!C8),"",'Paste Full'!C8)</f>
        <v>Daniel Willard</v>
      </c>
      <c r="B8" t="str">
        <f t="shared" si="0"/>
        <v>AM(C)</v>
      </c>
      <c r="C8" s="2">
        <f>IF(ISBLANK('Paste Full'!H8),"",'Paste Full'!H8)</f>
        <v>19</v>
      </c>
      <c r="D8" s="2">
        <f>IF(ISBLANK('Paste Full'!F8),"",'Paste Full'!F8)</f>
        <v>120</v>
      </c>
      <c r="E8" s="2">
        <f>IF(ISBLANK('Paste Full'!G8),"",'Paste Full'!G8)</f>
        <v>149</v>
      </c>
      <c r="F8" s="21" t="str">
        <f>IF(ISBLANK('Paste Full'!E8),"",'Paste Full'!E8)</f>
        <v>Northern Ireland,England</v>
      </c>
      <c r="G8" t="str">
        <f>IF(ISBLANK('Paste Full'!CI8),"",'Paste Full'!CI8)</f>
        <v/>
      </c>
      <c r="H8" s="21" t="str">
        <f>IF(ISBLANK('Paste Full'!J8),"",'Paste Full'!J8)</f>
        <v>$567,427</v>
      </c>
      <c r="I8" s="21" t="str">
        <f>IF(ISBLANK('Paste Full'!D8),"",'Paste Full'!D8)</f>
        <v>AM L</v>
      </c>
      <c r="J8" s="14">
        <f>AVERAGE(SUMPRODUCT($S8:$BM8,AttWeights!$C$10:$AW$10)/SUM(AttWeights!$C$10:$AW$10),SUMPRODUCT($S8:$BM8,AttWeights!$C$17:$AW$17)/SUM(AttWeights!$C$17:$AW$17))*10</f>
        <v>90.723821802034081</v>
      </c>
      <c r="K8" s="14">
        <f>AVERAGE(SUMPRODUCT($S8:$BM8,AttWeights!$C$7:$AW$7)/SUM(AttWeights!$C$7:$AW$7),SUMPRODUCT($S8:$BM8,AttWeights!$C$15:$AW$15)/SUM(AttWeights!$C$15:$AW$15))*10</f>
        <v>95.240824003056218</v>
      </c>
      <c r="L8" s="14">
        <f>AVERAGE(SUMPRODUCT($S8:$BM8,AttWeights!$C$8:$AW$8)/SUM(AttWeights!$C$8:$AW$8),SUMPRODUCT($S8:$BM8,AttWeights!$C$16:$AW$16)/SUM(AttWeights!$C$16:$AW$16))*10</f>
        <v>95.810339449281116</v>
      </c>
      <c r="M8" s="14">
        <f>AVERAGE(SUMPRODUCT($S8:$BM8,AttWeights!$C$9:$AW$9)/SUM(AttWeights!$C$9:$AW$9),SUMPRODUCT($S8:$BM8,AttWeights!$C$15:$AW$15)/SUM(AttWeights!$C$15:$AW$15))*10</f>
        <v>94.050757649187418</v>
      </c>
      <c r="N8" s="14">
        <f>AVERAGE(SUMPRODUCT($S8:$BM8,AttWeights!$C$6:$AW$6)/SUM(AttWeights!$C$6:$AW$6),SUMPRODUCT($S8:$BM8,AttWeights!$C$14:$AW$14)/SUM(AttWeights!$C$14:$AW$14))*10</f>
        <v>89.139783498492022</v>
      </c>
      <c r="O8" s="14">
        <f>AVERAGE(SUMPRODUCT($S8:$BM8,AttWeights!$C$5:$AW$5)/SUM(AttWeights!$C$5:$AW$5),SUMPRODUCT($S8:$BM8,AttWeights!$C$14:$AW$14)/SUM(AttWeights!$C$14:$AW$14))*10</f>
        <v>85.486524274155173</v>
      </c>
      <c r="P8" s="14">
        <f>AVERAGE(SUMPRODUCT($S8:$BM8,AttWeights!$C$4:$AW$4)/SUM(AttWeights!$C$4:$AW$4),SUMPRODUCT($S8:$BM8,AttWeights!$C$13:$AW$13)/SUM(AttWeights!$C$13:$AW$13))*10</f>
        <v>83.622939560439562</v>
      </c>
      <c r="Q8" s="14">
        <f>AVERAGE(SUMPRODUCT($S8:$BM8,AttWeights!$C$3:$AW$3)/SUM(AttWeights!$C$3:$AW$3),SUMPRODUCT($S8:$BM8,AttWeights!$C$12:$AW$12)/SUM(AttWeights!$C$12:$AW$12))*10</f>
        <v>85.673341677096374</v>
      </c>
      <c r="R8" s="14">
        <f>AVERAGE(SUMPRODUCT($S8:$BM8,AttWeights!$C$2:$AW$2)/SUM(AttWeights!$C$2:$AW$2),SUMPRODUCT($S8:$BM8,AttWeights!$C$11:$AW$11)/SUM(AttWeights!$C$11:$AW$11))*10</f>
        <v>56.317567567567565</v>
      </c>
      <c r="S8" s="3">
        <f>IF(ISBLANK('Paste Full'!AC8),"",'Paste Full'!AC8)</f>
        <v>16</v>
      </c>
      <c r="T8" s="3">
        <f>IF(ISBLANK('Paste Full'!AD8),"",'Paste Full'!AD8)</f>
        <v>17</v>
      </c>
      <c r="U8" s="3" t="str">
        <f>IF(ISBLANK('Paste Full'!AE8),"",'Paste Full'!AE8)</f>
        <v>$14</v>
      </c>
      <c r="V8" s="3">
        <f>IF(ISBLANK('Paste Full'!AF8),"",'Paste Full'!AF8)</f>
        <v>9</v>
      </c>
      <c r="W8" s="3">
        <f>IF(ISBLANK('Paste Full'!AH8),"",'Paste Full'!AH8)</f>
        <v>6</v>
      </c>
      <c r="X8" s="3">
        <f>IF(ISBLANK('Paste Full'!AI8),"",'Paste Full'!AI8)</f>
        <v>15</v>
      </c>
      <c r="Y8" s="3">
        <f>IF(ISBLANK('Paste Full'!AK8),"",'Paste Full'!AK8)</f>
        <v>16</v>
      </c>
      <c r="Z8" s="3">
        <f>IF(ISBLANK('Paste Full'!AL8),"",'Paste Full'!AL8)</f>
        <v>7</v>
      </c>
      <c r="AA8" s="4">
        <f>IF(ISBLANK('Paste Full'!AM8),"",'Paste Full'!AM8)</f>
        <v>3</v>
      </c>
      <c r="AB8" s="4">
        <f>IF(ISBLANK('Paste Full'!AN8),"",'Paste Full'!AN8)</f>
        <v>1</v>
      </c>
      <c r="AC8" s="4">
        <f>IF(ISBLANK('Paste Full'!AO8),"",'Paste Full'!AO8)</f>
        <v>1</v>
      </c>
      <c r="AD8" s="4">
        <f>IF(ISBLANK('Paste Full'!AP8),"",'Paste Full'!AP8)</f>
        <v>2</v>
      </c>
      <c r="AE8" s="4">
        <f>IF(ISBLANK('Paste Full'!AQ8),"",'Paste Full'!AQ8)</f>
        <v>1</v>
      </c>
      <c r="AF8" s="4">
        <f>IF(ISBLANK('Paste Full'!AR8),"",'Paste Full'!AR8)</f>
        <v>1</v>
      </c>
      <c r="AG8" s="4">
        <f>IF(ISBLANK('Paste Full'!AS8),"",'Paste Full'!AS8)</f>
        <v>1</v>
      </c>
      <c r="AH8" s="4">
        <f>IF(ISBLANK('Paste Full'!AV8),"",'Paste Full'!AV8)</f>
        <v>1</v>
      </c>
      <c r="AI8" s="4">
        <f>IF(ISBLANK('Paste Full'!AT8),"",'Paste Full'!AT8)</f>
        <v>2</v>
      </c>
      <c r="AJ8" s="4">
        <f>IF(ISBLANK('Paste Full'!AU8),"",'Paste Full'!AU8)</f>
        <v>3</v>
      </c>
      <c r="AK8" s="4">
        <f>IF(ISBLANK('Paste Full'!AW8),"",'Paste Full'!AW8)</f>
        <v>1</v>
      </c>
      <c r="AL8" s="5">
        <f>IF(ISBLANK('Paste Full'!AX8),"",'Paste Full'!AX8)</f>
        <v>7</v>
      </c>
      <c r="AM8" s="5">
        <f>IF(ISBLANK('Paste Full'!AY8),"",'Paste Full'!AY8)</f>
        <v>11</v>
      </c>
      <c r="AN8" s="5">
        <f>IF(ISBLANK('Paste Full'!AZ8),"",'Paste Full'!AZ8)</f>
        <v>11</v>
      </c>
      <c r="AO8" s="5">
        <f>IF(ISBLANK('Paste Full'!BA8),"",'Paste Full'!BA8)</f>
        <v>11</v>
      </c>
      <c r="AP8" s="5">
        <f>IF(ISBLANK('Paste Full'!BB8),"",'Paste Full'!BB8)</f>
        <v>4</v>
      </c>
      <c r="AQ8" s="5">
        <f>IF(ISBLANK('Paste Full'!BC8),"",'Paste Full'!BC8)</f>
        <v>11</v>
      </c>
      <c r="AR8" s="5">
        <f>IF(ISBLANK('Paste Full'!BD8),"",'Paste Full'!BD8)</f>
        <v>18</v>
      </c>
      <c r="AS8" s="5">
        <f>IF(ISBLANK('Paste Full'!BE8),"",'Paste Full'!BE8)</f>
        <v>12</v>
      </c>
      <c r="AT8" s="5">
        <f>IF(ISBLANK('Paste Full'!BF8),"",'Paste Full'!BF8)</f>
        <v>9</v>
      </c>
      <c r="AU8" s="5">
        <f>IF(ISBLANK('Paste Full'!BG8),"",'Paste Full'!BG8)</f>
        <v>11</v>
      </c>
      <c r="AV8" s="5">
        <f>IF(ISBLANK('Paste Full'!BH8),"",'Paste Full'!BH8)</f>
        <v>3</v>
      </c>
      <c r="AW8" s="5">
        <f>IF(ISBLANK('Paste Full'!BI8),"",'Paste Full'!BI8)</f>
        <v>6</v>
      </c>
      <c r="AX8" s="5">
        <f>IF(ISBLANK('Paste Full'!BJ8),"",'Paste Full'!BJ8)</f>
        <v>13</v>
      </c>
      <c r="AY8" s="5">
        <f>IF(ISBLANK('Paste Full'!BK8),"",'Paste Full'!BK8)</f>
        <v>12</v>
      </c>
      <c r="AZ8" s="6">
        <f>IF(ISBLANK('Paste Full'!BM8),"",'Paste Full'!BM8)</f>
        <v>7</v>
      </c>
      <c r="BA8" s="6">
        <f>IF(ISBLANK('Paste Full'!BN8),"",'Paste Full'!BN8)</f>
        <v>9</v>
      </c>
      <c r="BB8" s="6">
        <f>IF(ISBLANK('Paste Full'!BO8),"",'Paste Full'!BO8)</f>
        <v>10</v>
      </c>
      <c r="BC8" s="6">
        <f>IF(ISBLANK('Paste Full'!BP8),"",'Paste Full'!BP8)</f>
        <v>12</v>
      </c>
      <c r="BD8" s="6">
        <f>IF(ISBLANK('Paste Full'!BR8),"",'Paste Full'!BR8)</f>
        <v>4</v>
      </c>
      <c r="BE8" s="6">
        <f>IF(ISBLANK('Paste Full'!BS8),"",'Paste Full'!BS8)</f>
        <v>6</v>
      </c>
      <c r="BF8" s="6">
        <f>IF(ISBLANK('Paste Full'!BU8),"",'Paste Full'!BU8)</f>
        <v>9</v>
      </c>
      <c r="BG8" s="6">
        <f>IF(ISBLANK('Paste Full'!BV8),"",'Paste Full'!BV8)</f>
        <v>10</v>
      </c>
      <c r="BH8" s="6">
        <f>IF(ISBLANK('Paste Full'!BX8),"",'Paste Full'!BX8)</f>
        <v>3</v>
      </c>
      <c r="BI8" s="6">
        <f>IF(ISBLANK('Paste Full'!BY8),"",'Paste Full'!BY8)</f>
        <v>13</v>
      </c>
      <c r="BJ8" s="13">
        <f>IF(ISBLANK('Paste Full'!BL8),"",'Paste Full'!BL8)</f>
        <v>6</v>
      </c>
      <c r="BK8" s="13">
        <f>IF(ISBLANK('Paste Full'!BQ8),"",'Paste Full'!BQ8)</f>
        <v>6</v>
      </c>
      <c r="BL8" s="13">
        <f>IF(ISBLANK('Paste Full'!BT8),"",'Paste Full'!BT8)</f>
        <v>3</v>
      </c>
      <c r="BM8" s="13">
        <f>IF(ISBLANK('Paste Full'!BW8),"",'Paste Full'!BW8)</f>
        <v>8</v>
      </c>
      <c r="BN8" s="41">
        <f>IF(ISBLANK('Paste Full'!BZ8),"",'Paste Full'!BZ8)</f>
        <v>1</v>
      </c>
      <c r="BO8" s="41">
        <f>IF(ISBLANK('Paste Full'!CA8),"",'Paste Full'!CA8)</f>
        <v>1</v>
      </c>
      <c r="BP8" s="41">
        <f>IF(ISBLANK('Paste Full'!CB8),"",'Paste Full'!CB8)</f>
        <v>1</v>
      </c>
      <c r="BQ8" s="41">
        <f>IF(ISBLANK('Paste Full'!CC8),"",'Paste Full'!CC8)</f>
        <v>1</v>
      </c>
      <c r="BR8" s="41">
        <f>IF(ISBLANK('Paste Full'!CD8),"",'Paste Full'!CD8)</f>
        <v>1</v>
      </c>
      <c r="BS8" s="41">
        <f>IF(ISBLANK('Paste Full'!CE8),"",'Paste Full'!CE8)</f>
        <v>1</v>
      </c>
      <c r="BT8" s="41">
        <f>IF(ISBLANK('Paste Full'!CF8),"",'Paste Full'!CF8)</f>
        <v>10</v>
      </c>
      <c r="BU8" s="41">
        <f>IF(ISBLANK('Paste Full'!CG8),"",'Paste Full'!CG8)</f>
        <v>20</v>
      </c>
      <c r="BV8" s="41">
        <f>IF(ISBLANK('Paste Full'!CH8),"",'Paste Full'!CH8)</f>
        <v>4</v>
      </c>
    </row>
    <row r="9" spans="1:74" x14ac:dyDescent="0.3">
      <c r="A9" t="str">
        <f>IF(ISBLANK('Paste Full'!C9),"",'Paste Full'!C9)</f>
        <v>Dominic Iorfa</v>
      </c>
      <c r="B9" t="str">
        <f t="shared" si="0"/>
        <v>D(R/L)</v>
      </c>
      <c r="C9" s="2">
        <f>IF(ISBLANK('Paste Full'!H9),"",'Paste Full'!H9)</f>
        <v>34</v>
      </c>
      <c r="D9" s="2">
        <f>IF(ISBLANK('Paste Full'!F9),"",'Paste Full'!F9)</f>
        <v>121</v>
      </c>
      <c r="E9" s="2">
        <f>IF(ISBLANK('Paste Full'!G9),"",'Paste Full'!G9)</f>
        <v>140</v>
      </c>
      <c r="F9" s="21" t="str">
        <f>IF(ISBLANK('Paste Full'!E9),"",'Paste Full'!E9)</f>
        <v>England,Nigeria</v>
      </c>
      <c r="G9" t="str">
        <f>IF(ISBLANK('Paste Full'!CI9),"",'Paste Full'!CI9)</f>
        <v/>
      </c>
      <c r="H9" s="21" t="str">
        <f>IF(ISBLANK('Paste Full'!J9),"",'Paste Full'!J9)</f>
        <v>$878,653</v>
      </c>
      <c r="I9" s="21" t="str">
        <f>IF(ISBLANK('Paste Full'!D9),"",'Paste Full'!D9)</f>
        <v>D RLC</v>
      </c>
      <c r="J9" s="14">
        <f>AVERAGE(SUMPRODUCT($S9:$BM9,AttWeights!$C$10:$AW$10)/SUM(AttWeights!$C$10:$AW$10),SUMPRODUCT($S9:$BM9,AttWeights!$C$17:$AW$17)/SUM(AttWeights!$C$17:$AW$17))*10</f>
        <v>97.95831542758917</v>
      </c>
      <c r="K9" s="14">
        <f>AVERAGE(SUMPRODUCT($S9:$BM9,AttWeights!$C$7:$AW$7)/SUM(AttWeights!$C$7:$AW$7),SUMPRODUCT($S9:$BM9,AttWeights!$C$15:$AW$15)/SUM(AttWeights!$C$15:$AW$15))*10</f>
        <v>100.76508272355932</v>
      </c>
      <c r="L9" s="14">
        <f>AVERAGE(SUMPRODUCT($S9:$BM9,AttWeights!$C$8:$AW$8)/SUM(AttWeights!$C$8:$AW$8),SUMPRODUCT($S9:$BM9,AttWeights!$C$16:$AW$16)/SUM(AttWeights!$C$16:$AW$16))*10</f>
        <v>101.72007486600685</v>
      </c>
      <c r="M9" s="14">
        <f>AVERAGE(SUMPRODUCT($S9:$BM9,AttWeights!$C$9:$AW$9)/SUM(AttWeights!$C$9:$AW$9),SUMPRODUCT($S9:$BM9,AttWeights!$C$15:$AW$15)/SUM(AttWeights!$C$15:$AW$15))*10</f>
        <v>104.99063035120028</v>
      </c>
      <c r="N9" s="14">
        <f>AVERAGE(SUMPRODUCT($S9:$BM9,AttWeights!$C$6:$AW$6)/SUM(AttWeights!$C$6:$AW$6),SUMPRODUCT($S9:$BM9,AttWeights!$C$14:$AW$14)/SUM(AttWeights!$C$14:$AW$14))*10</f>
        <v>103.72711115898319</v>
      </c>
      <c r="O9" s="14">
        <f>AVERAGE(SUMPRODUCT($S9:$BM9,AttWeights!$C$5:$AW$5)/SUM(AttWeights!$C$5:$AW$5),SUMPRODUCT($S9:$BM9,AttWeights!$C$14:$AW$14)/SUM(AttWeights!$C$14:$AW$14))*10</f>
        <v>106.03908852927177</v>
      </c>
      <c r="P9" s="14">
        <f>AVERAGE(SUMPRODUCT($S9:$BM9,AttWeights!$C$4:$AW$4)/SUM(AttWeights!$C$4:$AW$4),SUMPRODUCT($S9:$BM9,AttWeights!$C$13:$AW$13)/SUM(AttWeights!$C$13:$AW$13))*10</f>
        <v>106.04052197802197</v>
      </c>
      <c r="Q9" s="14">
        <f>AVERAGE(SUMPRODUCT($S9:$BM9,AttWeights!$C$3:$AW$3)/SUM(AttWeights!$C$3:$AW$3),SUMPRODUCT($S9:$BM9,AttWeights!$C$12:$AW$12)/SUM(AttWeights!$C$12:$AW$12))*10</f>
        <v>109.0453692115144</v>
      </c>
      <c r="R9" s="14">
        <f>AVERAGE(SUMPRODUCT($S9:$BM9,AttWeights!$C$2:$AW$2)/SUM(AttWeights!$C$2:$AW$2),SUMPRODUCT($S9:$BM9,AttWeights!$C$11:$AW$11)/SUM(AttWeights!$C$11:$AW$11))*10</f>
        <v>72.786504036504041</v>
      </c>
      <c r="S9" s="3">
        <f>IF(ISBLANK('Paste Full'!AC9),"",'Paste Full'!AC9)</f>
        <v>13</v>
      </c>
      <c r="T9" s="3">
        <f>IF(ISBLANK('Paste Full'!AD9),"",'Paste Full'!AD9)</f>
        <v>12</v>
      </c>
      <c r="U9" s="3" t="str">
        <f>IF(ISBLANK('Paste Full'!AE9),"",'Paste Full'!AE9)</f>
        <v>$12</v>
      </c>
      <c r="V9" s="3">
        <f>IF(ISBLANK('Paste Full'!AF9),"",'Paste Full'!AF9)</f>
        <v>14</v>
      </c>
      <c r="W9" s="3">
        <f>IF(ISBLANK('Paste Full'!AH9),"",'Paste Full'!AH9)</f>
        <v>20</v>
      </c>
      <c r="X9" s="3">
        <f>IF(ISBLANK('Paste Full'!AI9),"",'Paste Full'!AI9)</f>
        <v>11</v>
      </c>
      <c r="Y9" s="3">
        <f>IF(ISBLANK('Paste Full'!AK9),"",'Paste Full'!AK9)</f>
        <v>14</v>
      </c>
      <c r="Z9" s="3">
        <f>IF(ISBLANK('Paste Full'!AL9),"",'Paste Full'!AL9)</f>
        <v>14</v>
      </c>
      <c r="AA9" s="4">
        <f>IF(ISBLANK('Paste Full'!AM9),"",'Paste Full'!AM9)</f>
        <v>2</v>
      </c>
      <c r="AB9" s="4">
        <f>IF(ISBLANK('Paste Full'!AN9),"",'Paste Full'!AN9)</f>
        <v>2</v>
      </c>
      <c r="AC9" s="4">
        <f>IF(ISBLANK('Paste Full'!AO9),"",'Paste Full'!AO9)</f>
        <v>3</v>
      </c>
      <c r="AD9" s="4">
        <f>IF(ISBLANK('Paste Full'!AP9),"",'Paste Full'!AP9)</f>
        <v>1</v>
      </c>
      <c r="AE9" s="4">
        <f>IF(ISBLANK('Paste Full'!AQ9),"",'Paste Full'!AQ9)</f>
        <v>2</v>
      </c>
      <c r="AF9" s="4">
        <f>IF(ISBLANK('Paste Full'!AR9),"",'Paste Full'!AR9)</f>
        <v>3</v>
      </c>
      <c r="AG9" s="4">
        <f>IF(ISBLANK('Paste Full'!AS9),"",'Paste Full'!AS9)</f>
        <v>3</v>
      </c>
      <c r="AH9" s="4">
        <f>IF(ISBLANK('Paste Full'!AV9),"",'Paste Full'!AV9)</f>
        <v>2</v>
      </c>
      <c r="AI9" s="4">
        <f>IF(ISBLANK('Paste Full'!AT9),"",'Paste Full'!AT9)</f>
        <v>4</v>
      </c>
      <c r="AJ9" s="4">
        <f>IF(ISBLANK('Paste Full'!AU9),"",'Paste Full'!AU9)</f>
        <v>1</v>
      </c>
      <c r="AK9" s="4">
        <f>IF(ISBLANK('Paste Full'!AW9),"",'Paste Full'!AW9)</f>
        <v>4</v>
      </c>
      <c r="AL9" s="5">
        <f>IF(ISBLANK('Paste Full'!AX9),"",'Paste Full'!AX9)</f>
        <v>12</v>
      </c>
      <c r="AM9" s="5">
        <f>IF(ISBLANK('Paste Full'!AY9),"",'Paste Full'!AY9)</f>
        <v>9</v>
      </c>
      <c r="AN9" s="5">
        <f>IF(ISBLANK('Paste Full'!AZ9),"",'Paste Full'!AZ9)</f>
        <v>14</v>
      </c>
      <c r="AO9" s="5">
        <f>IF(ISBLANK('Paste Full'!BA9),"",'Paste Full'!BA9)</f>
        <v>10</v>
      </c>
      <c r="AP9" s="5">
        <f>IF(ISBLANK('Paste Full'!BB9),"",'Paste Full'!BB9)</f>
        <v>10</v>
      </c>
      <c r="AQ9" s="5">
        <f>IF(ISBLANK('Paste Full'!BC9),"",'Paste Full'!BC9)</f>
        <v>10</v>
      </c>
      <c r="AR9" s="5">
        <f>IF(ISBLANK('Paste Full'!BD9),"",'Paste Full'!BD9)</f>
        <v>20</v>
      </c>
      <c r="AS9" s="5">
        <f>IF(ISBLANK('Paste Full'!BE9),"",'Paste Full'!BE9)</f>
        <v>12</v>
      </c>
      <c r="AT9" s="5">
        <f>IF(ISBLANK('Paste Full'!BF9),"",'Paste Full'!BF9)</f>
        <v>20</v>
      </c>
      <c r="AU9" s="5">
        <f>IF(ISBLANK('Paste Full'!BG9),"",'Paste Full'!BG9)</f>
        <v>10</v>
      </c>
      <c r="AV9" s="5">
        <f>IF(ISBLANK('Paste Full'!BH9),"",'Paste Full'!BH9)</f>
        <v>13</v>
      </c>
      <c r="AW9" s="5">
        <f>IF(ISBLANK('Paste Full'!BI9),"",'Paste Full'!BI9)</f>
        <v>20</v>
      </c>
      <c r="AX9" s="5">
        <f>IF(ISBLANK('Paste Full'!BJ9),"",'Paste Full'!BJ9)</f>
        <v>7</v>
      </c>
      <c r="AY9" s="5">
        <f>IF(ISBLANK('Paste Full'!BK9),"",'Paste Full'!BK9)</f>
        <v>14</v>
      </c>
      <c r="AZ9" s="6">
        <f>IF(ISBLANK('Paste Full'!BM9),"",'Paste Full'!BM9)</f>
        <v>9</v>
      </c>
      <c r="BA9" s="6">
        <f>IF(ISBLANK('Paste Full'!BN9),"",'Paste Full'!BN9)</f>
        <v>11</v>
      </c>
      <c r="BB9" s="6">
        <f>IF(ISBLANK('Paste Full'!BO9),"",'Paste Full'!BO9)</f>
        <v>4</v>
      </c>
      <c r="BC9" s="6">
        <f>IF(ISBLANK('Paste Full'!BP9),"",'Paste Full'!BP9)</f>
        <v>8</v>
      </c>
      <c r="BD9" s="6">
        <f>IF(ISBLANK('Paste Full'!BR9),"",'Paste Full'!BR9)</f>
        <v>12</v>
      </c>
      <c r="BE9" s="6">
        <f>IF(ISBLANK('Paste Full'!BS9),"",'Paste Full'!BS9)</f>
        <v>4</v>
      </c>
      <c r="BF9" s="6">
        <f>IF(ISBLANK('Paste Full'!BU9),"",'Paste Full'!BU9)</f>
        <v>11</v>
      </c>
      <c r="BG9" s="6">
        <f>IF(ISBLANK('Paste Full'!BV9),"",'Paste Full'!BV9)</f>
        <v>9</v>
      </c>
      <c r="BH9" s="6">
        <f>IF(ISBLANK('Paste Full'!BX9),"",'Paste Full'!BX9)</f>
        <v>12</v>
      </c>
      <c r="BI9" s="6">
        <f>IF(ISBLANK('Paste Full'!BY9),"",'Paste Full'!BY9)</f>
        <v>9</v>
      </c>
      <c r="BJ9" s="13">
        <f>IF(ISBLANK('Paste Full'!BL9),"",'Paste Full'!BL9)</f>
        <v>4</v>
      </c>
      <c r="BK9" s="13">
        <f>IF(ISBLANK('Paste Full'!BQ9),"",'Paste Full'!BQ9)</f>
        <v>3</v>
      </c>
      <c r="BL9" s="13">
        <f>IF(ISBLANK('Paste Full'!BT9),"",'Paste Full'!BT9)</f>
        <v>10</v>
      </c>
      <c r="BM9" s="13">
        <f>IF(ISBLANK('Paste Full'!BW9),"",'Paste Full'!BW9)</f>
        <v>4</v>
      </c>
      <c r="BN9" s="41">
        <f>IF(ISBLANK('Paste Full'!BZ9),"",'Paste Full'!BZ9)</f>
        <v>1</v>
      </c>
      <c r="BO9" s="41">
        <f>IF(ISBLANK('Paste Full'!CA9),"",'Paste Full'!CA9)</f>
        <v>20</v>
      </c>
      <c r="BP9" s="41">
        <f>IF(ISBLANK('Paste Full'!CB9),"",'Paste Full'!CB9)</f>
        <v>20</v>
      </c>
      <c r="BQ9" s="41">
        <f>IF(ISBLANK('Paste Full'!CC9),"",'Paste Full'!CC9)</f>
        <v>20</v>
      </c>
      <c r="BR9" s="41">
        <f>IF(ISBLANK('Paste Full'!CD9),"",'Paste Full'!CD9)</f>
        <v>1</v>
      </c>
      <c r="BS9" s="41">
        <f>IF(ISBLANK('Paste Full'!CE9),"",'Paste Full'!CE9)</f>
        <v>1</v>
      </c>
      <c r="BT9" s="41">
        <f>IF(ISBLANK('Paste Full'!CF9),"",'Paste Full'!CF9)</f>
        <v>1</v>
      </c>
      <c r="BU9" s="41">
        <f>IF(ISBLANK('Paste Full'!CG9),"",'Paste Full'!CG9)</f>
        <v>1</v>
      </c>
      <c r="BV9" s="41">
        <f>IF(ISBLANK('Paste Full'!CH9),"",'Paste Full'!CH9)</f>
        <v>1</v>
      </c>
    </row>
    <row r="10" spans="1:74" x14ac:dyDescent="0.3">
      <c r="A10" t="str">
        <f>IF(ISBLANK('Paste Full'!C10),"",'Paste Full'!C10)</f>
        <v>Elia Favicchio</v>
      </c>
      <c r="B10" t="str">
        <f t="shared" si="0"/>
        <v>AM(L)</v>
      </c>
      <c r="C10" s="2">
        <f>IF(ISBLANK('Paste Full'!H10),"",'Paste Full'!H10)</f>
        <v>21</v>
      </c>
      <c r="D10" s="2">
        <f>IF(ISBLANK('Paste Full'!F10),"",'Paste Full'!F10)</f>
        <v>96</v>
      </c>
      <c r="E10" s="2">
        <f>IF(ISBLANK('Paste Full'!G10),"",'Paste Full'!G10)</f>
        <v>114</v>
      </c>
      <c r="F10" s="21" t="str">
        <f>IF(ISBLANK('Paste Full'!E10),"",'Paste Full'!E10)</f>
        <v>Italy</v>
      </c>
      <c r="G10" t="str">
        <f>IF(ISBLANK('Paste Full'!CI10),"",'Paste Full'!CI10)</f>
        <v/>
      </c>
      <c r="H10" s="21" t="str">
        <f>IF(ISBLANK('Paste Full'!J10),"",'Paste Full'!J10)</f>
        <v>$480,758</v>
      </c>
      <c r="I10" s="21" t="str">
        <f>IF(ISBLANK('Paste Full'!D10),"",'Paste Full'!D10)</f>
        <v>M/AM LC</v>
      </c>
      <c r="J10" s="14">
        <f>AVERAGE(SUMPRODUCT($S10:$BM10,AttWeights!$C$10:$AW$10)/SUM(AttWeights!$C$10:$AW$10),SUMPRODUCT($S10:$BM10,AttWeights!$C$17:$AW$17)/SUM(AttWeights!$C$17:$AW$17))*10</f>
        <v>86.046411688869782</v>
      </c>
      <c r="K10" s="14">
        <f>AVERAGE(SUMPRODUCT($S10:$BM10,AttWeights!$C$7:$AW$7)/SUM(AttWeights!$C$7:$AW$7),SUMPRODUCT($S10:$BM10,AttWeights!$C$15:$AW$15)/SUM(AttWeights!$C$15:$AW$15))*10</f>
        <v>87.029445472978921</v>
      </c>
      <c r="L10" s="14">
        <f>AVERAGE(SUMPRODUCT($S10:$BM10,AttWeights!$C$8:$AW$8)/SUM(AttWeights!$C$8:$AW$8),SUMPRODUCT($S10:$BM10,AttWeights!$C$16:$AW$16)/SUM(AttWeights!$C$16:$AW$16))*10</f>
        <v>87.016561268184773</v>
      </c>
      <c r="M10" s="14">
        <f>AVERAGE(SUMPRODUCT($S10:$BM10,AttWeights!$C$9:$AW$9)/SUM(AttWeights!$C$9:$AW$9),SUMPRODUCT($S10:$BM10,AttWeights!$C$15:$AW$15)/SUM(AttWeights!$C$15:$AW$15))*10</f>
        <v>86.341475235048947</v>
      </c>
      <c r="N10" s="14">
        <f>AVERAGE(SUMPRODUCT($S10:$BM10,AttWeights!$C$6:$AW$6)/SUM(AttWeights!$C$6:$AW$6),SUMPRODUCT($S10:$BM10,AttWeights!$C$14:$AW$14)/SUM(AttWeights!$C$14:$AW$14))*10</f>
        <v>83.639191081430425</v>
      </c>
      <c r="O10" s="14">
        <f>AVERAGE(SUMPRODUCT($S10:$BM10,AttWeights!$C$5:$AW$5)/SUM(AttWeights!$C$5:$AW$5),SUMPRODUCT($S10:$BM10,AttWeights!$C$14:$AW$14)/SUM(AttWeights!$C$14:$AW$14))*10</f>
        <v>82.067021656354129</v>
      </c>
      <c r="P10" s="14">
        <f>AVERAGE(SUMPRODUCT($S10:$BM10,AttWeights!$C$4:$AW$4)/SUM(AttWeights!$C$4:$AW$4),SUMPRODUCT($S10:$BM10,AttWeights!$C$13:$AW$13)/SUM(AttWeights!$C$13:$AW$13))*10</f>
        <v>82.393543956043942</v>
      </c>
      <c r="Q10" s="14">
        <f>AVERAGE(SUMPRODUCT($S10:$BM10,AttWeights!$C$3:$AW$3)/SUM(AttWeights!$C$3:$AW$3),SUMPRODUCT($S10:$BM10,AttWeights!$C$12:$AW$12)/SUM(AttWeights!$C$12:$AW$12))*10</f>
        <v>81.822903629536924</v>
      </c>
      <c r="R10" s="14">
        <f>AVERAGE(SUMPRODUCT($S10:$BM10,AttWeights!$C$2:$AW$2)/SUM(AttWeights!$C$2:$AW$2),SUMPRODUCT($S10:$BM10,AttWeights!$C$11:$AW$11)/SUM(AttWeights!$C$11:$AW$11))*10</f>
        <v>54.185679185679177</v>
      </c>
      <c r="S10" s="3">
        <f>IF(ISBLANK('Paste Full'!AC10),"",'Paste Full'!AC10)</f>
        <v>14</v>
      </c>
      <c r="T10" s="3">
        <f>IF(ISBLANK('Paste Full'!AD10),"",'Paste Full'!AD10)</f>
        <v>12</v>
      </c>
      <c r="U10" s="3" t="str">
        <f>IF(ISBLANK('Paste Full'!AE10),"",'Paste Full'!AE10)</f>
        <v>$6</v>
      </c>
      <c r="V10" s="3">
        <f>IF(ISBLANK('Paste Full'!AF10),"",'Paste Full'!AF10)</f>
        <v>13</v>
      </c>
      <c r="W10" s="3">
        <f>IF(ISBLANK('Paste Full'!AH10),"",'Paste Full'!AH10)</f>
        <v>12</v>
      </c>
      <c r="X10" s="3">
        <f>IF(ISBLANK('Paste Full'!AI10),"",'Paste Full'!AI10)</f>
        <v>16</v>
      </c>
      <c r="Y10" s="3">
        <f>IF(ISBLANK('Paste Full'!AK10),"",'Paste Full'!AK10)</f>
        <v>9</v>
      </c>
      <c r="Z10" s="3">
        <f>IF(ISBLANK('Paste Full'!AL10),"",'Paste Full'!AL10)</f>
        <v>7</v>
      </c>
      <c r="AA10" s="4">
        <f>IF(ISBLANK('Paste Full'!AM10),"",'Paste Full'!AM10)</f>
        <v>1</v>
      </c>
      <c r="AB10" s="4">
        <f>IF(ISBLANK('Paste Full'!AN10),"",'Paste Full'!AN10)</f>
        <v>1</v>
      </c>
      <c r="AC10" s="4">
        <f>IF(ISBLANK('Paste Full'!AO10),"",'Paste Full'!AO10)</f>
        <v>1</v>
      </c>
      <c r="AD10" s="4">
        <f>IF(ISBLANK('Paste Full'!AP10),"",'Paste Full'!AP10)</f>
        <v>3</v>
      </c>
      <c r="AE10" s="4">
        <f>IF(ISBLANK('Paste Full'!AQ10),"",'Paste Full'!AQ10)</f>
        <v>1</v>
      </c>
      <c r="AF10" s="4">
        <f>IF(ISBLANK('Paste Full'!AR10),"",'Paste Full'!AR10)</f>
        <v>1</v>
      </c>
      <c r="AG10" s="4">
        <f>IF(ISBLANK('Paste Full'!AS10),"",'Paste Full'!AS10)</f>
        <v>4</v>
      </c>
      <c r="AH10" s="4">
        <f>IF(ISBLANK('Paste Full'!AV10),"",'Paste Full'!AV10)</f>
        <v>3</v>
      </c>
      <c r="AI10" s="4">
        <f>IF(ISBLANK('Paste Full'!AT10),"",'Paste Full'!AT10)</f>
        <v>1</v>
      </c>
      <c r="AJ10" s="4">
        <f>IF(ISBLANK('Paste Full'!AU10),"",'Paste Full'!AU10)</f>
        <v>2</v>
      </c>
      <c r="AK10" s="4">
        <f>IF(ISBLANK('Paste Full'!AW10),"",'Paste Full'!AW10)</f>
        <v>3</v>
      </c>
      <c r="AL10" s="5">
        <f>IF(ISBLANK('Paste Full'!AX10),"",'Paste Full'!AX10)</f>
        <v>10</v>
      </c>
      <c r="AM10" s="5">
        <f>IF(ISBLANK('Paste Full'!AY10),"",'Paste Full'!AY10)</f>
        <v>10</v>
      </c>
      <c r="AN10" s="5">
        <f>IF(ISBLANK('Paste Full'!AZ10),"",'Paste Full'!AZ10)</f>
        <v>6</v>
      </c>
      <c r="AO10" s="5">
        <f>IF(ISBLANK('Paste Full'!BA10),"",'Paste Full'!BA10)</f>
        <v>8</v>
      </c>
      <c r="AP10" s="5">
        <f>IF(ISBLANK('Paste Full'!BB10),"",'Paste Full'!BB10)</f>
        <v>9</v>
      </c>
      <c r="AQ10" s="5">
        <f>IF(ISBLANK('Paste Full'!BC10),"",'Paste Full'!BC10)</f>
        <v>9</v>
      </c>
      <c r="AR10" s="5">
        <f>IF(ISBLANK('Paste Full'!BD10),"",'Paste Full'!BD10)</f>
        <v>16</v>
      </c>
      <c r="AS10" s="5">
        <f>IF(ISBLANK('Paste Full'!BE10),"",'Paste Full'!BE10)</f>
        <v>10</v>
      </c>
      <c r="AT10" s="5">
        <f>IF(ISBLANK('Paste Full'!BF10),"",'Paste Full'!BF10)</f>
        <v>8</v>
      </c>
      <c r="AU10" s="5">
        <f>IF(ISBLANK('Paste Full'!BG10),"",'Paste Full'!BG10)</f>
        <v>10</v>
      </c>
      <c r="AV10" s="5">
        <f>IF(ISBLANK('Paste Full'!BH10),"",'Paste Full'!BH10)</f>
        <v>6</v>
      </c>
      <c r="AW10" s="5">
        <f>IF(ISBLANK('Paste Full'!BI10),"",'Paste Full'!BI10)</f>
        <v>8</v>
      </c>
      <c r="AX10" s="5">
        <f>IF(ISBLANK('Paste Full'!BJ10),"",'Paste Full'!BJ10)</f>
        <v>12</v>
      </c>
      <c r="AY10" s="5">
        <f>IF(ISBLANK('Paste Full'!BK10),"",'Paste Full'!BK10)</f>
        <v>9</v>
      </c>
      <c r="AZ10" s="6">
        <f>IF(ISBLANK('Paste Full'!BM10),"",'Paste Full'!BM10)</f>
        <v>8</v>
      </c>
      <c r="BA10" s="6">
        <f>IF(ISBLANK('Paste Full'!BN10),"",'Paste Full'!BN10)</f>
        <v>9</v>
      </c>
      <c r="BB10" s="6">
        <f>IF(ISBLANK('Paste Full'!BO10),"",'Paste Full'!BO10)</f>
        <v>13</v>
      </c>
      <c r="BC10" s="6">
        <f>IF(ISBLANK('Paste Full'!BP10),"",'Paste Full'!BP10)</f>
        <v>11</v>
      </c>
      <c r="BD10" s="6">
        <f>IF(ISBLANK('Paste Full'!BR10),"",'Paste Full'!BR10)</f>
        <v>6</v>
      </c>
      <c r="BE10" s="6">
        <f>IF(ISBLANK('Paste Full'!BS10),"",'Paste Full'!BS10)</f>
        <v>8</v>
      </c>
      <c r="BF10" s="6">
        <f>IF(ISBLANK('Paste Full'!BU10),"",'Paste Full'!BU10)</f>
        <v>7</v>
      </c>
      <c r="BG10" s="6">
        <f>IF(ISBLANK('Paste Full'!BV10),"",'Paste Full'!BV10)</f>
        <v>10</v>
      </c>
      <c r="BH10" s="6">
        <f>IF(ISBLANK('Paste Full'!BX10),"",'Paste Full'!BX10)</f>
        <v>4</v>
      </c>
      <c r="BI10" s="6">
        <f>IF(ISBLANK('Paste Full'!BY10),"",'Paste Full'!BY10)</f>
        <v>10</v>
      </c>
      <c r="BJ10" s="13">
        <f>IF(ISBLANK('Paste Full'!BL10),"",'Paste Full'!BL10)</f>
        <v>4</v>
      </c>
      <c r="BK10" s="13">
        <f>IF(ISBLANK('Paste Full'!BQ10),"",'Paste Full'!BQ10)</f>
        <v>4</v>
      </c>
      <c r="BL10" s="13">
        <f>IF(ISBLANK('Paste Full'!BT10),"",'Paste Full'!BT10)</f>
        <v>4</v>
      </c>
      <c r="BM10" s="13">
        <f>IF(ISBLANK('Paste Full'!BW10),"",'Paste Full'!BW10)</f>
        <v>4</v>
      </c>
      <c r="BN10" s="41">
        <f>IF(ISBLANK('Paste Full'!BZ10),"",'Paste Full'!BZ10)</f>
        <v>1</v>
      </c>
      <c r="BO10" s="41">
        <f>IF(ISBLANK('Paste Full'!CA10),"",'Paste Full'!CA10)</f>
        <v>1</v>
      </c>
      <c r="BP10" s="41">
        <f>IF(ISBLANK('Paste Full'!CB10),"",'Paste Full'!CB10)</f>
        <v>1</v>
      </c>
      <c r="BQ10" s="41">
        <f>IF(ISBLANK('Paste Full'!CC10),"",'Paste Full'!CC10)</f>
        <v>1</v>
      </c>
      <c r="BR10" s="41">
        <f>IF(ISBLANK('Paste Full'!CD10),"",'Paste Full'!CD10)</f>
        <v>1</v>
      </c>
      <c r="BS10" s="41">
        <f>IF(ISBLANK('Paste Full'!CE10),"",'Paste Full'!CE10)</f>
        <v>1</v>
      </c>
      <c r="BT10" s="41">
        <f>IF(ISBLANK('Paste Full'!CF10),"",'Paste Full'!CF10)</f>
        <v>20</v>
      </c>
      <c r="BU10" s="41">
        <f>IF(ISBLANK('Paste Full'!CG10),"",'Paste Full'!CG10)</f>
        <v>18</v>
      </c>
      <c r="BV10" s="41">
        <f>IF(ISBLANK('Paste Full'!CH10),"",'Paste Full'!CH10)</f>
        <v>1</v>
      </c>
    </row>
    <row r="11" spans="1:74" x14ac:dyDescent="0.3">
      <c r="A11" t="str">
        <f>IF(ISBLANK('Paste Full'!C11),"",'Paste Full'!C11)</f>
        <v>Ernie Weaver</v>
      </c>
      <c r="B11" t="str">
        <f t="shared" si="0"/>
        <v>D(C)</v>
      </c>
      <c r="C11" s="2">
        <f>IF(ISBLANK('Paste Full'!H11),"",'Paste Full'!H11)</f>
        <v>23</v>
      </c>
      <c r="D11" s="2">
        <f>IF(ISBLANK('Paste Full'!F11),"",'Paste Full'!F11)</f>
        <v>111</v>
      </c>
      <c r="E11" s="2">
        <f>IF(ISBLANK('Paste Full'!G11),"",'Paste Full'!G11)</f>
        <v>131</v>
      </c>
      <c r="F11" s="21" t="str">
        <f>IF(ISBLANK('Paste Full'!E11),"",'Paste Full'!E11)</f>
        <v>England</v>
      </c>
      <c r="G11" t="str">
        <f>IF(ISBLANK('Paste Full'!CI11),"",'Paste Full'!CI11)</f>
        <v>Brixham</v>
      </c>
      <c r="H11" s="21" t="str">
        <f>IF(ISBLANK('Paste Full'!J11),"",'Paste Full'!J11)</f>
        <v>$2,327,103</v>
      </c>
      <c r="I11" s="21" t="str">
        <f>IF(ISBLANK('Paste Full'!D11),"",'Paste Full'!D11)</f>
        <v>D C</v>
      </c>
      <c r="J11" s="14">
        <f>AVERAGE(SUMPRODUCT($S11:$BM11,AttWeights!$C$10:$AW$10)/SUM(AttWeights!$C$10:$AW$10),SUMPRODUCT($S11:$BM11,AttWeights!$C$17:$AW$17)/SUM(AttWeights!$C$17:$AW$17))*10</f>
        <v>92.36284199971351</v>
      </c>
      <c r="K11" s="14">
        <f>AVERAGE(SUMPRODUCT($S11:$BM11,AttWeights!$C$7:$AW$7)/SUM(AttWeights!$C$7:$AW$7),SUMPRODUCT($S11:$BM11,AttWeights!$C$15:$AW$15)/SUM(AttWeights!$C$15:$AW$15))*10</f>
        <v>93.010520438449561</v>
      </c>
      <c r="L11" s="14">
        <f>AVERAGE(SUMPRODUCT($S11:$BM11,AttWeights!$C$8:$AW$8)/SUM(AttWeights!$C$8:$AW$8),SUMPRODUCT($S11:$BM11,AttWeights!$C$16:$AW$16)/SUM(AttWeights!$C$16:$AW$16))*10</f>
        <v>94.304511811246925</v>
      </c>
      <c r="M11" s="14">
        <f>AVERAGE(SUMPRODUCT($S11:$BM11,AttWeights!$C$9:$AW$9)/SUM(AttWeights!$C$9:$AW$9),SUMPRODUCT($S11:$BM11,AttWeights!$C$15:$AW$15)/SUM(AttWeights!$C$15:$AW$15))*10</f>
        <v>93.184872863558539</v>
      </c>
      <c r="N11" s="14">
        <f>AVERAGE(SUMPRODUCT($S11:$BM11,AttWeights!$C$6:$AW$6)/SUM(AttWeights!$C$6:$AW$6),SUMPRODUCT($S11:$BM11,AttWeights!$C$14:$AW$14)/SUM(AttWeights!$C$14:$AW$14))*10</f>
        <v>98.705972641102989</v>
      </c>
      <c r="O11" s="14">
        <f>AVERAGE(SUMPRODUCT($S11:$BM11,AttWeights!$C$5:$AW$5)/SUM(AttWeights!$C$5:$AW$5),SUMPRODUCT($S11:$BM11,AttWeights!$C$14:$AW$14)/SUM(AttWeights!$C$14:$AW$14))*10</f>
        <v>101.03655997144216</v>
      </c>
      <c r="P11" s="14">
        <f>AVERAGE(SUMPRODUCT($S11:$BM11,AttWeights!$C$4:$AW$4)/SUM(AttWeights!$C$4:$AW$4),SUMPRODUCT($S11:$BM11,AttWeights!$C$13:$AW$13)/SUM(AttWeights!$C$13:$AW$13))*10</f>
        <v>104.41277472527473</v>
      </c>
      <c r="Q11" s="14">
        <f>AVERAGE(SUMPRODUCT($S11:$BM11,AttWeights!$C$3:$AW$3)/SUM(AttWeights!$C$3:$AW$3),SUMPRODUCT($S11:$BM11,AttWeights!$C$12:$AW$12)/SUM(AttWeights!$C$12:$AW$12))*10</f>
        <v>100.37453066332915</v>
      </c>
      <c r="R11" s="14">
        <f>AVERAGE(SUMPRODUCT($S11:$BM11,AttWeights!$C$2:$AW$2)/SUM(AttWeights!$C$2:$AW$2),SUMPRODUCT($S11:$BM11,AttWeights!$C$11:$AW$11)/SUM(AttWeights!$C$11:$AW$11))*10</f>
        <v>67.895752895752892</v>
      </c>
      <c r="S11" s="3">
        <f>IF(ISBLANK('Paste Full'!AC11),"",'Paste Full'!AC11)</f>
        <v>11</v>
      </c>
      <c r="T11" s="3">
        <f>IF(ISBLANK('Paste Full'!AD11),"",'Paste Full'!AD11)</f>
        <v>11</v>
      </c>
      <c r="U11" s="3" t="str">
        <f>IF(ISBLANK('Paste Full'!AE11),"",'Paste Full'!AE11)</f>
        <v>$10</v>
      </c>
      <c r="V11" s="3">
        <f>IF(ISBLANK('Paste Full'!AF11),"",'Paste Full'!AF11)</f>
        <v>13</v>
      </c>
      <c r="W11" s="3">
        <f>IF(ISBLANK('Paste Full'!AH11),"",'Paste Full'!AH11)</f>
        <v>12</v>
      </c>
      <c r="X11" s="3">
        <f>IF(ISBLANK('Paste Full'!AI11),"",'Paste Full'!AI11)</f>
        <v>13</v>
      </c>
      <c r="Y11" s="3">
        <f>IF(ISBLANK('Paste Full'!AK11),"",'Paste Full'!AK11)</f>
        <v>12</v>
      </c>
      <c r="Z11" s="3">
        <f>IF(ISBLANK('Paste Full'!AL11),"",'Paste Full'!AL11)</f>
        <v>12</v>
      </c>
      <c r="AA11" s="4">
        <f>IF(ISBLANK('Paste Full'!AM11),"",'Paste Full'!AM11)</f>
        <v>3</v>
      </c>
      <c r="AB11" s="4">
        <f>IF(ISBLANK('Paste Full'!AN11),"",'Paste Full'!AN11)</f>
        <v>2</v>
      </c>
      <c r="AC11" s="4">
        <f>IF(ISBLANK('Paste Full'!AO11),"",'Paste Full'!AO11)</f>
        <v>1</v>
      </c>
      <c r="AD11" s="4">
        <f>IF(ISBLANK('Paste Full'!AP11),"",'Paste Full'!AP11)</f>
        <v>4</v>
      </c>
      <c r="AE11" s="4">
        <f>IF(ISBLANK('Paste Full'!AQ11),"",'Paste Full'!AQ11)</f>
        <v>2</v>
      </c>
      <c r="AF11" s="4">
        <f>IF(ISBLANK('Paste Full'!AR11),"",'Paste Full'!AR11)</f>
        <v>2</v>
      </c>
      <c r="AG11" s="4">
        <f>IF(ISBLANK('Paste Full'!AS11),"",'Paste Full'!AS11)</f>
        <v>3</v>
      </c>
      <c r="AH11" s="4">
        <f>IF(ISBLANK('Paste Full'!AV11),"",'Paste Full'!AV11)</f>
        <v>1</v>
      </c>
      <c r="AI11" s="4">
        <f>IF(ISBLANK('Paste Full'!AT11),"",'Paste Full'!AT11)</f>
        <v>2</v>
      </c>
      <c r="AJ11" s="4">
        <f>IF(ISBLANK('Paste Full'!AU11),"",'Paste Full'!AU11)</f>
        <v>2</v>
      </c>
      <c r="AK11" s="4">
        <f>IF(ISBLANK('Paste Full'!AW11),"",'Paste Full'!AW11)</f>
        <v>3</v>
      </c>
      <c r="AL11" s="5">
        <f>IF(ISBLANK('Paste Full'!AX11),"",'Paste Full'!AX11)</f>
        <v>15</v>
      </c>
      <c r="AM11" s="5">
        <f>IF(ISBLANK('Paste Full'!AY11),"",'Paste Full'!AY11)</f>
        <v>13</v>
      </c>
      <c r="AN11" s="5">
        <f>IF(ISBLANK('Paste Full'!AZ11),"",'Paste Full'!AZ11)</f>
        <v>12</v>
      </c>
      <c r="AO11" s="5">
        <f>IF(ISBLANK('Paste Full'!BA11),"",'Paste Full'!BA11)</f>
        <v>13</v>
      </c>
      <c r="AP11" s="5">
        <f>IF(ISBLANK('Paste Full'!BB11),"",'Paste Full'!BB11)</f>
        <v>11</v>
      </c>
      <c r="AQ11" s="5">
        <f>IF(ISBLANK('Paste Full'!BC11),"",'Paste Full'!BC11)</f>
        <v>15</v>
      </c>
      <c r="AR11" s="5">
        <f>IF(ISBLANK('Paste Full'!BD11),"",'Paste Full'!BD11)</f>
        <v>12</v>
      </c>
      <c r="AS11" s="5">
        <f>IF(ISBLANK('Paste Full'!BE11),"",'Paste Full'!BE11)</f>
        <v>6</v>
      </c>
      <c r="AT11" s="5">
        <f>IF(ISBLANK('Paste Full'!BF11),"",'Paste Full'!BF11)</f>
        <v>13</v>
      </c>
      <c r="AU11" s="5">
        <f>IF(ISBLANK('Paste Full'!BG11),"",'Paste Full'!BG11)</f>
        <v>10</v>
      </c>
      <c r="AV11" s="5">
        <f>IF(ISBLANK('Paste Full'!BH11),"",'Paste Full'!BH11)</f>
        <v>12</v>
      </c>
      <c r="AW11" s="5">
        <f>IF(ISBLANK('Paste Full'!BI11),"",'Paste Full'!BI11)</f>
        <v>12</v>
      </c>
      <c r="AX11" s="5">
        <f>IF(ISBLANK('Paste Full'!BJ11),"",'Paste Full'!BJ11)</f>
        <v>9</v>
      </c>
      <c r="AY11" s="5">
        <f>IF(ISBLANK('Paste Full'!BK11),"",'Paste Full'!BK11)</f>
        <v>10</v>
      </c>
      <c r="AZ11" s="6">
        <f>IF(ISBLANK('Paste Full'!BM11),"",'Paste Full'!BM11)</f>
        <v>5</v>
      </c>
      <c r="BA11" s="6">
        <f>IF(ISBLANK('Paste Full'!BN11),"",'Paste Full'!BN11)</f>
        <v>5</v>
      </c>
      <c r="BB11" s="6">
        <f>IF(ISBLANK('Paste Full'!BO11),"",'Paste Full'!BO11)</f>
        <v>5</v>
      </c>
      <c r="BC11" s="6">
        <f>IF(ISBLANK('Paste Full'!BP11),"",'Paste Full'!BP11)</f>
        <v>10</v>
      </c>
      <c r="BD11" s="6">
        <f>IF(ISBLANK('Paste Full'!BR11),"",'Paste Full'!BR11)</f>
        <v>11</v>
      </c>
      <c r="BE11" s="6">
        <f>IF(ISBLANK('Paste Full'!BS11),"",'Paste Full'!BS11)</f>
        <v>5</v>
      </c>
      <c r="BF11" s="6">
        <f>IF(ISBLANK('Paste Full'!BU11),"",'Paste Full'!BU11)</f>
        <v>12</v>
      </c>
      <c r="BG11" s="6">
        <f>IF(ISBLANK('Paste Full'!BV11),"",'Paste Full'!BV11)</f>
        <v>12</v>
      </c>
      <c r="BH11" s="6">
        <f>IF(ISBLANK('Paste Full'!BX11),"",'Paste Full'!BX11)</f>
        <v>12</v>
      </c>
      <c r="BI11" s="6">
        <f>IF(ISBLANK('Paste Full'!BY11),"",'Paste Full'!BY11)</f>
        <v>5</v>
      </c>
      <c r="BJ11" s="13">
        <f>IF(ISBLANK('Paste Full'!BL11),"",'Paste Full'!BL11)</f>
        <v>4</v>
      </c>
      <c r="BK11" s="13">
        <f>IF(ISBLANK('Paste Full'!BQ11),"",'Paste Full'!BQ11)</f>
        <v>3</v>
      </c>
      <c r="BL11" s="13">
        <f>IF(ISBLANK('Paste Full'!BT11),"",'Paste Full'!BT11)</f>
        <v>4</v>
      </c>
      <c r="BM11" s="13">
        <f>IF(ISBLANK('Paste Full'!BW11),"",'Paste Full'!BW11)</f>
        <v>1</v>
      </c>
      <c r="BN11" s="41">
        <f>IF(ISBLANK('Paste Full'!BZ11),"",'Paste Full'!BZ11)</f>
        <v>1</v>
      </c>
      <c r="BO11" s="41">
        <f>IF(ISBLANK('Paste Full'!CA11),"",'Paste Full'!CA11)</f>
        <v>1</v>
      </c>
      <c r="BP11" s="41">
        <f>IF(ISBLANK('Paste Full'!CB11),"",'Paste Full'!CB11)</f>
        <v>20</v>
      </c>
      <c r="BQ11" s="41">
        <f>IF(ISBLANK('Paste Full'!CC11),"",'Paste Full'!CC11)</f>
        <v>1</v>
      </c>
      <c r="BR11" s="41">
        <f>IF(ISBLANK('Paste Full'!CD11),"",'Paste Full'!CD11)</f>
        <v>1</v>
      </c>
      <c r="BS11" s="41">
        <f>IF(ISBLANK('Paste Full'!CE11),"",'Paste Full'!CE11)</f>
        <v>1</v>
      </c>
      <c r="BT11" s="41">
        <f>IF(ISBLANK('Paste Full'!CF11),"",'Paste Full'!CF11)</f>
        <v>1</v>
      </c>
      <c r="BU11" s="41">
        <f>IF(ISBLANK('Paste Full'!CG11),"",'Paste Full'!CG11)</f>
        <v>1</v>
      </c>
      <c r="BV11" s="41">
        <f>IF(ISBLANK('Paste Full'!CH11),"",'Paste Full'!CH11)</f>
        <v>1</v>
      </c>
    </row>
    <row r="12" spans="1:74" x14ac:dyDescent="0.3">
      <c r="A12" t="str">
        <f>IF(ISBLANK('Paste Full'!C12),"",'Paste Full'!C12)</f>
        <v>Gastón Ramírez</v>
      </c>
      <c r="B12" t="str">
        <f t="shared" si="0"/>
        <v>Striker</v>
      </c>
      <c r="C12" s="2">
        <f>IF(ISBLANK('Paste Full'!H12),"",'Paste Full'!H12)</f>
        <v>18</v>
      </c>
      <c r="D12" s="2">
        <f>IF(ISBLANK('Paste Full'!F12),"",'Paste Full'!F12)</f>
        <v>103</v>
      </c>
      <c r="E12" s="2">
        <f>IF(ISBLANK('Paste Full'!G12),"",'Paste Full'!G12)</f>
        <v>140</v>
      </c>
      <c r="F12" s="21" t="str">
        <f>IF(ISBLANK('Paste Full'!E12),"",'Paste Full'!E12)</f>
        <v>Argentina,England</v>
      </c>
      <c r="G12" t="str">
        <f>IF(ISBLANK('Paste Full'!CI12),"",'Paste Full'!CI12)</f>
        <v/>
      </c>
      <c r="H12" s="21" t="str">
        <f>IF(ISBLANK('Paste Full'!J12),"",'Paste Full'!J12)</f>
        <v>$472,856</v>
      </c>
      <c r="I12" s="21" t="str">
        <f>IF(ISBLANK('Paste Full'!D12),"",'Paste Full'!D12)</f>
        <v>AM/ST L</v>
      </c>
      <c r="J12" s="14">
        <f>AVERAGE(SUMPRODUCT($S12:$BM12,AttWeights!$C$10:$AW$10)/SUM(AttWeights!$C$10:$AW$10),SUMPRODUCT($S12:$BM12,AttWeights!$C$17:$AW$17)/SUM(AttWeights!$C$17:$AW$17))*10</f>
        <v>88.464403380604494</v>
      </c>
      <c r="K12" s="14">
        <f>AVERAGE(SUMPRODUCT($S12:$BM12,AttWeights!$C$7:$AW$7)/SUM(AttWeights!$C$7:$AW$7),SUMPRODUCT($S12:$BM12,AttWeights!$C$15:$AW$15)/SUM(AttWeights!$C$15:$AW$15))*10</f>
        <v>87.011078785741574</v>
      </c>
      <c r="L12" s="14">
        <f>AVERAGE(SUMPRODUCT($S12:$BM12,AttWeights!$C$8:$AW$8)/SUM(AttWeights!$C$8:$AW$8),SUMPRODUCT($S12:$BM12,AttWeights!$C$16:$AW$16)/SUM(AttWeights!$C$16:$AW$16))*10</f>
        <v>86.820463375209158</v>
      </c>
      <c r="M12" s="14">
        <f>AVERAGE(SUMPRODUCT($S12:$BM12,AttWeights!$C$9:$AW$9)/SUM(AttWeights!$C$9:$AW$9),SUMPRODUCT($S12:$BM12,AttWeights!$C$15:$AW$15)/SUM(AttWeights!$C$15:$AW$15))*10</f>
        <v>86.119188394559131</v>
      </c>
      <c r="N12" s="14">
        <f>AVERAGE(SUMPRODUCT($S12:$BM12,AttWeights!$C$6:$AW$6)/SUM(AttWeights!$C$6:$AW$6),SUMPRODUCT($S12:$BM12,AttWeights!$C$14:$AW$14)/SUM(AttWeights!$C$14:$AW$14))*10</f>
        <v>79.73691296854804</v>
      </c>
      <c r="O12" s="14">
        <f>AVERAGE(SUMPRODUCT($S12:$BM12,AttWeights!$C$5:$AW$5)/SUM(AttWeights!$C$5:$AW$5),SUMPRODUCT($S12:$BM12,AttWeights!$C$14:$AW$14)/SUM(AttWeights!$C$14:$AW$14))*10</f>
        <v>76.562053783912418</v>
      </c>
      <c r="P12" s="14">
        <f>AVERAGE(SUMPRODUCT($S12:$BM12,AttWeights!$C$4:$AW$4)/SUM(AttWeights!$C$4:$AW$4),SUMPRODUCT($S12:$BM12,AttWeights!$C$13:$AW$13)/SUM(AttWeights!$C$13:$AW$13))*10</f>
        <v>80.439560439560438</v>
      </c>
      <c r="Q12" s="14">
        <f>AVERAGE(SUMPRODUCT($S12:$BM12,AttWeights!$C$3:$AW$3)/SUM(AttWeights!$C$3:$AW$3),SUMPRODUCT($S12:$BM12,AttWeights!$C$12:$AW$12)/SUM(AttWeights!$C$12:$AW$12))*10</f>
        <v>76.075093867334175</v>
      </c>
      <c r="R12" s="14">
        <f>AVERAGE(SUMPRODUCT($S12:$BM12,AttWeights!$C$2:$AW$2)/SUM(AttWeights!$C$2:$AW$2),SUMPRODUCT($S12:$BM12,AttWeights!$C$11:$AW$11)/SUM(AttWeights!$C$11:$AW$11))*10</f>
        <v>52.065637065637063</v>
      </c>
      <c r="S12" s="3">
        <f>IF(ISBLANK('Paste Full'!AC12),"",'Paste Full'!AC12)</f>
        <v>16</v>
      </c>
      <c r="T12" s="3">
        <f>IF(ISBLANK('Paste Full'!AD12),"",'Paste Full'!AD12)</f>
        <v>13</v>
      </c>
      <c r="U12" s="3" t="str">
        <f>IF(ISBLANK('Paste Full'!AE12),"",'Paste Full'!AE12)</f>
        <v>$15</v>
      </c>
      <c r="V12" s="3">
        <f>IF(ISBLANK('Paste Full'!AF12),"",'Paste Full'!AF12)</f>
        <v>7</v>
      </c>
      <c r="W12" s="3">
        <f>IF(ISBLANK('Paste Full'!AH12),"",'Paste Full'!AH12)</f>
        <v>12</v>
      </c>
      <c r="X12" s="3">
        <f>IF(ISBLANK('Paste Full'!AI12),"",'Paste Full'!AI12)</f>
        <v>11</v>
      </c>
      <c r="Y12" s="3">
        <f>IF(ISBLANK('Paste Full'!AK12),"",'Paste Full'!AK12)</f>
        <v>10</v>
      </c>
      <c r="Z12" s="3">
        <f>IF(ISBLANK('Paste Full'!AL12),"",'Paste Full'!AL12)</f>
        <v>11</v>
      </c>
      <c r="AA12" s="4">
        <f>IF(ISBLANK('Paste Full'!AM12),"",'Paste Full'!AM12)</f>
        <v>1</v>
      </c>
      <c r="AB12" s="4">
        <f>IF(ISBLANK('Paste Full'!AN12),"",'Paste Full'!AN12)</f>
        <v>1</v>
      </c>
      <c r="AC12" s="4">
        <f>IF(ISBLANK('Paste Full'!AO12),"",'Paste Full'!AO12)</f>
        <v>4</v>
      </c>
      <c r="AD12" s="4">
        <f>IF(ISBLANK('Paste Full'!AP12),"",'Paste Full'!AP12)</f>
        <v>1</v>
      </c>
      <c r="AE12" s="4">
        <f>IF(ISBLANK('Paste Full'!AQ12),"",'Paste Full'!AQ12)</f>
        <v>1</v>
      </c>
      <c r="AF12" s="4">
        <f>IF(ISBLANK('Paste Full'!AR12),"",'Paste Full'!AR12)</f>
        <v>3</v>
      </c>
      <c r="AG12" s="4">
        <f>IF(ISBLANK('Paste Full'!AS12),"",'Paste Full'!AS12)</f>
        <v>1</v>
      </c>
      <c r="AH12" s="4">
        <f>IF(ISBLANK('Paste Full'!AV12),"",'Paste Full'!AV12)</f>
        <v>1</v>
      </c>
      <c r="AI12" s="4">
        <f>IF(ISBLANK('Paste Full'!AT12),"",'Paste Full'!AT12)</f>
        <v>2</v>
      </c>
      <c r="AJ12" s="4">
        <f>IF(ISBLANK('Paste Full'!AU12),"",'Paste Full'!AU12)</f>
        <v>2</v>
      </c>
      <c r="AK12" s="4">
        <f>IF(ISBLANK('Paste Full'!AW12),"",'Paste Full'!AW12)</f>
        <v>1</v>
      </c>
      <c r="AL12" s="5">
        <f>IF(ISBLANK('Paste Full'!AX12),"",'Paste Full'!AX12)</f>
        <v>9</v>
      </c>
      <c r="AM12" s="5">
        <f>IF(ISBLANK('Paste Full'!AY12),"",'Paste Full'!AY12)</f>
        <v>11</v>
      </c>
      <c r="AN12" s="5">
        <f>IF(ISBLANK('Paste Full'!AZ12),"",'Paste Full'!AZ12)</f>
        <v>5</v>
      </c>
      <c r="AO12" s="5">
        <f>IF(ISBLANK('Paste Full'!BA12),"",'Paste Full'!BA12)</f>
        <v>9</v>
      </c>
      <c r="AP12" s="5">
        <f>IF(ISBLANK('Paste Full'!BB12),"",'Paste Full'!BB12)</f>
        <v>4</v>
      </c>
      <c r="AQ12" s="5">
        <f>IF(ISBLANK('Paste Full'!BC12),"",'Paste Full'!BC12)</f>
        <v>9</v>
      </c>
      <c r="AR12" s="5">
        <f>IF(ISBLANK('Paste Full'!BD12),"",'Paste Full'!BD12)</f>
        <v>14</v>
      </c>
      <c r="AS12" s="5">
        <f>IF(ISBLANK('Paste Full'!BE12),"",'Paste Full'!BE12)</f>
        <v>14</v>
      </c>
      <c r="AT12" s="5">
        <f>IF(ISBLANK('Paste Full'!BF12),"",'Paste Full'!BF12)</f>
        <v>13</v>
      </c>
      <c r="AU12" s="5">
        <f>IF(ISBLANK('Paste Full'!BG12),"",'Paste Full'!BG12)</f>
        <v>13</v>
      </c>
      <c r="AV12" s="5">
        <f>IF(ISBLANK('Paste Full'!BH12),"",'Paste Full'!BH12)</f>
        <v>4</v>
      </c>
      <c r="AW12" s="5">
        <f>IF(ISBLANK('Paste Full'!BI12),"",'Paste Full'!BI12)</f>
        <v>8</v>
      </c>
      <c r="AX12" s="5">
        <f>IF(ISBLANK('Paste Full'!BJ12),"",'Paste Full'!BJ12)</f>
        <v>10</v>
      </c>
      <c r="AY12" s="5">
        <f>IF(ISBLANK('Paste Full'!BK12),"",'Paste Full'!BK12)</f>
        <v>7</v>
      </c>
      <c r="AZ12" s="6">
        <f>IF(ISBLANK('Paste Full'!BM12),"",'Paste Full'!BM12)</f>
        <v>6</v>
      </c>
      <c r="BA12" s="6">
        <f>IF(ISBLANK('Paste Full'!BN12),"",'Paste Full'!BN12)</f>
        <v>10</v>
      </c>
      <c r="BB12" s="6">
        <f>IF(ISBLANK('Paste Full'!BO12),"",'Paste Full'!BO12)</f>
        <v>8</v>
      </c>
      <c r="BC12" s="6">
        <f>IF(ISBLANK('Paste Full'!BP12),"",'Paste Full'!BP12)</f>
        <v>11</v>
      </c>
      <c r="BD12" s="6">
        <f>IF(ISBLANK('Paste Full'!BR12),"",'Paste Full'!BR12)</f>
        <v>15</v>
      </c>
      <c r="BE12" s="6">
        <f>IF(ISBLANK('Paste Full'!BS12),"",'Paste Full'!BS12)</f>
        <v>9</v>
      </c>
      <c r="BF12" s="6">
        <f>IF(ISBLANK('Paste Full'!BU12),"",'Paste Full'!BU12)</f>
        <v>2</v>
      </c>
      <c r="BG12" s="6">
        <f>IF(ISBLANK('Paste Full'!BV12),"",'Paste Full'!BV12)</f>
        <v>10</v>
      </c>
      <c r="BH12" s="6">
        <f>IF(ISBLANK('Paste Full'!BX12),"",'Paste Full'!BX12)</f>
        <v>3</v>
      </c>
      <c r="BI12" s="6">
        <f>IF(ISBLANK('Paste Full'!BY12),"",'Paste Full'!BY12)</f>
        <v>14</v>
      </c>
      <c r="BJ12" s="13">
        <f>IF(ISBLANK('Paste Full'!BL12),"",'Paste Full'!BL12)</f>
        <v>7</v>
      </c>
      <c r="BK12" s="13">
        <f>IF(ISBLANK('Paste Full'!BQ12),"",'Paste Full'!BQ12)</f>
        <v>4</v>
      </c>
      <c r="BL12" s="13">
        <f>IF(ISBLANK('Paste Full'!BT12),"",'Paste Full'!BT12)</f>
        <v>3</v>
      </c>
      <c r="BM12" s="13">
        <f>IF(ISBLANK('Paste Full'!BW12),"",'Paste Full'!BW12)</f>
        <v>8</v>
      </c>
      <c r="BN12" s="41">
        <f>IF(ISBLANK('Paste Full'!BZ12),"",'Paste Full'!BZ12)</f>
        <v>1</v>
      </c>
      <c r="BO12" s="41">
        <f>IF(ISBLANK('Paste Full'!CA12),"",'Paste Full'!CA12)</f>
        <v>1</v>
      </c>
      <c r="BP12" s="41">
        <f>IF(ISBLANK('Paste Full'!CB12),"",'Paste Full'!CB12)</f>
        <v>1</v>
      </c>
      <c r="BQ12" s="41">
        <f>IF(ISBLANK('Paste Full'!CC12),"",'Paste Full'!CC12)</f>
        <v>1</v>
      </c>
      <c r="BR12" s="41">
        <f>IF(ISBLANK('Paste Full'!CD12),"",'Paste Full'!CD12)</f>
        <v>1</v>
      </c>
      <c r="BS12" s="41">
        <f>IF(ISBLANK('Paste Full'!CE12),"",'Paste Full'!CE12)</f>
        <v>1</v>
      </c>
      <c r="BT12" s="41">
        <f>IF(ISBLANK('Paste Full'!CF12),"",'Paste Full'!CF12)</f>
        <v>1</v>
      </c>
      <c r="BU12" s="41">
        <f>IF(ISBLANK('Paste Full'!CG12),"",'Paste Full'!CG12)</f>
        <v>16</v>
      </c>
      <c r="BV12" s="41">
        <f>IF(ISBLANK('Paste Full'!CH12),"",'Paste Full'!CH12)</f>
        <v>20</v>
      </c>
    </row>
    <row r="13" spans="1:74" x14ac:dyDescent="0.3">
      <c r="A13" t="str">
        <f>IF(ISBLANK('Paste Full'!C13),"",'Paste Full'!C13)</f>
        <v>George Johnston</v>
      </c>
      <c r="B13" t="str">
        <f t="shared" si="0"/>
        <v>D(C)</v>
      </c>
      <c r="C13" s="2">
        <f>IF(ISBLANK('Paste Full'!H13),"",'Paste Full'!H13)</f>
        <v>31</v>
      </c>
      <c r="D13" s="2">
        <f>IF(ISBLANK('Paste Full'!F13),"",'Paste Full'!F13)</f>
        <v>99</v>
      </c>
      <c r="E13" s="2">
        <f>IF(ISBLANK('Paste Full'!G13),"",'Paste Full'!G13)</f>
        <v>137</v>
      </c>
      <c r="F13" s="21" t="str">
        <f>IF(ISBLANK('Paste Full'!E13),"",'Paste Full'!E13)</f>
        <v>Scotland,England</v>
      </c>
      <c r="G13" t="str">
        <f>IF(ISBLANK('Paste Full'!CI13),"",'Paste Full'!CI13)</f>
        <v/>
      </c>
      <c r="H13" s="21" t="str">
        <f>IF(ISBLANK('Paste Full'!J13),"",'Paste Full'!J13)</f>
        <v>$281,787</v>
      </c>
      <c r="I13" s="21" t="str">
        <f>IF(ISBLANK('Paste Full'!D13),"",'Paste Full'!D13)</f>
        <v>D C</v>
      </c>
      <c r="J13" s="14">
        <f>AVERAGE(SUMPRODUCT($S13:$BM13,AttWeights!$C$10:$AW$10)/SUM(AttWeights!$C$10:$AW$10),SUMPRODUCT($S13:$BM13,AttWeights!$C$17:$AW$17)/SUM(AttWeights!$C$17:$AW$17))*10</f>
        <v>91.536312849162016</v>
      </c>
      <c r="K13" s="14">
        <f>AVERAGE(SUMPRODUCT($S13:$BM13,AttWeights!$C$7:$AW$7)/SUM(AttWeights!$C$7:$AW$7),SUMPRODUCT($S13:$BM13,AttWeights!$C$15:$AW$15)/SUM(AttWeights!$C$15:$AW$15))*10</f>
        <v>92.029151605983117</v>
      </c>
      <c r="L13" s="14">
        <f>AVERAGE(SUMPRODUCT($S13:$BM13,AttWeights!$C$8:$AW$8)/SUM(AttWeights!$C$8:$AW$8),SUMPRODUCT($S13:$BM13,AttWeights!$C$16:$AW$16)/SUM(AttWeights!$C$16:$AW$16))*10</f>
        <v>92.692340413464535</v>
      </c>
      <c r="M13" s="14">
        <f>AVERAGE(SUMPRODUCT($S13:$BM13,AttWeights!$C$9:$AW$9)/SUM(AttWeights!$C$9:$AW$9),SUMPRODUCT($S13:$BM13,AttWeights!$C$15:$AW$15)/SUM(AttWeights!$C$15:$AW$15))*10</f>
        <v>92.655487706374586</v>
      </c>
      <c r="N13" s="14">
        <f>AVERAGE(SUMPRODUCT($S13:$BM13,AttWeights!$C$6:$AW$6)/SUM(AttWeights!$C$6:$AW$6),SUMPRODUCT($S13:$BM13,AttWeights!$C$14:$AW$14)/SUM(AttWeights!$C$14:$AW$14))*10</f>
        <v>97.791765402843609</v>
      </c>
      <c r="O13" s="14">
        <f>AVERAGE(SUMPRODUCT($S13:$BM13,AttWeights!$C$5:$AW$5)/SUM(AttWeights!$C$5:$AW$5),SUMPRODUCT($S13:$BM13,AttWeights!$C$14:$AW$14)/SUM(AttWeights!$C$14:$AW$14))*10</f>
        <v>99.425719895287955</v>
      </c>
      <c r="P13" s="14">
        <f>AVERAGE(SUMPRODUCT($S13:$BM13,AttWeights!$C$4:$AW$4)/SUM(AttWeights!$C$4:$AW$4),SUMPRODUCT($S13:$BM13,AttWeights!$C$13:$AW$13)/SUM(AttWeights!$C$13:$AW$13))*10</f>
        <v>102.79876373626374</v>
      </c>
      <c r="Q13" s="14">
        <f>AVERAGE(SUMPRODUCT($S13:$BM13,AttWeights!$C$3:$AW$3)/SUM(AttWeights!$C$3:$AW$3),SUMPRODUCT($S13:$BM13,AttWeights!$C$12:$AW$12)/SUM(AttWeights!$C$12:$AW$12))*10</f>
        <v>100.19931163954944</v>
      </c>
      <c r="R13" s="14">
        <f>AVERAGE(SUMPRODUCT($S13:$BM13,AttWeights!$C$2:$AW$2)/SUM(AttWeights!$C$2:$AW$2),SUMPRODUCT($S13:$BM13,AttWeights!$C$11:$AW$11)/SUM(AttWeights!$C$11:$AW$11))*10</f>
        <v>65.974464724464724</v>
      </c>
      <c r="S13" s="3">
        <f>IF(ISBLANK('Paste Full'!AC13),"",'Paste Full'!AC13)</f>
        <v>10</v>
      </c>
      <c r="T13" s="3">
        <f>IF(ISBLANK('Paste Full'!AD13),"",'Paste Full'!AD13)</f>
        <v>9</v>
      </c>
      <c r="U13" s="3" t="str">
        <f>IF(ISBLANK('Paste Full'!AE13),"",'Paste Full'!AE13)</f>
        <v>$11</v>
      </c>
      <c r="V13" s="3">
        <f>IF(ISBLANK('Paste Full'!AF13),"",'Paste Full'!AF13)</f>
        <v>11</v>
      </c>
      <c r="W13" s="3">
        <f>IF(ISBLANK('Paste Full'!AH13),"",'Paste Full'!AH13)</f>
        <v>10</v>
      </c>
      <c r="X13" s="3">
        <f>IF(ISBLANK('Paste Full'!AI13),"",'Paste Full'!AI13)</f>
        <v>13</v>
      </c>
      <c r="Y13" s="3">
        <f>IF(ISBLANK('Paste Full'!AK13),"",'Paste Full'!AK13)</f>
        <v>13</v>
      </c>
      <c r="Z13" s="3">
        <f>IF(ISBLANK('Paste Full'!AL13),"",'Paste Full'!AL13)</f>
        <v>14</v>
      </c>
      <c r="AA13" s="4">
        <f>IF(ISBLANK('Paste Full'!AM13),"",'Paste Full'!AM13)</f>
        <v>2</v>
      </c>
      <c r="AB13" s="4">
        <f>IF(ISBLANK('Paste Full'!AN13),"",'Paste Full'!AN13)</f>
        <v>3</v>
      </c>
      <c r="AC13" s="4">
        <f>IF(ISBLANK('Paste Full'!AO13),"",'Paste Full'!AO13)</f>
        <v>1</v>
      </c>
      <c r="AD13" s="4">
        <f>IF(ISBLANK('Paste Full'!AP13),"",'Paste Full'!AP13)</f>
        <v>1</v>
      </c>
      <c r="AE13" s="4">
        <f>IF(ISBLANK('Paste Full'!AQ13),"",'Paste Full'!AQ13)</f>
        <v>3</v>
      </c>
      <c r="AF13" s="4">
        <f>IF(ISBLANK('Paste Full'!AR13),"",'Paste Full'!AR13)</f>
        <v>1</v>
      </c>
      <c r="AG13" s="4">
        <f>IF(ISBLANK('Paste Full'!AS13),"",'Paste Full'!AS13)</f>
        <v>2</v>
      </c>
      <c r="AH13" s="4">
        <f>IF(ISBLANK('Paste Full'!AV13),"",'Paste Full'!AV13)</f>
        <v>3</v>
      </c>
      <c r="AI13" s="4">
        <f>IF(ISBLANK('Paste Full'!AT13),"",'Paste Full'!AT13)</f>
        <v>3</v>
      </c>
      <c r="AJ13" s="4">
        <f>IF(ISBLANK('Paste Full'!AU13),"",'Paste Full'!AU13)</f>
        <v>1</v>
      </c>
      <c r="AK13" s="4">
        <f>IF(ISBLANK('Paste Full'!AW13),"",'Paste Full'!AW13)</f>
        <v>3</v>
      </c>
      <c r="AL13" s="5">
        <f>IF(ISBLANK('Paste Full'!AX13),"",'Paste Full'!AX13)</f>
        <v>13</v>
      </c>
      <c r="AM13" s="5">
        <f>IF(ISBLANK('Paste Full'!AY13),"",'Paste Full'!AY13)</f>
        <v>13</v>
      </c>
      <c r="AN13" s="5">
        <f>IF(ISBLANK('Paste Full'!AZ13),"",'Paste Full'!AZ13)</f>
        <v>14</v>
      </c>
      <c r="AO13" s="5">
        <f>IF(ISBLANK('Paste Full'!BA13),"",'Paste Full'!BA13)</f>
        <v>12</v>
      </c>
      <c r="AP13" s="5">
        <f>IF(ISBLANK('Paste Full'!BB13),"",'Paste Full'!BB13)</f>
        <v>11</v>
      </c>
      <c r="AQ13" s="5">
        <f>IF(ISBLANK('Paste Full'!BC13),"",'Paste Full'!BC13)</f>
        <v>11</v>
      </c>
      <c r="AR13" s="5">
        <f>IF(ISBLANK('Paste Full'!BD13),"",'Paste Full'!BD13)</f>
        <v>14</v>
      </c>
      <c r="AS13" s="5">
        <f>IF(ISBLANK('Paste Full'!BE13),"",'Paste Full'!BE13)</f>
        <v>5</v>
      </c>
      <c r="AT13" s="5">
        <f>IF(ISBLANK('Paste Full'!BF13),"",'Paste Full'!BF13)</f>
        <v>13</v>
      </c>
      <c r="AU13" s="5">
        <f>IF(ISBLANK('Paste Full'!BG13),"",'Paste Full'!BG13)</f>
        <v>11</v>
      </c>
      <c r="AV13" s="5">
        <f>IF(ISBLANK('Paste Full'!BH13),"",'Paste Full'!BH13)</f>
        <v>12</v>
      </c>
      <c r="AW13" s="5">
        <f>IF(ISBLANK('Paste Full'!BI13),"",'Paste Full'!BI13)</f>
        <v>13</v>
      </c>
      <c r="AX13" s="5">
        <f>IF(ISBLANK('Paste Full'!BJ13),"",'Paste Full'!BJ13)</f>
        <v>10</v>
      </c>
      <c r="AY13" s="5">
        <f>IF(ISBLANK('Paste Full'!BK13),"",'Paste Full'!BK13)</f>
        <v>10</v>
      </c>
      <c r="AZ13" s="6">
        <f>IF(ISBLANK('Paste Full'!BM13),"",'Paste Full'!BM13)</f>
        <v>5</v>
      </c>
      <c r="BA13" s="6">
        <f>IF(ISBLANK('Paste Full'!BN13),"",'Paste Full'!BN13)</f>
        <v>6</v>
      </c>
      <c r="BB13" s="6">
        <f>IF(ISBLANK('Paste Full'!BO13),"",'Paste Full'!BO13)</f>
        <v>5</v>
      </c>
      <c r="BC13" s="6">
        <f>IF(ISBLANK('Paste Full'!BP13),"",'Paste Full'!BP13)</f>
        <v>9</v>
      </c>
      <c r="BD13" s="6">
        <f>IF(ISBLANK('Paste Full'!BR13),"",'Paste Full'!BR13)</f>
        <v>11</v>
      </c>
      <c r="BE13" s="6">
        <f>IF(ISBLANK('Paste Full'!BS13),"",'Paste Full'!BS13)</f>
        <v>4</v>
      </c>
      <c r="BF13" s="6">
        <f>IF(ISBLANK('Paste Full'!BU13),"",'Paste Full'!BU13)</f>
        <v>13</v>
      </c>
      <c r="BG13" s="6">
        <f>IF(ISBLANK('Paste Full'!BV13),"",'Paste Full'!BV13)</f>
        <v>8</v>
      </c>
      <c r="BH13" s="6">
        <f>IF(ISBLANK('Paste Full'!BX13),"",'Paste Full'!BX13)</f>
        <v>13</v>
      </c>
      <c r="BI13" s="6">
        <f>IF(ISBLANK('Paste Full'!BY13),"",'Paste Full'!BY13)</f>
        <v>11</v>
      </c>
      <c r="BJ13" s="13">
        <f>IF(ISBLANK('Paste Full'!BL13),"",'Paste Full'!BL13)</f>
        <v>4</v>
      </c>
      <c r="BK13" s="13">
        <f>IF(ISBLANK('Paste Full'!BQ13),"",'Paste Full'!BQ13)</f>
        <v>4</v>
      </c>
      <c r="BL13" s="13">
        <f>IF(ISBLANK('Paste Full'!BT13),"",'Paste Full'!BT13)</f>
        <v>4</v>
      </c>
      <c r="BM13" s="13">
        <f>IF(ISBLANK('Paste Full'!BW13),"",'Paste Full'!BW13)</f>
        <v>4</v>
      </c>
      <c r="BN13" s="41">
        <f>IF(ISBLANK('Paste Full'!BZ13),"",'Paste Full'!BZ13)</f>
        <v>1</v>
      </c>
      <c r="BO13" s="41">
        <f>IF(ISBLANK('Paste Full'!CA13),"",'Paste Full'!CA13)</f>
        <v>1</v>
      </c>
      <c r="BP13" s="41">
        <f>IF(ISBLANK('Paste Full'!CB13),"",'Paste Full'!CB13)</f>
        <v>20</v>
      </c>
      <c r="BQ13" s="41">
        <f>IF(ISBLANK('Paste Full'!CC13),"",'Paste Full'!CC13)</f>
        <v>12</v>
      </c>
      <c r="BR13" s="41">
        <f>IF(ISBLANK('Paste Full'!CD13),"",'Paste Full'!CD13)</f>
        <v>1</v>
      </c>
      <c r="BS13" s="41">
        <f>IF(ISBLANK('Paste Full'!CE13),"",'Paste Full'!CE13)</f>
        <v>1</v>
      </c>
      <c r="BT13" s="41">
        <f>IF(ISBLANK('Paste Full'!CF13),"",'Paste Full'!CF13)</f>
        <v>1</v>
      </c>
      <c r="BU13" s="41">
        <f>IF(ISBLANK('Paste Full'!CG13),"",'Paste Full'!CG13)</f>
        <v>1</v>
      </c>
      <c r="BV13" s="41">
        <f>IF(ISBLANK('Paste Full'!CH13),"",'Paste Full'!CH13)</f>
        <v>1</v>
      </c>
    </row>
    <row r="14" spans="1:74" x14ac:dyDescent="0.3">
      <c r="A14" t="str">
        <f>IF(ISBLANK('Paste Full'!C14),"",'Paste Full'!C14)</f>
        <v>Isaac Smith</v>
      </c>
      <c r="B14" t="str">
        <f t="shared" si="0"/>
        <v>D(C)</v>
      </c>
      <c r="C14" s="2">
        <f>IF(ISBLANK('Paste Full'!H14),"",'Paste Full'!H14)</f>
        <v>24</v>
      </c>
      <c r="D14" s="2">
        <f>IF(ISBLANK('Paste Full'!F14),"",'Paste Full'!F14)</f>
        <v>101</v>
      </c>
      <c r="E14" s="2">
        <f>IF(ISBLANK('Paste Full'!G14),"",'Paste Full'!G14)</f>
        <v>124</v>
      </c>
      <c r="F14" s="21" t="str">
        <f>IF(ISBLANK('Paste Full'!E14),"",'Paste Full'!E14)</f>
        <v>England</v>
      </c>
      <c r="G14" t="str">
        <f>IF(ISBLANK('Paste Full'!CI14),"",'Paste Full'!CI14)</f>
        <v/>
      </c>
      <c r="H14" s="21" t="str">
        <f>IF(ISBLANK('Paste Full'!J14),"",'Paste Full'!J14)</f>
        <v>$398,153</v>
      </c>
      <c r="I14" s="21" t="str">
        <f>IF(ISBLANK('Paste Full'!D14),"",'Paste Full'!D14)</f>
        <v>D/DM C</v>
      </c>
      <c r="J14" s="14">
        <f>AVERAGE(SUMPRODUCT($S14:$BM14,AttWeights!$C$10:$AW$10)/SUM(AttWeights!$C$10:$AW$10),SUMPRODUCT($S14:$BM14,AttWeights!$C$17:$AW$17)/SUM(AttWeights!$C$17:$AW$17))*10</f>
        <v>84.361982523993703</v>
      </c>
      <c r="K14" s="14">
        <f>AVERAGE(SUMPRODUCT($S14:$BM14,AttWeights!$C$7:$AW$7)/SUM(AttWeights!$C$7:$AW$7),SUMPRODUCT($S14:$BM14,AttWeights!$C$15:$AW$15)/SUM(AttWeights!$C$15:$AW$15))*10</f>
        <v>84.609450762584856</v>
      </c>
      <c r="L14" s="14">
        <f>AVERAGE(SUMPRODUCT($S14:$BM14,AttWeights!$C$8:$AW$8)/SUM(AttWeights!$C$8:$AW$8),SUMPRODUCT($S14:$BM14,AttWeights!$C$16:$AW$16)/SUM(AttWeights!$C$16:$AW$16))*10</f>
        <v>85.124493094745205</v>
      </c>
      <c r="M14" s="14">
        <f>AVERAGE(SUMPRODUCT($S14:$BM14,AttWeights!$C$9:$AW$9)/SUM(AttWeights!$C$9:$AW$9),SUMPRODUCT($S14:$BM14,AttWeights!$C$15:$AW$15)/SUM(AttWeights!$C$15:$AW$15))*10</f>
        <v>84.692740137636918</v>
      </c>
      <c r="N14" s="14">
        <f>AVERAGE(SUMPRODUCT($S14:$BM14,AttWeights!$C$6:$AW$6)/SUM(AttWeights!$C$6:$AW$6),SUMPRODUCT($S14:$BM14,AttWeights!$C$14:$AW$14)/SUM(AttWeights!$C$14:$AW$14))*10</f>
        <v>90.623922878069791</v>
      </c>
      <c r="O14" s="14">
        <f>AVERAGE(SUMPRODUCT($S14:$BM14,AttWeights!$C$5:$AW$5)/SUM(AttWeights!$C$5:$AW$5),SUMPRODUCT($S14:$BM14,AttWeights!$C$14:$AW$14)/SUM(AttWeights!$C$14:$AW$14))*10</f>
        <v>93.332044264635883</v>
      </c>
      <c r="P14" s="14">
        <f>AVERAGE(SUMPRODUCT($S14:$BM14,AttWeights!$C$4:$AW$4)/SUM(AttWeights!$C$4:$AW$4),SUMPRODUCT($S14:$BM14,AttWeights!$C$13:$AW$13)/SUM(AttWeights!$C$13:$AW$13))*10</f>
        <v>100.55631868131869</v>
      </c>
      <c r="Q14" s="14">
        <f>AVERAGE(SUMPRODUCT($S14:$BM14,AttWeights!$C$3:$AW$3)/SUM(AttWeights!$C$3:$AW$3),SUMPRODUCT($S14:$BM14,AttWeights!$C$12:$AW$12)/SUM(AttWeights!$C$12:$AW$12))*10</f>
        <v>95.534105131414279</v>
      </c>
      <c r="R14" s="14">
        <f>AVERAGE(SUMPRODUCT($S14:$BM14,AttWeights!$C$2:$AW$2)/SUM(AttWeights!$C$2:$AW$2),SUMPRODUCT($S14:$BM14,AttWeights!$C$11:$AW$11)/SUM(AttWeights!$C$11:$AW$11))*10</f>
        <v>63.659617409617404</v>
      </c>
      <c r="S14" s="3">
        <f>IF(ISBLANK('Paste Full'!AC14),"",'Paste Full'!AC14)</f>
        <v>13</v>
      </c>
      <c r="T14" s="3">
        <f>IF(ISBLANK('Paste Full'!AD14),"",'Paste Full'!AD14)</f>
        <v>9</v>
      </c>
      <c r="U14" s="3" t="str">
        <f>IF(ISBLANK('Paste Full'!AE14),"",'Paste Full'!AE14)</f>
        <v>$9</v>
      </c>
      <c r="V14" s="3">
        <f>IF(ISBLANK('Paste Full'!AF14),"",'Paste Full'!AF14)</f>
        <v>13</v>
      </c>
      <c r="W14" s="3">
        <f>IF(ISBLANK('Paste Full'!AH14),"",'Paste Full'!AH14)</f>
        <v>10</v>
      </c>
      <c r="X14" s="3">
        <f>IF(ISBLANK('Paste Full'!AI14),"",'Paste Full'!AI14)</f>
        <v>10</v>
      </c>
      <c r="Y14" s="3">
        <f>IF(ISBLANK('Paste Full'!AK14),"",'Paste Full'!AK14)</f>
        <v>9</v>
      </c>
      <c r="Z14" s="3">
        <f>IF(ISBLANK('Paste Full'!AL14),"",'Paste Full'!AL14)</f>
        <v>10</v>
      </c>
      <c r="AA14" s="4">
        <f>IF(ISBLANK('Paste Full'!AM14),"",'Paste Full'!AM14)</f>
        <v>1</v>
      </c>
      <c r="AB14" s="4">
        <f>IF(ISBLANK('Paste Full'!AN14),"",'Paste Full'!AN14)</f>
        <v>3</v>
      </c>
      <c r="AC14" s="4">
        <f>IF(ISBLANK('Paste Full'!AO14),"",'Paste Full'!AO14)</f>
        <v>1</v>
      </c>
      <c r="AD14" s="4">
        <f>IF(ISBLANK('Paste Full'!AP14),"",'Paste Full'!AP14)</f>
        <v>3</v>
      </c>
      <c r="AE14" s="4">
        <f>IF(ISBLANK('Paste Full'!AQ14),"",'Paste Full'!AQ14)</f>
        <v>3</v>
      </c>
      <c r="AF14" s="4">
        <f>IF(ISBLANK('Paste Full'!AR14),"",'Paste Full'!AR14)</f>
        <v>3</v>
      </c>
      <c r="AG14" s="4">
        <f>IF(ISBLANK('Paste Full'!AS14),"",'Paste Full'!AS14)</f>
        <v>3</v>
      </c>
      <c r="AH14" s="4">
        <f>IF(ISBLANK('Paste Full'!AV14),"",'Paste Full'!AV14)</f>
        <v>1</v>
      </c>
      <c r="AI14" s="4">
        <f>IF(ISBLANK('Paste Full'!AT14),"",'Paste Full'!AT14)</f>
        <v>1</v>
      </c>
      <c r="AJ14" s="4">
        <f>IF(ISBLANK('Paste Full'!AU14),"",'Paste Full'!AU14)</f>
        <v>4</v>
      </c>
      <c r="AK14" s="4">
        <f>IF(ISBLANK('Paste Full'!AW14),"",'Paste Full'!AW14)</f>
        <v>3</v>
      </c>
      <c r="AL14" s="5">
        <f>IF(ISBLANK('Paste Full'!AX14),"",'Paste Full'!AX14)</f>
        <v>15</v>
      </c>
      <c r="AM14" s="5">
        <f>IF(ISBLANK('Paste Full'!AY14),"",'Paste Full'!AY14)</f>
        <v>14</v>
      </c>
      <c r="AN14" s="5">
        <f>IF(ISBLANK('Paste Full'!AZ14),"",'Paste Full'!AZ14)</f>
        <v>15</v>
      </c>
      <c r="AO14" s="5">
        <f>IF(ISBLANK('Paste Full'!BA14),"",'Paste Full'!BA14)</f>
        <v>11</v>
      </c>
      <c r="AP14" s="5">
        <f>IF(ISBLANK('Paste Full'!BB14),"",'Paste Full'!BB14)</f>
        <v>10</v>
      </c>
      <c r="AQ14" s="5">
        <f>IF(ISBLANK('Paste Full'!BC14),"",'Paste Full'!BC14)</f>
        <v>13</v>
      </c>
      <c r="AR14" s="5">
        <f>IF(ISBLANK('Paste Full'!BD14),"",'Paste Full'!BD14)</f>
        <v>12</v>
      </c>
      <c r="AS14" s="5">
        <f>IF(ISBLANK('Paste Full'!BE14),"",'Paste Full'!BE14)</f>
        <v>6</v>
      </c>
      <c r="AT14" s="5">
        <f>IF(ISBLANK('Paste Full'!BF14),"",'Paste Full'!BF14)</f>
        <v>3</v>
      </c>
      <c r="AU14" s="5">
        <f>IF(ISBLANK('Paste Full'!BG14),"",'Paste Full'!BG14)</f>
        <v>5</v>
      </c>
      <c r="AV14" s="5">
        <f>IF(ISBLANK('Paste Full'!BH14),"",'Paste Full'!BH14)</f>
        <v>14</v>
      </c>
      <c r="AW14" s="5">
        <f>IF(ISBLANK('Paste Full'!BI14),"",'Paste Full'!BI14)</f>
        <v>8</v>
      </c>
      <c r="AX14" s="5">
        <f>IF(ISBLANK('Paste Full'!BJ14),"",'Paste Full'!BJ14)</f>
        <v>9</v>
      </c>
      <c r="AY14" s="5">
        <f>IF(ISBLANK('Paste Full'!BK14),"",'Paste Full'!BK14)</f>
        <v>9</v>
      </c>
      <c r="AZ14" s="6">
        <f>IF(ISBLANK('Paste Full'!BM14),"",'Paste Full'!BM14)</f>
        <v>3</v>
      </c>
      <c r="BA14" s="6">
        <f>IF(ISBLANK('Paste Full'!BN14),"",'Paste Full'!BN14)</f>
        <v>11</v>
      </c>
      <c r="BB14" s="6">
        <f>IF(ISBLANK('Paste Full'!BO14),"",'Paste Full'!BO14)</f>
        <v>1</v>
      </c>
      <c r="BC14" s="6">
        <f>IF(ISBLANK('Paste Full'!BP14),"",'Paste Full'!BP14)</f>
        <v>12</v>
      </c>
      <c r="BD14" s="6">
        <f>IF(ISBLANK('Paste Full'!BR14),"",'Paste Full'!BR14)</f>
        <v>11</v>
      </c>
      <c r="BE14" s="6">
        <f>IF(ISBLANK('Paste Full'!BS14),"",'Paste Full'!BS14)</f>
        <v>2</v>
      </c>
      <c r="BF14" s="6">
        <f>IF(ISBLANK('Paste Full'!BU14),"",'Paste Full'!BU14)</f>
        <v>14</v>
      </c>
      <c r="BG14" s="6">
        <f>IF(ISBLANK('Paste Full'!BV14),"",'Paste Full'!BV14)</f>
        <v>6</v>
      </c>
      <c r="BH14" s="6">
        <f>IF(ISBLANK('Paste Full'!BX14),"",'Paste Full'!BX14)</f>
        <v>12</v>
      </c>
      <c r="BI14" s="6">
        <f>IF(ISBLANK('Paste Full'!BY14),"",'Paste Full'!BY14)</f>
        <v>7</v>
      </c>
      <c r="BJ14" s="13">
        <f>IF(ISBLANK('Paste Full'!BL14),"",'Paste Full'!BL14)</f>
        <v>3</v>
      </c>
      <c r="BK14" s="13">
        <f>IF(ISBLANK('Paste Full'!BQ14),"",'Paste Full'!BQ14)</f>
        <v>1</v>
      </c>
      <c r="BL14" s="13">
        <f>IF(ISBLANK('Paste Full'!BT14),"",'Paste Full'!BT14)</f>
        <v>5</v>
      </c>
      <c r="BM14" s="13">
        <f>IF(ISBLANK('Paste Full'!BW14),"",'Paste Full'!BW14)</f>
        <v>2</v>
      </c>
      <c r="BN14" s="41">
        <f>IF(ISBLANK('Paste Full'!BZ14),"",'Paste Full'!BZ14)</f>
        <v>1</v>
      </c>
      <c r="BO14" s="41">
        <f>IF(ISBLANK('Paste Full'!CA14),"",'Paste Full'!CA14)</f>
        <v>1</v>
      </c>
      <c r="BP14" s="41">
        <f>IF(ISBLANK('Paste Full'!CB14),"",'Paste Full'!CB14)</f>
        <v>20</v>
      </c>
      <c r="BQ14" s="41">
        <f>IF(ISBLANK('Paste Full'!CC14),"",'Paste Full'!CC14)</f>
        <v>1</v>
      </c>
      <c r="BR14" s="41">
        <f>IF(ISBLANK('Paste Full'!CD14),"",'Paste Full'!CD14)</f>
        <v>16</v>
      </c>
      <c r="BS14" s="41">
        <f>IF(ISBLANK('Paste Full'!CE14),"",'Paste Full'!CE14)</f>
        <v>1</v>
      </c>
      <c r="BT14" s="41">
        <f>IF(ISBLANK('Paste Full'!CF14),"",'Paste Full'!CF14)</f>
        <v>1</v>
      </c>
      <c r="BU14" s="41">
        <f>IF(ISBLANK('Paste Full'!CG14),"",'Paste Full'!CG14)</f>
        <v>1</v>
      </c>
      <c r="BV14" s="41">
        <f>IF(ISBLANK('Paste Full'!CH14),"",'Paste Full'!CH14)</f>
        <v>1</v>
      </c>
    </row>
    <row r="15" spans="1:74" x14ac:dyDescent="0.3">
      <c r="A15" t="str">
        <f>IF(ISBLANK('Paste Full'!C15),"",'Paste Full'!C15)</f>
        <v>Jayden Cumberbatch</v>
      </c>
      <c r="B15" t="str">
        <f t="shared" si="0"/>
        <v>D(C)</v>
      </c>
      <c r="C15" s="2">
        <f>IF(ISBLANK('Paste Full'!H15),"",'Paste Full'!H15)</f>
        <v>19</v>
      </c>
      <c r="D15" s="2">
        <f>IF(ISBLANK('Paste Full'!F15),"",'Paste Full'!F15)</f>
        <v>98</v>
      </c>
      <c r="E15" s="2">
        <f>IF(ISBLANK('Paste Full'!G15),"",'Paste Full'!G15)</f>
        <v>144</v>
      </c>
      <c r="F15" s="21" t="str">
        <f>IF(ISBLANK('Paste Full'!E15),"",'Paste Full'!E15)</f>
        <v>Jamaica,England</v>
      </c>
      <c r="G15" t="str">
        <f>IF(ISBLANK('Paste Full'!CI15),"",'Paste Full'!CI15)</f>
        <v/>
      </c>
      <c r="H15" s="21" t="str">
        <f>IF(ISBLANK('Paste Full'!J15),"",'Paste Full'!J15)</f>
        <v>$472,856</v>
      </c>
      <c r="I15" s="21" t="str">
        <f>IF(ISBLANK('Paste Full'!D15),"",'Paste Full'!D15)</f>
        <v>D LC</v>
      </c>
      <c r="J15" s="14">
        <f>AVERAGE(SUMPRODUCT($S15:$BM15,AttWeights!$C$10:$AW$10)/SUM(AttWeights!$C$10:$AW$10),SUMPRODUCT($S15:$BM15,AttWeights!$C$17:$AW$17)/SUM(AttWeights!$C$17:$AW$17))*10</f>
        <v>76.952299097550494</v>
      </c>
      <c r="K15" s="14">
        <f>AVERAGE(SUMPRODUCT($S15:$BM15,AttWeights!$C$7:$AW$7)/SUM(AttWeights!$C$7:$AW$7),SUMPRODUCT($S15:$BM15,AttWeights!$C$15:$AW$15)/SUM(AttWeights!$C$15:$AW$15))*10</f>
        <v>75.67177995239355</v>
      </c>
      <c r="L15" s="14">
        <f>AVERAGE(SUMPRODUCT($S15:$BM15,AttWeights!$C$8:$AW$8)/SUM(AttWeights!$C$8:$AW$8),SUMPRODUCT($S15:$BM15,AttWeights!$C$16:$AW$16)/SUM(AttWeights!$C$16:$AW$16))*10</f>
        <v>76.488529053115158</v>
      </c>
      <c r="M15" s="14">
        <f>AVERAGE(SUMPRODUCT($S15:$BM15,AttWeights!$C$9:$AW$9)/SUM(AttWeights!$C$9:$AW$9),SUMPRODUCT($S15:$BM15,AttWeights!$C$15:$AW$15)/SUM(AttWeights!$C$15:$AW$15))*10</f>
        <v>77.134341378307653</v>
      </c>
      <c r="N15" s="14">
        <f>AVERAGE(SUMPRODUCT($S15:$BM15,AttWeights!$C$6:$AW$6)/SUM(AttWeights!$C$6:$AW$6),SUMPRODUCT($S15:$BM15,AttWeights!$C$14:$AW$14)/SUM(AttWeights!$C$14:$AW$14))*10</f>
        <v>84.639702714347266</v>
      </c>
      <c r="O15" s="14">
        <f>AVERAGE(SUMPRODUCT($S15:$BM15,AttWeights!$C$5:$AW$5)/SUM(AttWeights!$C$5:$AW$5),SUMPRODUCT($S15:$BM15,AttWeights!$C$14:$AW$14)/SUM(AttWeights!$C$14:$AW$14))*10</f>
        <v>88.490599714421705</v>
      </c>
      <c r="P15" s="14">
        <f>AVERAGE(SUMPRODUCT($S15:$BM15,AttWeights!$C$4:$AW$4)/SUM(AttWeights!$C$4:$AW$4),SUMPRODUCT($S15:$BM15,AttWeights!$C$13:$AW$13)/SUM(AttWeights!$C$13:$AW$13))*10</f>
        <v>98.863324175824161</v>
      </c>
      <c r="Q15" s="14">
        <f>AVERAGE(SUMPRODUCT($S15:$BM15,AttWeights!$C$3:$AW$3)/SUM(AttWeights!$C$3:$AW$3),SUMPRODUCT($S15:$BM15,AttWeights!$C$12:$AW$12)/SUM(AttWeights!$C$12:$AW$12))*10</f>
        <v>90.586045056320401</v>
      </c>
      <c r="R15" s="14">
        <f>AVERAGE(SUMPRODUCT($S15:$BM15,AttWeights!$C$2:$AW$2)/SUM(AttWeights!$C$2:$AW$2),SUMPRODUCT($S15:$BM15,AttWeights!$C$11:$AW$11)/SUM(AttWeights!$C$11:$AW$11))*10</f>
        <v>63.398560898560902</v>
      </c>
      <c r="S15" s="3">
        <f>IF(ISBLANK('Paste Full'!AC15),"",'Paste Full'!AC15)</f>
        <v>10</v>
      </c>
      <c r="T15" s="3">
        <f>IF(ISBLANK('Paste Full'!AD15),"",'Paste Full'!AD15)</f>
        <v>7</v>
      </c>
      <c r="U15" s="3" t="str">
        <f>IF(ISBLANK('Paste Full'!AE15),"",'Paste Full'!AE15)</f>
        <v>$9</v>
      </c>
      <c r="V15" s="3">
        <f>IF(ISBLANK('Paste Full'!AF15),"",'Paste Full'!AF15)</f>
        <v>17</v>
      </c>
      <c r="W15" s="3">
        <f>IF(ISBLANK('Paste Full'!AH15),"",'Paste Full'!AH15)</f>
        <v>11</v>
      </c>
      <c r="X15" s="3">
        <f>IF(ISBLANK('Paste Full'!AI15),"",'Paste Full'!AI15)</f>
        <v>10</v>
      </c>
      <c r="Y15" s="3">
        <f>IF(ISBLANK('Paste Full'!AK15),"",'Paste Full'!AK15)</f>
        <v>8</v>
      </c>
      <c r="Z15" s="3">
        <f>IF(ISBLANK('Paste Full'!AL15),"",'Paste Full'!AL15)</f>
        <v>14</v>
      </c>
      <c r="AA15" s="4">
        <f>IF(ISBLANK('Paste Full'!AM15),"",'Paste Full'!AM15)</f>
        <v>2</v>
      </c>
      <c r="AB15" s="4">
        <f>IF(ISBLANK('Paste Full'!AN15),"",'Paste Full'!AN15)</f>
        <v>4</v>
      </c>
      <c r="AC15" s="4">
        <f>IF(ISBLANK('Paste Full'!AO15),"",'Paste Full'!AO15)</f>
        <v>1</v>
      </c>
      <c r="AD15" s="4">
        <f>IF(ISBLANK('Paste Full'!AP15),"",'Paste Full'!AP15)</f>
        <v>2</v>
      </c>
      <c r="AE15" s="4">
        <f>IF(ISBLANK('Paste Full'!AQ15),"",'Paste Full'!AQ15)</f>
        <v>3</v>
      </c>
      <c r="AF15" s="4">
        <f>IF(ISBLANK('Paste Full'!AR15),"",'Paste Full'!AR15)</f>
        <v>2</v>
      </c>
      <c r="AG15" s="4">
        <f>IF(ISBLANK('Paste Full'!AS15),"",'Paste Full'!AS15)</f>
        <v>3</v>
      </c>
      <c r="AH15" s="4">
        <f>IF(ISBLANK('Paste Full'!AV15),"",'Paste Full'!AV15)</f>
        <v>1</v>
      </c>
      <c r="AI15" s="4">
        <f>IF(ISBLANK('Paste Full'!AT15),"",'Paste Full'!AT15)</f>
        <v>2</v>
      </c>
      <c r="AJ15" s="4">
        <f>IF(ISBLANK('Paste Full'!AU15),"",'Paste Full'!AU15)</f>
        <v>2</v>
      </c>
      <c r="AK15" s="4">
        <f>IF(ISBLANK('Paste Full'!AW15),"",'Paste Full'!AW15)</f>
        <v>1</v>
      </c>
      <c r="AL15" s="5">
        <f>IF(ISBLANK('Paste Full'!AX15),"",'Paste Full'!AX15)</f>
        <v>19</v>
      </c>
      <c r="AM15" s="5">
        <f>IF(ISBLANK('Paste Full'!AY15),"",'Paste Full'!AY15)</f>
        <v>13</v>
      </c>
      <c r="AN15" s="5">
        <f>IF(ISBLANK('Paste Full'!AZ15),"",'Paste Full'!AZ15)</f>
        <v>8</v>
      </c>
      <c r="AO15" s="5">
        <f>IF(ISBLANK('Paste Full'!BA15),"",'Paste Full'!BA15)</f>
        <v>5</v>
      </c>
      <c r="AP15" s="5">
        <f>IF(ISBLANK('Paste Full'!BB15),"",'Paste Full'!BB15)</f>
        <v>13</v>
      </c>
      <c r="AQ15" s="5">
        <f>IF(ISBLANK('Paste Full'!BC15),"",'Paste Full'!BC15)</f>
        <v>12</v>
      </c>
      <c r="AR15" s="5">
        <f>IF(ISBLANK('Paste Full'!BD15),"",'Paste Full'!BD15)</f>
        <v>14</v>
      </c>
      <c r="AS15" s="5">
        <f>IF(ISBLANK('Paste Full'!BE15),"",'Paste Full'!BE15)</f>
        <v>3</v>
      </c>
      <c r="AT15" s="5">
        <f>IF(ISBLANK('Paste Full'!BF15),"",'Paste Full'!BF15)</f>
        <v>16</v>
      </c>
      <c r="AU15" s="5">
        <f>IF(ISBLANK('Paste Full'!BG15),"",'Paste Full'!BG15)</f>
        <v>3</v>
      </c>
      <c r="AV15" s="5">
        <f>IF(ISBLANK('Paste Full'!BH15),"",'Paste Full'!BH15)</f>
        <v>11</v>
      </c>
      <c r="AW15" s="5">
        <f>IF(ISBLANK('Paste Full'!BI15),"",'Paste Full'!BI15)</f>
        <v>6</v>
      </c>
      <c r="AX15" s="5">
        <f>IF(ISBLANK('Paste Full'!BJ15),"",'Paste Full'!BJ15)</f>
        <v>8</v>
      </c>
      <c r="AY15" s="5">
        <f>IF(ISBLANK('Paste Full'!BK15),"",'Paste Full'!BK15)</f>
        <v>8</v>
      </c>
      <c r="AZ15" s="6">
        <f>IF(ISBLANK('Paste Full'!BM15),"",'Paste Full'!BM15)</f>
        <v>4</v>
      </c>
      <c r="BA15" s="6">
        <f>IF(ISBLANK('Paste Full'!BN15),"",'Paste Full'!BN15)</f>
        <v>5</v>
      </c>
      <c r="BB15" s="6">
        <f>IF(ISBLANK('Paste Full'!BO15),"",'Paste Full'!BO15)</f>
        <v>1</v>
      </c>
      <c r="BC15" s="6">
        <f>IF(ISBLANK('Paste Full'!BP15),"",'Paste Full'!BP15)</f>
        <v>6</v>
      </c>
      <c r="BD15" s="6">
        <f>IF(ISBLANK('Paste Full'!BR15),"",'Paste Full'!BR15)</f>
        <v>13</v>
      </c>
      <c r="BE15" s="6">
        <f>IF(ISBLANK('Paste Full'!BS15),"",'Paste Full'!BS15)</f>
        <v>1</v>
      </c>
      <c r="BF15" s="6">
        <f>IF(ISBLANK('Paste Full'!BU15),"",'Paste Full'!BU15)</f>
        <v>15</v>
      </c>
      <c r="BG15" s="6">
        <f>IF(ISBLANK('Paste Full'!BV15),"",'Paste Full'!BV15)</f>
        <v>4</v>
      </c>
      <c r="BH15" s="6">
        <f>IF(ISBLANK('Paste Full'!BX15),"",'Paste Full'!BX15)</f>
        <v>12</v>
      </c>
      <c r="BI15" s="6">
        <f>IF(ISBLANK('Paste Full'!BY15),"",'Paste Full'!BY15)</f>
        <v>11</v>
      </c>
      <c r="BJ15" s="13">
        <f>IF(ISBLANK('Paste Full'!BL15),"",'Paste Full'!BL15)</f>
        <v>3</v>
      </c>
      <c r="BK15" s="13">
        <f>IF(ISBLANK('Paste Full'!BQ15),"",'Paste Full'!BQ15)</f>
        <v>3</v>
      </c>
      <c r="BL15" s="13">
        <f>IF(ISBLANK('Paste Full'!BT15),"",'Paste Full'!BT15)</f>
        <v>1</v>
      </c>
      <c r="BM15" s="13">
        <f>IF(ISBLANK('Paste Full'!BW15),"",'Paste Full'!BW15)</f>
        <v>3</v>
      </c>
      <c r="BN15" s="41">
        <f>IF(ISBLANK('Paste Full'!BZ15),"",'Paste Full'!BZ15)</f>
        <v>1</v>
      </c>
      <c r="BO15" s="41">
        <f>IF(ISBLANK('Paste Full'!CA15),"",'Paste Full'!CA15)</f>
        <v>1</v>
      </c>
      <c r="BP15" s="41">
        <f>IF(ISBLANK('Paste Full'!CB15),"",'Paste Full'!CB15)</f>
        <v>20</v>
      </c>
      <c r="BQ15" s="41">
        <f>IF(ISBLANK('Paste Full'!CC15),"",'Paste Full'!CC15)</f>
        <v>16</v>
      </c>
      <c r="BR15" s="41">
        <f>IF(ISBLANK('Paste Full'!CD15),"",'Paste Full'!CD15)</f>
        <v>1</v>
      </c>
      <c r="BS15" s="41">
        <f>IF(ISBLANK('Paste Full'!CE15),"",'Paste Full'!CE15)</f>
        <v>1</v>
      </c>
      <c r="BT15" s="41">
        <f>IF(ISBLANK('Paste Full'!CF15),"",'Paste Full'!CF15)</f>
        <v>1</v>
      </c>
      <c r="BU15" s="41">
        <f>IF(ISBLANK('Paste Full'!CG15),"",'Paste Full'!CG15)</f>
        <v>1</v>
      </c>
      <c r="BV15" s="41">
        <f>IF(ISBLANK('Paste Full'!CH15),"",'Paste Full'!CH15)</f>
        <v>1</v>
      </c>
    </row>
    <row r="16" spans="1:74" x14ac:dyDescent="0.3">
      <c r="A16" t="str">
        <f>IF(ISBLANK('Paste Full'!C16),"",'Paste Full'!C16)</f>
        <v>Joe Powell</v>
      </c>
      <c r="B16" t="str">
        <f t="shared" si="0"/>
        <v>AM(R)</v>
      </c>
      <c r="C16" s="2">
        <f>IF(ISBLANK('Paste Full'!H16),"",'Paste Full'!H16)</f>
        <v>31</v>
      </c>
      <c r="D16" s="2">
        <f>IF(ISBLANK('Paste Full'!F16),"",'Paste Full'!F16)</f>
        <v>107</v>
      </c>
      <c r="E16" s="2">
        <f>IF(ISBLANK('Paste Full'!G16),"",'Paste Full'!G16)</f>
        <v>130</v>
      </c>
      <c r="F16" s="21" t="str">
        <f>IF(ISBLANK('Paste Full'!E16),"",'Paste Full'!E16)</f>
        <v>England</v>
      </c>
      <c r="G16" t="str">
        <f>IF(ISBLANK('Paste Full'!CI16),"",'Paste Full'!CI16)</f>
        <v/>
      </c>
      <c r="H16" s="21" t="str">
        <f>IF(ISBLANK('Paste Full'!J16),"",'Paste Full'!J16)</f>
        <v>$559,933</v>
      </c>
      <c r="I16" s="21" t="str">
        <f>IF(ISBLANK('Paste Full'!D16),"",'Paste Full'!D16)</f>
        <v>M/AM LC</v>
      </c>
      <c r="J16" s="14">
        <f>AVERAGE(SUMPRODUCT($S16:$BM16,AttWeights!$C$10:$AW$10)/SUM(AttWeights!$C$10:$AW$10),SUMPRODUCT($S16:$BM16,AttWeights!$C$17:$AW$17)/SUM(AttWeights!$C$17:$AW$17))*10</f>
        <v>97.944134078212272</v>
      </c>
      <c r="K16" s="14">
        <f>AVERAGE(SUMPRODUCT($S16:$BM16,AttWeights!$C$7:$AW$7)/SUM(AttWeights!$C$7:$AW$7),SUMPRODUCT($S16:$BM16,AttWeights!$C$15:$AW$15)/SUM(AttWeights!$C$15:$AW$15))*10</f>
        <v>101.84019512768522</v>
      </c>
      <c r="L16" s="14">
        <f>AVERAGE(SUMPRODUCT($S16:$BM16,AttWeights!$C$8:$AW$8)/SUM(AttWeights!$C$8:$AW$8),SUMPRODUCT($S16:$BM16,AttWeights!$C$16:$AW$16)/SUM(AttWeights!$C$16:$AW$16))*10</f>
        <v>103.19853670986586</v>
      </c>
      <c r="M16" s="14">
        <f>AVERAGE(SUMPRODUCT($S16:$BM16,AttWeights!$C$9:$AW$9)/SUM(AttWeights!$C$9:$AW$9),SUMPRODUCT($S16:$BM16,AttWeights!$C$15:$AW$15)/SUM(AttWeights!$C$15:$AW$15))*10</f>
        <v>103.6152305256696</v>
      </c>
      <c r="N16" s="14">
        <f>AVERAGE(SUMPRODUCT($S16:$BM16,AttWeights!$C$6:$AW$6)/SUM(AttWeights!$C$6:$AW$6),SUMPRODUCT($S16:$BM16,AttWeights!$C$14:$AW$14)/SUM(AttWeights!$C$14:$AW$14))*10</f>
        <v>100.78778005170186</v>
      </c>
      <c r="O16" s="14">
        <f>AVERAGE(SUMPRODUCT($S16:$BM16,AttWeights!$C$5:$AW$5)/SUM(AttWeights!$C$5:$AW$5),SUMPRODUCT($S16:$BM16,AttWeights!$C$14:$AW$14)/SUM(AttWeights!$C$14:$AW$14))*10</f>
        <v>99.520317705854353</v>
      </c>
      <c r="P16" s="14">
        <f>AVERAGE(SUMPRODUCT($S16:$BM16,AttWeights!$C$4:$AW$4)/SUM(AttWeights!$C$4:$AW$4),SUMPRODUCT($S16:$BM16,AttWeights!$C$13:$AW$13)/SUM(AttWeights!$C$13:$AW$13))*10</f>
        <v>92.853708791208788</v>
      </c>
      <c r="Q16" s="14">
        <f>AVERAGE(SUMPRODUCT($S16:$BM16,AttWeights!$C$3:$AW$3)/SUM(AttWeights!$C$3:$AW$3),SUMPRODUCT($S16:$BM16,AttWeights!$C$12:$AW$12)/SUM(AttWeights!$C$12:$AW$12))*10</f>
        <v>100.05851063829788</v>
      </c>
      <c r="R16" s="14">
        <f>AVERAGE(SUMPRODUCT($S16:$BM16,AttWeights!$C$2:$AW$2)/SUM(AttWeights!$C$2:$AW$2),SUMPRODUCT($S16:$BM16,AttWeights!$C$11:$AW$11)/SUM(AttWeights!$C$11:$AW$11))*10</f>
        <v>69.485784485784478</v>
      </c>
      <c r="S16" s="3">
        <f>IF(ISBLANK('Paste Full'!AC16),"",'Paste Full'!AC16)</f>
        <v>11</v>
      </c>
      <c r="T16" s="3">
        <f>IF(ISBLANK('Paste Full'!AD16),"",'Paste Full'!AD16)</f>
        <v>12</v>
      </c>
      <c r="U16" s="3" t="str">
        <f>IF(ISBLANK('Paste Full'!AE16),"",'Paste Full'!AE16)</f>
        <v>$11</v>
      </c>
      <c r="V16" s="3">
        <f>IF(ISBLANK('Paste Full'!AF16),"",'Paste Full'!AF16)</f>
        <v>7</v>
      </c>
      <c r="W16" s="3">
        <f>IF(ISBLANK('Paste Full'!AH16),"",'Paste Full'!AH16)</f>
        <v>15</v>
      </c>
      <c r="X16" s="3">
        <f>IF(ISBLANK('Paste Full'!AI16),"",'Paste Full'!AI16)</f>
        <v>12</v>
      </c>
      <c r="Y16" s="3">
        <f>IF(ISBLANK('Paste Full'!AK16),"",'Paste Full'!AK16)</f>
        <v>12</v>
      </c>
      <c r="Z16" s="3">
        <f>IF(ISBLANK('Paste Full'!AL16),"",'Paste Full'!AL16)</f>
        <v>9</v>
      </c>
      <c r="AA16" s="4">
        <f>IF(ISBLANK('Paste Full'!AM16),"",'Paste Full'!AM16)</f>
        <v>1</v>
      </c>
      <c r="AB16" s="4">
        <f>IF(ISBLANK('Paste Full'!AN16),"",'Paste Full'!AN16)</f>
        <v>2</v>
      </c>
      <c r="AC16" s="4">
        <f>IF(ISBLANK('Paste Full'!AO16),"",'Paste Full'!AO16)</f>
        <v>2</v>
      </c>
      <c r="AD16" s="4">
        <f>IF(ISBLANK('Paste Full'!AP16),"",'Paste Full'!AP16)</f>
        <v>2</v>
      </c>
      <c r="AE16" s="4">
        <f>IF(ISBLANK('Paste Full'!AQ16),"",'Paste Full'!AQ16)</f>
        <v>3</v>
      </c>
      <c r="AF16" s="4">
        <f>IF(ISBLANK('Paste Full'!AR16),"",'Paste Full'!AR16)</f>
        <v>3</v>
      </c>
      <c r="AG16" s="4">
        <f>IF(ISBLANK('Paste Full'!AS16),"",'Paste Full'!AS16)</f>
        <v>3</v>
      </c>
      <c r="AH16" s="4">
        <f>IF(ISBLANK('Paste Full'!AV16),"",'Paste Full'!AV16)</f>
        <v>4</v>
      </c>
      <c r="AI16" s="4">
        <f>IF(ISBLANK('Paste Full'!AT16),"",'Paste Full'!AT16)</f>
        <v>2</v>
      </c>
      <c r="AJ16" s="4">
        <f>IF(ISBLANK('Paste Full'!AU16),"",'Paste Full'!AU16)</f>
        <v>1</v>
      </c>
      <c r="AK16" s="4">
        <f>IF(ISBLANK('Paste Full'!AW16),"",'Paste Full'!AW16)</f>
        <v>1</v>
      </c>
      <c r="AL16" s="5">
        <f>IF(ISBLANK('Paste Full'!AX16),"",'Paste Full'!AX16)</f>
        <v>9</v>
      </c>
      <c r="AM16" s="5">
        <f>IF(ISBLANK('Paste Full'!AY16),"",'Paste Full'!AY16)</f>
        <v>12</v>
      </c>
      <c r="AN16" s="5">
        <f>IF(ISBLANK('Paste Full'!AZ16),"",'Paste Full'!AZ16)</f>
        <v>10</v>
      </c>
      <c r="AO16" s="5">
        <f>IF(ISBLANK('Paste Full'!BA16),"",'Paste Full'!BA16)</f>
        <v>12</v>
      </c>
      <c r="AP16" s="5">
        <f>IF(ISBLANK('Paste Full'!BB16),"",'Paste Full'!BB16)</f>
        <v>11</v>
      </c>
      <c r="AQ16" s="5">
        <f>IF(ISBLANK('Paste Full'!BC16),"",'Paste Full'!BC16)</f>
        <v>11</v>
      </c>
      <c r="AR16" s="5">
        <f>IF(ISBLANK('Paste Full'!BD16),"",'Paste Full'!BD16)</f>
        <v>20</v>
      </c>
      <c r="AS16" s="5">
        <f>IF(ISBLANK('Paste Full'!BE16),"",'Paste Full'!BE16)</f>
        <v>12</v>
      </c>
      <c r="AT16" s="5">
        <f>IF(ISBLANK('Paste Full'!BF16),"",'Paste Full'!BF16)</f>
        <v>20</v>
      </c>
      <c r="AU16" s="5">
        <f>IF(ISBLANK('Paste Full'!BG16),"",'Paste Full'!BG16)</f>
        <v>11</v>
      </c>
      <c r="AV16" s="5">
        <f>IF(ISBLANK('Paste Full'!BH16),"",'Paste Full'!BH16)</f>
        <v>8</v>
      </c>
      <c r="AW16" s="5">
        <f>IF(ISBLANK('Paste Full'!BI16),"",'Paste Full'!BI16)</f>
        <v>20</v>
      </c>
      <c r="AX16" s="5">
        <f>IF(ISBLANK('Paste Full'!BJ16),"",'Paste Full'!BJ16)</f>
        <v>12</v>
      </c>
      <c r="AY16" s="5">
        <f>IF(ISBLANK('Paste Full'!BK16),"",'Paste Full'!BK16)</f>
        <v>12</v>
      </c>
      <c r="AZ16" s="6">
        <f>IF(ISBLANK('Paste Full'!BM16),"",'Paste Full'!BM16)</f>
        <v>12</v>
      </c>
      <c r="BA16" s="6">
        <f>IF(ISBLANK('Paste Full'!BN16),"",'Paste Full'!BN16)</f>
        <v>10</v>
      </c>
      <c r="BB16" s="6">
        <f>IF(ISBLANK('Paste Full'!BO16),"",'Paste Full'!BO16)</f>
        <v>7</v>
      </c>
      <c r="BC16" s="6">
        <f>IF(ISBLANK('Paste Full'!BP16),"",'Paste Full'!BP16)</f>
        <v>12</v>
      </c>
      <c r="BD16" s="6">
        <f>IF(ISBLANK('Paste Full'!BR16),"",'Paste Full'!BR16)</f>
        <v>7</v>
      </c>
      <c r="BE16" s="6">
        <f>IF(ISBLANK('Paste Full'!BS16),"",'Paste Full'!BS16)</f>
        <v>11</v>
      </c>
      <c r="BF16" s="6">
        <f>IF(ISBLANK('Paste Full'!BU16),"",'Paste Full'!BU16)</f>
        <v>7</v>
      </c>
      <c r="BG16" s="6">
        <f>IF(ISBLANK('Paste Full'!BV16),"",'Paste Full'!BV16)</f>
        <v>12</v>
      </c>
      <c r="BH16" s="6">
        <f>IF(ISBLANK('Paste Full'!BX16),"",'Paste Full'!BX16)</f>
        <v>7</v>
      </c>
      <c r="BI16" s="6">
        <f>IF(ISBLANK('Paste Full'!BY16),"",'Paste Full'!BY16)</f>
        <v>12</v>
      </c>
      <c r="BJ16" s="13">
        <f>IF(ISBLANK('Paste Full'!BL16),"",'Paste Full'!BL16)</f>
        <v>14</v>
      </c>
      <c r="BK16" s="13">
        <f>IF(ISBLANK('Paste Full'!BQ16),"",'Paste Full'!BQ16)</f>
        <v>11</v>
      </c>
      <c r="BL16" s="13">
        <f>IF(ISBLANK('Paste Full'!BT16),"",'Paste Full'!BT16)</f>
        <v>5</v>
      </c>
      <c r="BM16" s="13">
        <f>IF(ISBLANK('Paste Full'!BW16),"",'Paste Full'!BW16)</f>
        <v>10</v>
      </c>
      <c r="BN16" s="41">
        <f>IF(ISBLANK('Paste Full'!BZ16),"",'Paste Full'!BZ16)</f>
        <v>1</v>
      </c>
      <c r="BO16" s="41">
        <f>IF(ISBLANK('Paste Full'!CA16),"",'Paste Full'!CA16)</f>
        <v>1</v>
      </c>
      <c r="BP16" s="41">
        <f>IF(ISBLANK('Paste Full'!CB16),"",'Paste Full'!CB16)</f>
        <v>1</v>
      </c>
      <c r="BQ16" s="41">
        <f>IF(ISBLANK('Paste Full'!CC16),"",'Paste Full'!CC16)</f>
        <v>7</v>
      </c>
      <c r="BR16" s="41">
        <f>IF(ISBLANK('Paste Full'!CD16),"",'Paste Full'!CD16)</f>
        <v>14</v>
      </c>
      <c r="BS16" s="41">
        <f>IF(ISBLANK('Paste Full'!CE16),"",'Paste Full'!CE16)</f>
        <v>10</v>
      </c>
      <c r="BT16" s="41">
        <f>IF(ISBLANK('Paste Full'!CF16),"",'Paste Full'!CF16)</f>
        <v>16</v>
      </c>
      <c r="BU16" s="41">
        <f>IF(ISBLANK('Paste Full'!CG16),"",'Paste Full'!CG16)</f>
        <v>20</v>
      </c>
      <c r="BV16" s="41">
        <f>IF(ISBLANK('Paste Full'!CH16),"",'Paste Full'!CH16)</f>
        <v>1</v>
      </c>
    </row>
    <row r="17" spans="1:74" x14ac:dyDescent="0.3">
      <c r="A17" t="str">
        <f>IF(ISBLANK('Paste Full'!C17),"",'Paste Full'!C17)</f>
        <v>Josh Campbell-Slowey</v>
      </c>
      <c r="B17" t="str">
        <f t="shared" si="0"/>
        <v>D(C)</v>
      </c>
      <c r="C17" s="2">
        <f>IF(ISBLANK('Paste Full'!H17),"",'Paste Full'!H17)</f>
        <v>23</v>
      </c>
      <c r="D17" s="2">
        <f>IF(ISBLANK('Paste Full'!F17),"",'Paste Full'!F17)</f>
        <v>106</v>
      </c>
      <c r="E17" s="2">
        <f>IF(ISBLANK('Paste Full'!G17),"",'Paste Full'!G17)</f>
        <v>121</v>
      </c>
      <c r="F17" s="21" t="str">
        <f>IF(ISBLANK('Paste Full'!E17),"",'Paste Full'!E17)</f>
        <v>England</v>
      </c>
      <c r="G17" t="str">
        <f>IF(ISBLANK('Paste Full'!CI17),"",'Paste Full'!CI17)</f>
        <v/>
      </c>
      <c r="H17" s="21" t="str">
        <f>IF(ISBLANK('Paste Full'!J17),"",'Paste Full'!J17)</f>
        <v>$443,077</v>
      </c>
      <c r="I17" s="21" t="str">
        <f>IF(ISBLANK('Paste Full'!D17),"",'Paste Full'!D17)</f>
        <v>D LC</v>
      </c>
      <c r="J17" s="14">
        <f>AVERAGE(SUMPRODUCT($S17:$BM17,AttWeights!$C$10:$AW$10)/SUM(AttWeights!$C$10:$AW$10),SUMPRODUCT($S17:$BM17,AttWeights!$C$17:$AW$17)/SUM(AttWeights!$C$17:$AW$17))*10</f>
        <v>86.043833261710347</v>
      </c>
      <c r="K17" s="14">
        <f>AVERAGE(SUMPRODUCT($S17:$BM17,AttWeights!$C$7:$AW$7)/SUM(AttWeights!$C$7:$AW$7),SUMPRODUCT($S17:$BM17,AttWeights!$C$15:$AW$15)/SUM(AttWeights!$C$15:$AW$15))*10</f>
        <v>85.946692526962295</v>
      </c>
      <c r="L17" s="14">
        <f>AVERAGE(SUMPRODUCT($S17:$BM17,AttWeights!$C$8:$AW$8)/SUM(AttWeights!$C$8:$AW$8),SUMPRODUCT($S17:$BM17,AttWeights!$C$16:$AW$16)/SUM(AttWeights!$C$16:$AW$16))*10</f>
        <v>86.556447267674343</v>
      </c>
      <c r="M17" s="14">
        <f>AVERAGE(SUMPRODUCT($S17:$BM17,AttWeights!$C$9:$AW$9)/SUM(AttWeights!$C$9:$AW$9),SUMPRODUCT($S17:$BM17,AttWeights!$C$15:$AW$15)/SUM(AttWeights!$C$15:$AW$15))*10</f>
        <v>88.317663403444158</v>
      </c>
      <c r="N17" s="14">
        <f>AVERAGE(SUMPRODUCT($S17:$BM17,AttWeights!$C$6:$AW$6)/SUM(AttWeights!$C$6:$AW$6),SUMPRODUCT($S17:$BM17,AttWeights!$C$14:$AW$14)/SUM(AttWeights!$C$14:$AW$14))*10</f>
        <v>94.171423955191727</v>
      </c>
      <c r="O17" s="14">
        <f>AVERAGE(SUMPRODUCT($S17:$BM17,AttWeights!$C$5:$AW$5)/SUM(AttWeights!$C$5:$AW$5),SUMPRODUCT($S17:$BM17,AttWeights!$C$14:$AW$14)/SUM(AttWeights!$C$14:$AW$14))*10</f>
        <v>97.498512613041413</v>
      </c>
      <c r="P17" s="14">
        <f>AVERAGE(SUMPRODUCT($S17:$BM17,AttWeights!$C$4:$AW$4)/SUM(AttWeights!$C$4:$AW$4),SUMPRODUCT($S17:$BM17,AttWeights!$C$13:$AW$13)/SUM(AttWeights!$C$13:$AW$13))*10</f>
        <v>101.15384615384615</v>
      </c>
      <c r="Q17" s="14">
        <f>AVERAGE(SUMPRODUCT($S17:$BM17,AttWeights!$C$3:$AW$3)/SUM(AttWeights!$C$3:$AW$3),SUMPRODUCT($S17:$BM17,AttWeights!$C$12:$AW$12)/SUM(AttWeights!$C$12:$AW$12))*10</f>
        <v>99.101376720901129</v>
      </c>
      <c r="R17" s="14">
        <f>AVERAGE(SUMPRODUCT($S17:$BM17,AttWeights!$C$2:$AW$2)/SUM(AttWeights!$C$2:$AW$2),SUMPRODUCT($S17:$BM17,AttWeights!$C$11:$AW$11)/SUM(AttWeights!$C$11:$AW$11))*10</f>
        <v>64.52483327483327</v>
      </c>
      <c r="S17" s="3">
        <f>IF(ISBLANK('Paste Full'!AC17),"",'Paste Full'!AC17)</f>
        <v>12</v>
      </c>
      <c r="T17" s="3">
        <f>IF(ISBLANK('Paste Full'!AD17),"",'Paste Full'!AD17)</f>
        <v>11</v>
      </c>
      <c r="U17" s="3" t="str">
        <f>IF(ISBLANK('Paste Full'!AE17),"",'Paste Full'!AE17)</f>
        <v>$13</v>
      </c>
      <c r="V17" s="3">
        <f>IF(ISBLANK('Paste Full'!AF17),"",'Paste Full'!AF17)</f>
        <v>15</v>
      </c>
      <c r="W17" s="3">
        <f>IF(ISBLANK('Paste Full'!AH17),"",'Paste Full'!AH17)</f>
        <v>11</v>
      </c>
      <c r="X17" s="3">
        <f>IF(ISBLANK('Paste Full'!AI17),"",'Paste Full'!AI17)</f>
        <v>13</v>
      </c>
      <c r="Y17" s="3">
        <f>IF(ISBLANK('Paste Full'!AK17),"",'Paste Full'!AK17)</f>
        <v>13</v>
      </c>
      <c r="Z17" s="3">
        <f>IF(ISBLANK('Paste Full'!AL17),"",'Paste Full'!AL17)</f>
        <v>14</v>
      </c>
      <c r="AA17" s="4">
        <f>IF(ISBLANK('Paste Full'!AM17),"",'Paste Full'!AM17)</f>
        <v>3</v>
      </c>
      <c r="AB17" s="4">
        <f>IF(ISBLANK('Paste Full'!AN17),"",'Paste Full'!AN17)</f>
        <v>2</v>
      </c>
      <c r="AC17" s="4">
        <f>IF(ISBLANK('Paste Full'!AO17),"",'Paste Full'!AO17)</f>
        <v>1</v>
      </c>
      <c r="AD17" s="4">
        <f>IF(ISBLANK('Paste Full'!AP17),"",'Paste Full'!AP17)</f>
        <v>1</v>
      </c>
      <c r="AE17" s="4">
        <f>IF(ISBLANK('Paste Full'!AQ17),"",'Paste Full'!AQ17)</f>
        <v>1</v>
      </c>
      <c r="AF17" s="4">
        <f>IF(ISBLANK('Paste Full'!AR17),"",'Paste Full'!AR17)</f>
        <v>3</v>
      </c>
      <c r="AG17" s="4">
        <f>IF(ISBLANK('Paste Full'!AS17),"",'Paste Full'!AS17)</f>
        <v>3</v>
      </c>
      <c r="AH17" s="4">
        <f>IF(ISBLANK('Paste Full'!AV17),"",'Paste Full'!AV17)</f>
        <v>1</v>
      </c>
      <c r="AI17" s="4">
        <f>IF(ISBLANK('Paste Full'!AT17),"",'Paste Full'!AT17)</f>
        <v>1</v>
      </c>
      <c r="AJ17" s="4">
        <f>IF(ISBLANK('Paste Full'!AU17),"",'Paste Full'!AU17)</f>
        <v>4</v>
      </c>
      <c r="AK17" s="4">
        <f>IF(ISBLANK('Paste Full'!AW17),"",'Paste Full'!AW17)</f>
        <v>2</v>
      </c>
      <c r="AL17" s="5">
        <f>IF(ISBLANK('Paste Full'!AX17),"",'Paste Full'!AX17)</f>
        <v>11</v>
      </c>
      <c r="AM17" s="5">
        <f>IF(ISBLANK('Paste Full'!AY17),"",'Paste Full'!AY17)</f>
        <v>11</v>
      </c>
      <c r="AN17" s="5">
        <f>IF(ISBLANK('Paste Full'!AZ17),"",'Paste Full'!AZ17)</f>
        <v>9</v>
      </c>
      <c r="AO17" s="5">
        <f>IF(ISBLANK('Paste Full'!BA17),"",'Paste Full'!BA17)</f>
        <v>7</v>
      </c>
      <c r="AP17" s="5">
        <f>IF(ISBLANK('Paste Full'!BB17),"",'Paste Full'!BB17)</f>
        <v>14</v>
      </c>
      <c r="AQ17" s="5">
        <f>IF(ISBLANK('Paste Full'!BC17),"",'Paste Full'!BC17)</f>
        <v>11</v>
      </c>
      <c r="AR17" s="5">
        <f>IF(ISBLANK('Paste Full'!BD17),"",'Paste Full'!BD17)</f>
        <v>13</v>
      </c>
      <c r="AS17" s="5">
        <f>IF(ISBLANK('Paste Full'!BE17),"",'Paste Full'!BE17)</f>
        <v>5</v>
      </c>
      <c r="AT17" s="5">
        <f>IF(ISBLANK('Paste Full'!BF17),"",'Paste Full'!BF17)</f>
        <v>8</v>
      </c>
      <c r="AU17" s="5">
        <f>IF(ISBLANK('Paste Full'!BG17),"",'Paste Full'!BG17)</f>
        <v>5</v>
      </c>
      <c r="AV17" s="5">
        <f>IF(ISBLANK('Paste Full'!BH17),"",'Paste Full'!BH17)</f>
        <v>13</v>
      </c>
      <c r="AW17" s="5">
        <f>IF(ISBLANK('Paste Full'!BI17),"",'Paste Full'!BI17)</f>
        <v>12</v>
      </c>
      <c r="AX17" s="5">
        <f>IF(ISBLANK('Paste Full'!BJ17),"",'Paste Full'!BJ17)</f>
        <v>7</v>
      </c>
      <c r="AY17" s="5">
        <f>IF(ISBLANK('Paste Full'!BK17),"",'Paste Full'!BK17)</f>
        <v>11</v>
      </c>
      <c r="AZ17" s="6">
        <f>IF(ISBLANK('Paste Full'!BM17),"",'Paste Full'!BM17)</f>
        <v>4</v>
      </c>
      <c r="BA17" s="6">
        <f>IF(ISBLANK('Paste Full'!BN17),"",'Paste Full'!BN17)</f>
        <v>8</v>
      </c>
      <c r="BB17" s="6">
        <f>IF(ISBLANK('Paste Full'!BO17),"",'Paste Full'!BO17)</f>
        <v>3</v>
      </c>
      <c r="BC17" s="6">
        <f>IF(ISBLANK('Paste Full'!BP17),"",'Paste Full'!BP17)</f>
        <v>8</v>
      </c>
      <c r="BD17" s="6">
        <f>IF(ISBLANK('Paste Full'!BR17),"",'Paste Full'!BR17)</f>
        <v>13</v>
      </c>
      <c r="BE17" s="6">
        <f>IF(ISBLANK('Paste Full'!BS17),"",'Paste Full'!BS17)</f>
        <v>5</v>
      </c>
      <c r="BF17" s="6">
        <f>IF(ISBLANK('Paste Full'!BU17),"",'Paste Full'!BU17)</f>
        <v>13</v>
      </c>
      <c r="BG17" s="6">
        <f>IF(ISBLANK('Paste Full'!BV17),"",'Paste Full'!BV17)</f>
        <v>9</v>
      </c>
      <c r="BH17" s="6">
        <f>IF(ISBLANK('Paste Full'!BX17),"",'Paste Full'!BX17)</f>
        <v>13</v>
      </c>
      <c r="BI17" s="6">
        <f>IF(ISBLANK('Paste Full'!BY17),"",'Paste Full'!BY17)</f>
        <v>10</v>
      </c>
      <c r="BJ17" s="13">
        <f>IF(ISBLANK('Paste Full'!BL17),"",'Paste Full'!BL17)</f>
        <v>3</v>
      </c>
      <c r="BK17" s="13">
        <f>IF(ISBLANK('Paste Full'!BQ17),"",'Paste Full'!BQ17)</f>
        <v>2</v>
      </c>
      <c r="BL17" s="13">
        <f>IF(ISBLANK('Paste Full'!BT17),"",'Paste Full'!BT17)</f>
        <v>10</v>
      </c>
      <c r="BM17" s="13">
        <f>IF(ISBLANK('Paste Full'!BW17),"",'Paste Full'!BW17)</f>
        <v>4</v>
      </c>
      <c r="BN17" s="41">
        <f>IF(ISBLANK('Paste Full'!BZ17),"",'Paste Full'!BZ17)</f>
        <v>1</v>
      </c>
      <c r="BO17" s="41">
        <f>IF(ISBLANK('Paste Full'!CA17),"",'Paste Full'!CA17)</f>
        <v>1</v>
      </c>
      <c r="BP17" s="41">
        <f>IF(ISBLANK('Paste Full'!CB17),"",'Paste Full'!CB17)</f>
        <v>20</v>
      </c>
      <c r="BQ17" s="41">
        <f>IF(ISBLANK('Paste Full'!CC17),"",'Paste Full'!CC17)</f>
        <v>16</v>
      </c>
      <c r="BR17" s="41">
        <f>IF(ISBLANK('Paste Full'!CD17),"",'Paste Full'!CD17)</f>
        <v>2</v>
      </c>
      <c r="BS17" s="41">
        <f>IF(ISBLANK('Paste Full'!CE17),"",'Paste Full'!CE17)</f>
        <v>1</v>
      </c>
      <c r="BT17" s="41">
        <f>IF(ISBLANK('Paste Full'!CF17),"",'Paste Full'!CF17)</f>
        <v>1</v>
      </c>
      <c r="BU17" s="41">
        <f>IF(ISBLANK('Paste Full'!CG17),"",'Paste Full'!CG17)</f>
        <v>1</v>
      </c>
      <c r="BV17" s="41">
        <f>IF(ISBLANK('Paste Full'!CH17),"",'Paste Full'!CH17)</f>
        <v>1</v>
      </c>
    </row>
    <row r="18" spans="1:74" x14ac:dyDescent="0.3">
      <c r="A18" t="str">
        <f>IF(ISBLANK('Paste Full'!C18),"",'Paste Full'!C18)</f>
        <v>Korbyn Ednie</v>
      </c>
      <c r="B18" t="str">
        <f t="shared" si="0"/>
        <v>AM(R)</v>
      </c>
      <c r="C18" s="2">
        <f>IF(ISBLANK('Paste Full'!H18),"",'Paste Full'!H18)</f>
        <v>18</v>
      </c>
      <c r="D18" s="2">
        <f>IF(ISBLANK('Paste Full'!F18),"",'Paste Full'!F18)</f>
        <v>118</v>
      </c>
      <c r="E18" s="2">
        <f>IF(ISBLANK('Paste Full'!G18),"",'Paste Full'!G18)</f>
        <v>158</v>
      </c>
      <c r="F18" s="21" t="str">
        <f>IF(ISBLANK('Paste Full'!E18),"",'Paste Full'!E18)</f>
        <v>Scotland,England</v>
      </c>
      <c r="G18" t="str">
        <f>IF(ISBLANK('Paste Full'!CI18),"",'Paste Full'!CI18)</f>
        <v/>
      </c>
      <c r="H18" s="21" t="str">
        <f>IF(ISBLANK('Paste Full'!J18),"",'Paste Full'!J18)</f>
        <v>$604,629</v>
      </c>
      <c r="I18" s="21" t="str">
        <f>IF(ISBLANK('Paste Full'!D18),"",'Paste Full'!D18)</f>
        <v>AM/ST R</v>
      </c>
      <c r="J18" s="14">
        <f>AVERAGE(SUMPRODUCT($S18:$BM18,AttWeights!$C$10:$AW$10)/SUM(AttWeights!$C$10:$AW$10),SUMPRODUCT($S18:$BM18,AttWeights!$C$17:$AW$17)/SUM(AttWeights!$C$17:$AW$17))*10</f>
        <v>93.606789858186517</v>
      </c>
      <c r="K18" s="14">
        <f>AVERAGE(SUMPRODUCT($S18:$BM18,AttWeights!$C$7:$AW$7)/SUM(AttWeights!$C$7:$AW$7),SUMPRODUCT($S18:$BM18,AttWeights!$C$15:$AW$15)/SUM(AttWeights!$C$15:$AW$15))*10</f>
        <v>97.514766816538838</v>
      </c>
      <c r="L18" s="14">
        <f>AVERAGE(SUMPRODUCT($S18:$BM18,AttWeights!$C$8:$AW$8)/SUM(AttWeights!$C$8:$AW$8),SUMPRODUCT($S18:$BM18,AttWeights!$C$16:$AW$16)/SUM(AttWeights!$C$16:$AW$16))*10</f>
        <v>98.69494938037036</v>
      </c>
      <c r="M18" s="14">
        <f>AVERAGE(SUMPRODUCT($S18:$BM18,AttWeights!$C$9:$AW$9)/SUM(AttWeights!$C$9:$AW$9),SUMPRODUCT($S18:$BM18,AttWeights!$C$15:$AW$15)/SUM(AttWeights!$C$15:$AW$15))*10</f>
        <v>100.64214403411846</v>
      </c>
      <c r="N18" s="14">
        <f>AVERAGE(SUMPRODUCT($S18:$BM18,AttWeights!$C$6:$AW$6)/SUM(AttWeights!$C$6:$AW$6),SUMPRODUCT($S18:$BM18,AttWeights!$C$14:$AW$14)/SUM(AttWeights!$C$14:$AW$14))*10</f>
        <v>90.3042869452822</v>
      </c>
      <c r="O18" s="14">
        <f>AVERAGE(SUMPRODUCT($S18:$BM18,AttWeights!$C$5:$AW$5)/SUM(AttWeights!$C$5:$AW$5),SUMPRODUCT($S18:$BM18,AttWeights!$C$14:$AW$14)/SUM(AttWeights!$C$14:$AW$14))*10</f>
        <v>87.773084245597332</v>
      </c>
      <c r="P18" s="14">
        <f>AVERAGE(SUMPRODUCT($S18:$BM18,AttWeights!$C$4:$AW$4)/SUM(AttWeights!$C$4:$AW$4),SUMPRODUCT($S18:$BM18,AttWeights!$C$13:$AW$13)/SUM(AttWeights!$C$13:$AW$13))*10</f>
        <v>84.405906593406598</v>
      </c>
      <c r="Q18" s="14">
        <f>AVERAGE(SUMPRODUCT($S18:$BM18,AttWeights!$C$3:$AW$3)/SUM(AttWeights!$C$3:$AW$3),SUMPRODUCT($S18:$BM18,AttWeights!$C$12:$AW$12)/SUM(AttWeights!$C$12:$AW$12))*10</f>
        <v>90.382040050062571</v>
      </c>
      <c r="R18" s="14">
        <f>AVERAGE(SUMPRODUCT($S18:$BM18,AttWeights!$C$2:$AW$2)/SUM(AttWeights!$C$2:$AW$2),SUMPRODUCT($S18:$BM18,AttWeights!$C$11:$AW$11)/SUM(AttWeights!$C$11:$AW$11))*10</f>
        <v>59.680589680589684</v>
      </c>
      <c r="S18" s="3">
        <f>IF(ISBLANK('Paste Full'!AC18),"",'Paste Full'!AC18)</f>
        <v>15</v>
      </c>
      <c r="T18" s="3">
        <f>IF(ISBLANK('Paste Full'!AD18),"",'Paste Full'!AD18)</f>
        <v>16</v>
      </c>
      <c r="U18" s="3" t="str">
        <f>IF(ISBLANK('Paste Full'!AE18),"",'Paste Full'!AE18)</f>
        <v>$10</v>
      </c>
      <c r="V18" s="3">
        <f>IF(ISBLANK('Paste Full'!AF18),"",'Paste Full'!AF18)</f>
        <v>13</v>
      </c>
      <c r="W18" s="3">
        <f>IF(ISBLANK('Paste Full'!AH18),"",'Paste Full'!AH18)</f>
        <v>14</v>
      </c>
      <c r="X18" s="3">
        <f>IF(ISBLANK('Paste Full'!AI18),"",'Paste Full'!AI18)</f>
        <v>15</v>
      </c>
      <c r="Y18" s="3">
        <f>IF(ISBLANK('Paste Full'!AK18),"",'Paste Full'!AK18)</f>
        <v>14</v>
      </c>
      <c r="Z18" s="3">
        <f>IF(ISBLANK('Paste Full'!AL18),"",'Paste Full'!AL18)</f>
        <v>8</v>
      </c>
      <c r="AA18" s="4">
        <f>IF(ISBLANK('Paste Full'!AM18),"",'Paste Full'!AM18)</f>
        <v>4</v>
      </c>
      <c r="AB18" s="4">
        <f>IF(ISBLANK('Paste Full'!AN18),"",'Paste Full'!AN18)</f>
        <v>2</v>
      </c>
      <c r="AC18" s="4">
        <f>IF(ISBLANK('Paste Full'!AO18),"",'Paste Full'!AO18)</f>
        <v>1</v>
      </c>
      <c r="AD18" s="4">
        <f>IF(ISBLANK('Paste Full'!AP18),"",'Paste Full'!AP18)</f>
        <v>2</v>
      </c>
      <c r="AE18" s="4">
        <f>IF(ISBLANK('Paste Full'!AQ18),"",'Paste Full'!AQ18)</f>
        <v>3</v>
      </c>
      <c r="AF18" s="4">
        <f>IF(ISBLANK('Paste Full'!AR18),"",'Paste Full'!AR18)</f>
        <v>2</v>
      </c>
      <c r="AG18" s="4">
        <f>IF(ISBLANK('Paste Full'!AS18),"",'Paste Full'!AS18)</f>
        <v>2</v>
      </c>
      <c r="AH18" s="4">
        <f>IF(ISBLANK('Paste Full'!AV18),"",'Paste Full'!AV18)</f>
        <v>2</v>
      </c>
      <c r="AI18" s="4">
        <f>IF(ISBLANK('Paste Full'!AT18),"",'Paste Full'!AT18)</f>
        <v>1</v>
      </c>
      <c r="AJ18" s="4">
        <f>IF(ISBLANK('Paste Full'!AU18),"",'Paste Full'!AU18)</f>
        <v>2</v>
      </c>
      <c r="AK18" s="4">
        <f>IF(ISBLANK('Paste Full'!AW18),"",'Paste Full'!AW18)</f>
        <v>3</v>
      </c>
      <c r="AL18" s="5">
        <f>IF(ISBLANK('Paste Full'!AX18),"",'Paste Full'!AX18)</f>
        <v>7</v>
      </c>
      <c r="AM18" s="5">
        <f>IF(ISBLANK('Paste Full'!AY18),"",'Paste Full'!AY18)</f>
        <v>11</v>
      </c>
      <c r="AN18" s="5">
        <f>IF(ISBLANK('Paste Full'!AZ18),"",'Paste Full'!AZ18)</f>
        <v>9</v>
      </c>
      <c r="AO18" s="5">
        <f>IF(ISBLANK('Paste Full'!BA18),"",'Paste Full'!BA18)</f>
        <v>6</v>
      </c>
      <c r="AP18" s="5">
        <f>IF(ISBLANK('Paste Full'!BB18),"",'Paste Full'!BB18)</f>
        <v>3</v>
      </c>
      <c r="AQ18" s="5">
        <f>IF(ISBLANK('Paste Full'!BC18),"",'Paste Full'!BC18)</f>
        <v>15</v>
      </c>
      <c r="AR18" s="5">
        <f>IF(ISBLANK('Paste Full'!BD18),"",'Paste Full'!BD18)</f>
        <v>15</v>
      </c>
      <c r="AS18" s="5">
        <f>IF(ISBLANK('Paste Full'!BE18),"",'Paste Full'!BE18)</f>
        <v>14</v>
      </c>
      <c r="AT18" s="5">
        <f>IF(ISBLANK('Paste Full'!BF18),"",'Paste Full'!BF18)</f>
        <v>6</v>
      </c>
      <c r="AU18" s="5">
        <f>IF(ISBLANK('Paste Full'!BG18),"",'Paste Full'!BG18)</f>
        <v>13</v>
      </c>
      <c r="AV18" s="5">
        <f>IF(ISBLANK('Paste Full'!BH18),"",'Paste Full'!BH18)</f>
        <v>5</v>
      </c>
      <c r="AW18" s="5">
        <f>IF(ISBLANK('Paste Full'!BI18),"",'Paste Full'!BI18)</f>
        <v>14</v>
      </c>
      <c r="AX18" s="5">
        <f>IF(ISBLANK('Paste Full'!BJ18),"",'Paste Full'!BJ18)</f>
        <v>7</v>
      </c>
      <c r="AY18" s="5">
        <f>IF(ISBLANK('Paste Full'!BK18),"",'Paste Full'!BK18)</f>
        <v>16</v>
      </c>
      <c r="AZ18" s="6">
        <f>IF(ISBLANK('Paste Full'!BM18),"",'Paste Full'!BM18)</f>
        <v>10</v>
      </c>
      <c r="BA18" s="6">
        <f>IF(ISBLANK('Paste Full'!BN18),"",'Paste Full'!BN18)</f>
        <v>12</v>
      </c>
      <c r="BB18" s="6">
        <f>IF(ISBLANK('Paste Full'!BO18),"",'Paste Full'!BO18)</f>
        <v>6</v>
      </c>
      <c r="BC18" s="6">
        <f>IF(ISBLANK('Paste Full'!BP18),"",'Paste Full'!BP18)</f>
        <v>11</v>
      </c>
      <c r="BD18" s="6">
        <f>IF(ISBLANK('Paste Full'!BR18),"",'Paste Full'!BR18)</f>
        <v>8</v>
      </c>
      <c r="BE18" s="6">
        <f>IF(ISBLANK('Paste Full'!BS18),"",'Paste Full'!BS18)</f>
        <v>6</v>
      </c>
      <c r="BF18" s="6">
        <f>IF(ISBLANK('Paste Full'!BU18),"",'Paste Full'!BU18)</f>
        <v>6</v>
      </c>
      <c r="BG18" s="6">
        <f>IF(ISBLANK('Paste Full'!BV18),"",'Paste Full'!BV18)</f>
        <v>8</v>
      </c>
      <c r="BH18" s="6">
        <f>IF(ISBLANK('Paste Full'!BX18),"",'Paste Full'!BX18)</f>
        <v>1</v>
      </c>
      <c r="BI18" s="6">
        <f>IF(ISBLANK('Paste Full'!BY18),"",'Paste Full'!BY18)</f>
        <v>13</v>
      </c>
      <c r="BJ18" s="13">
        <f>IF(ISBLANK('Paste Full'!BL18),"",'Paste Full'!BL18)</f>
        <v>7</v>
      </c>
      <c r="BK18" s="13">
        <f>IF(ISBLANK('Paste Full'!BQ18),"",'Paste Full'!BQ18)</f>
        <v>7</v>
      </c>
      <c r="BL18" s="13">
        <f>IF(ISBLANK('Paste Full'!BT18),"",'Paste Full'!BT18)</f>
        <v>2</v>
      </c>
      <c r="BM18" s="13">
        <f>IF(ISBLANK('Paste Full'!BW18),"",'Paste Full'!BW18)</f>
        <v>4</v>
      </c>
      <c r="BN18" s="41">
        <f>IF(ISBLANK('Paste Full'!BZ18),"",'Paste Full'!BZ18)</f>
        <v>1</v>
      </c>
      <c r="BO18" s="41">
        <f>IF(ISBLANK('Paste Full'!CA18),"",'Paste Full'!CA18)</f>
        <v>1</v>
      </c>
      <c r="BP18" s="41">
        <f>IF(ISBLANK('Paste Full'!CB18),"",'Paste Full'!CB18)</f>
        <v>1</v>
      </c>
      <c r="BQ18" s="41">
        <f>IF(ISBLANK('Paste Full'!CC18),"",'Paste Full'!CC18)</f>
        <v>1</v>
      </c>
      <c r="BR18" s="41">
        <f>IF(ISBLANK('Paste Full'!CD18),"",'Paste Full'!CD18)</f>
        <v>1</v>
      </c>
      <c r="BS18" s="41">
        <f>IF(ISBLANK('Paste Full'!CE18),"",'Paste Full'!CE18)</f>
        <v>20</v>
      </c>
      <c r="BT18" s="41">
        <f>IF(ISBLANK('Paste Full'!CF18),"",'Paste Full'!CF18)</f>
        <v>1</v>
      </c>
      <c r="BU18" s="41">
        <f>IF(ISBLANK('Paste Full'!CG18),"",'Paste Full'!CG18)</f>
        <v>12</v>
      </c>
      <c r="BV18" s="41">
        <f>IF(ISBLANK('Paste Full'!CH18),"",'Paste Full'!CH18)</f>
        <v>20</v>
      </c>
    </row>
    <row r="19" spans="1:74" x14ac:dyDescent="0.3">
      <c r="A19" t="str">
        <f>IF(ISBLANK('Paste Full'!C19),"",'Paste Full'!C19)</f>
        <v>Luis Gardner</v>
      </c>
      <c r="B19" t="str">
        <f t="shared" si="0"/>
        <v>DM(L)</v>
      </c>
      <c r="C19" s="2">
        <f>IF(ISBLANK('Paste Full'!H19),"",'Paste Full'!H19)</f>
        <v>21</v>
      </c>
      <c r="D19" s="2">
        <f>IF(ISBLANK('Paste Full'!F19),"",'Paste Full'!F19)</f>
        <v>113</v>
      </c>
      <c r="E19" s="2">
        <f>IF(ISBLANK('Paste Full'!G19),"",'Paste Full'!G19)</f>
        <v>125</v>
      </c>
      <c r="F19" s="21" t="str">
        <f>IF(ISBLANK('Paste Full'!E19),"",'Paste Full'!E19)</f>
        <v>Wales,England</v>
      </c>
      <c r="G19" t="str">
        <f>IF(ISBLANK('Paste Full'!CI19),"",'Paste Full'!CI19)</f>
        <v/>
      </c>
      <c r="H19" s="21" t="str">
        <f>IF(ISBLANK('Paste Full'!J19),"",'Paste Full'!J19)</f>
        <v>$1,350,825</v>
      </c>
      <c r="I19" s="21" t="str">
        <f>IF(ISBLANK('Paste Full'!D19),"",'Paste Full'!D19)</f>
        <v>DM/M C</v>
      </c>
      <c r="J19" s="14">
        <f>AVERAGE(SUMPRODUCT($S19:$BM19,AttWeights!$C$10:$AW$10)/SUM(AttWeights!$C$10:$AW$10),SUMPRODUCT($S19:$BM19,AttWeights!$C$17:$AW$17)/SUM(AttWeights!$C$17:$AW$17))*10</f>
        <v>95.354676980375302</v>
      </c>
      <c r="K19" s="14">
        <f>AVERAGE(SUMPRODUCT($S19:$BM19,AttWeights!$C$7:$AW$7)/SUM(AttWeights!$C$7:$AW$7),SUMPRODUCT($S19:$BM19,AttWeights!$C$15:$AW$15)/SUM(AttWeights!$C$15:$AW$15))*10</f>
        <v>96.933644832348875</v>
      </c>
      <c r="L19" s="14">
        <f>AVERAGE(SUMPRODUCT($S19:$BM19,AttWeights!$C$8:$AW$8)/SUM(AttWeights!$C$8:$AW$8),SUMPRODUCT($S19:$BM19,AttWeights!$C$16:$AW$16)/SUM(AttWeights!$C$16:$AW$16))*10</f>
        <v>99.507415704846437</v>
      </c>
      <c r="M19" s="14">
        <f>AVERAGE(SUMPRODUCT($S19:$BM19,AttWeights!$C$9:$AW$9)/SUM(AttWeights!$C$9:$AW$9),SUMPRODUCT($S19:$BM19,AttWeights!$C$15:$AW$15)/SUM(AttWeights!$C$15:$AW$15))*10</f>
        <v>94.543795030855222</v>
      </c>
      <c r="N19" s="14">
        <f>AVERAGE(SUMPRODUCT($S19:$BM19,AttWeights!$C$6:$AW$6)/SUM(AttWeights!$C$6:$AW$6),SUMPRODUCT($S19:$BM19,AttWeights!$C$14:$AW$14)/SUM(AttWeights!$C$14:$AW$14))*10</f>
        <v>100.60843925032313</v>
      </c>
      <c r="O19" s="14">
        <f>AVERAGE(SUMPRODUCT($S19:$BM19,AttWeights!$C$5:$AW$5)/SUM(AttWeights!$C$5:$AW$5),SUMPRODUCT($S19:$BM19,AttWeights!$C$14:$AW$14)/SUM(AttWeights!$C$14:$AW$14))*10</f>
        <v>97.939522846263685</v>
      </c>
      <c r="P19" s="14">
        <f>AVERAGE(SUMPRODUCT($S19:$BM19,AttWeights!$C$4:$AW$4)/SUM(AttWeights!$C$4:$AW$4),SUMPRODUCT($S19:$BM19,AttWeights!$C$13:$AW$13)/SUM(AttWeights!$C$13:$AW$13))*10</f>
        <v>98.159340659340657</v>
      </c>
      <c r="Q19" s="14">
        <f>AVERAGE(SUMPRODUCT($S19:$BM19,AttWeights!$C$3:$AW$3)/SUM(AttWeights!$C$3:$AW$3),SUMPRODUCT($S19:$BM19,AttWeights!$C$12:$AW$12)/SUM(AttWeights!$C$12:$AW$12))*10</f>
        <v>95.777221526908647</v>
      </c>
      <c r="R19" s="14">
        <f>AVERAGE(SUMPRODUCT($S19:$BM19,AttWeights!$C$2:$AW$2)/SUM(AttWeights!$C$2:$AW$2),SUMPRODUCT($S19:$BM19,AttWeights!$C$11:$AW$11)/SUM(AttWeights!$C$11:$AW$11))*10</f>
        <v>65.573008073008069</v>
      </c>
      <c r="S19" s="3">
        <f>IF(ISBLANK('Paste Full'!AC19),"",'Paste Full'!AC19)</f>
        <v>8</v>
      </c>
      <c r="T19" s="3">
        <f>IF(ISBLANK('Paste Full'!AD19),"",'Paste Full'!AD19)</f>
        <v>12</v>
      </c>
      <c r="U19" s="3" t="str">
        <f>IF(ISBLANK('Paste Full'!AE19),"",'Paste Full'!AE19)</f>
        <v>$17</v>
      </c>
      <c r="V19" s="3">
        <f>IF(ISBLANK('Paste Full'!AF19),"",'Paste Full'!AF19)</f>
        <v>12</v>
      </c>
      <c r="W19" s="3">
        <f>IF(ISBLANK('Paste Full'!AH19),"",'Paste Full'!AH19)</f>
        <v>14</v>
      </c>
      <c r="X19" s="3">
        <f>IF(ISBLANK('Paste Full'!AI19),"",'Paste Full'!AI19)</f>
        <v>9</v>
      </c>
      <c r="Y19" s="3">
        <f>IF(ISBLANK('Paste Full'!AK19),"",'Paste Full'!AK19)</f>
        <v>12</v>
      </c>
      <c r="Z19" s="3">
        <f>IF(ISBLANK('Paste Full'!AL19),"",'Paste Full'!AL19)</f>
        <v>10</v>
      </c>
      <c r="AA19" s="4">
        <f>IF(ISBLANK('Paste Full'!AM19),"",'Paste Full'!AM19)</f>
        <v>1</v>
      </c>
      <c r="AB19" s="4">
        <f>IF(ISBLANK('Paste Full'!AN19),"",'Paste Full'!AN19)</f>
        <v>1</v>
      </c>
      <c r="AC19" s="4">
        <f>IF(ISBLANK('Paste Full'!AO19),"",'Paste Full'!AO19)</f>
        <v>2</v>
      </c>
      <c r="AD19" s="4">
        <f>IF(ISBLANK('Paste Full'!AP19),"",'Paste Full'!AP19)</f>
        <v>2</v>
      </c>
      <c r="AE19" s="4">
        <f>IF(ISBLANK('Paste Full'!AQ19),"",'Paste Full'!AQ19)</f>
        <v>2</v>
      </c>
      <c r="AF19" s="4">
        <f>IF(ISBLANK('Paste Full'!AR19),"",'Paste Full'!AR19)</f>
        <v>2</v>
      </c>
      <c r="AG19" s="4">
        <f>IF(ISBLANK('Paste Full'!AS19),"",'Paste Full'!AS19)</f>
        <v>3</v>
      </c>
      <c r="AH19" s="4">
        <f>IF(ISBLANK('Paste Full'!AV19),"",'Paste Full'!AV19)</f>
        <v>1</v>
      </c>
      <c r="AI19" s="4">
        <f>IF(ISBLANK('Paste Full'!AT19),"",'Paste Full'!AT19)</f>
        <v>3</v>
      </c>
      <c r="AJ19" s="4">
        <f>IF(ISBLANK('Paste Full'!AU19),"",'Paste Full'!AU19)</f>
        <v>1</v>
      </c>
      <c r="AK19" s="4">
        <f>IF(ISBLANK('Paste Full'!AW19),"",'Paste Full'!AW19)</f>
        <v>3</v>
      </c>
      <c r="AL19" s="5">
        <f>IF(ISBLANK('Paste Full'!AX19),"",'Paste Full'!AX19)</f>
        <v>12</v>
      </c>
      <c r="AM19" s="5">
        <f>IF(ISBLANK('Paste Full'!AY19),"",'Paste Full'!AY19)</f>
        <v>10</v>
      </c>
      <c r="AN19" s="5">
        <f>IF(ISBLANK('Paste Full'!AZ19),"",'Paste Full'!AZ19)</f>
        <v>7</v>
      </c>
      <c r="AO19" s="5">
        <f>IF(ISBLANK('Paste Full'!BA19),"",'Paste Full'!BA19)</f>
        <v>16</v>
      </c>
      <c r="AP19" s="5">
        <f>IF(ISBLANK('Paste Full'!BB19),"",'Paste Full'!BB19)</f>
        <v>12</v>
      </c>
      <c r="AQ19" s="5">
        <f>IF(ISBLANK('Paste Full'!BC19),"",'Paste Full'!BC19)</f>
        <v>14</v>
      </c>
      <c r="AR19" s="5">
        <f>IF(ISBLANK('Paste Full'!BD19),"",'Paste Full'!BD19)</f>
        <v>16</v>
      </c>
      <c r="AS19" s="5">
        <f>IF(ISBLANK('Paste Full'!BE19),"",'Paste Full'!BE19)</f>
        <v>10</v>
      </c>
      <c r="AT19" s="5">
        <f>IF(ISBLANK('Paste Full'!BF19),"",'Paste Full'!BF19)</f>
        <v>6</v>
      </c>
      <c r="AU19" s="5">
        <f>IF(ISBLANK('Paste Full'!BG19),"",'Paste Full'!BG19)</f>
        <v>13</v>
      </c>
      <c r="AV19" s="5">
        <f>IF(ISBLANK('Paste Full'!BH19),"",'Paste Full'!BH19)</f>
        <v>12</v>
      </c>
      <c r="AW19" s="5">
        <f>IF(ISBLANK('Paste Full'!BI19),"",'Paste Full'!BI19)</f>
        <v>12</v>
      </c>
      <c r="AX19" s="5">
        <f>IF(ISBLANK('Paste Full'!BJ19),"",'Paste Full'!BJ19)</f>
        <v>16</v>
      </c>
      <c r="AY19" s="5">
        <f>IF(ISBLANK('Paste Full'!BK19),"",'Paste Full'!BK19)</f>
        <v>14</v>
      </c>
      <c r="AZ19" s="6">
        <f>IF(ISBLANK('Paste Full'!BM19),"",'Paste Full'!BM19)</f>
        <v>3</v>
      </c>
      <c r="BA19" s="6">
        <f>IF(ISBLANK('Paste Full'!BN19),"",'Paste Full'!BN19)</f>
        <v>7</v>
      </c>
      <c r="BB19" s="6">
        <f>IF(ISBLANK('Paste Full'!BO19),"",'Paste Full'!BO19)</f>
        <v>5</v>
      </c>
      <c r="BC19" s="6">
        <f>IF(ISBLANK('Paste Full'!BP19),"",'Paste Full'!BP19)</f>
        <v>15</v>
      </c>
      <c r="BD19" s="6">
        <f>IF(ISBLANK('Paste Full'!BR19),"",'Paste Full'!BR19)</f>
        <v>7</v>
      </c>
      <c r="BE19" s="6">
        <f>IF(ISBLANK('Paste Full'!BS19),"",'Paste Full'!BS19)</f>
        <v>9</v>
      </c>
      <c r="BF19" s="6">
        <f>IF(ISBLANK('Paste Full'!BU19),"",'Paste Full'!BU19)</f>
        <v>13</v>
      </c>
      <c r="BG19" s="6">
        <f>IF(ISBLANK('Paste Full'!BV19),"",'Paste Full'!BV19)</f>
        <v>13</v>
      </c>
      <c r="BH19" s="6">
        <f>IF(ISBLANK('Paste Full'!BX19),"",'Paste Full'!BX19)</f>
        <v>7</v>
      </c>
      <c r="BI19" s="6">
        <f>IF(ISBLANK('Paste Full'!BY19),"",'Paste Full'!BY19)</f>
        <v>13</v>
      </c>
      <c r="BJ19" s="13">
        <f>IF(ISBLANK('Paste Full'!BL19),"",'Paste Full'!BL19)</f>
        <v>4</v>
      </c>
      <c r="BK19" s="13">
        <f>IF(ISBLANK('Paste Full'!BQ19),"",'Paste Full'!BQ19)</f>
        <v>6</v>
      </c>
      <c r="BL19" s="13">
        <f>IF(ISBLANK('Paste Full'!BT19),"",'Paste Full'!BT19)</f>
        <v>1</v>
      </c>
      <c r="BM19" s="13">
        <f>IF(ISBLANK('Paste Full'!BW19),"",'Paste Full'!BW19)</f>
        <v>5</v>
      </c>
      <c r="BN19" s="41">
        <f>IF(ISBLANK('Paste Full'!BZ19),"",'Paste Full'!BZ19)</f>
        <v>1</v>
      </c>
      <c r="BO19" s="41">
        <f>IF(ISBLANK('Paste Full'!CA19),"",'Paste Full'!CA19)</f>
        <v>1</v>
      </c>
      <c r="BP19" s="41">
        <f>IF(ISBLANK('Paste Full'!CB19),"",'Paste Full'!CB19)</f>
        <v>1</v>
      </c>
      <c r="BQ19" s="41">
        <f>IF(ISBLANK('Paste Full'!CC19),"",'Paste Full'!CC19)</f>
        <v>1</v>
      </c>
      <c r="BR19" s="41">
        <f>IF(ISBLANK('Paste Full'!CD19),"",'Paste Full'!CD19)</f>
        <v>20</v>
      </c>
      <c r="BS19" s="41">
        <f>IF(ISBLANK('Paste Full'!CE19),"",'Paste Full'!CE19)</f>
        <v>1</v>
      </c>
      <c r="BT19" s="41">
        <f>IF(ISBLANK('Paste Full'!CF19),"",'Paste Full'!CF19)</f>
        <v>1</v>
      </c>
      <c r="BU19" s="41">
        <f>IF(ISBLANK('Paste Full'!CG19),"",'Paste Full'!CG19)</f>
        <v>1</v>
      </c>
      <c r="BV19" s="41">
        <f>IF(ISBLANK('Paste Full'!CH19),"",'Paste Full'!CH19)</f>
        <v>1</v>
      </c>
    </row>
    <row r="20" spans="1:74" x14ac:dyDescent="0.3">
      <c r="A20" t="str">
        <f>IF(ISBLANK('Paste Full'!C20),"",'Paste Full'!C20)</f>
        <v>Mannie Barton</v>
      </c>
      <c r="B20" t="str">
        <f t="shared" si="0"/>
        <v>AM(C)</v>
      </c>
      <c r="C20" s="2">
        <f>IF(ISBLANK('Paste Full'!H20),"",'Paste Full'!H20)</f>
        <v>22</v>
      </c>
      <c r="D20" s="2">
        <f>IF(ISBLANK('Paste Full'!F20),"",'Paste Full'!F20)</f>
        <v>81</v>
      </c>
      <c r="E20" s="2">
        <f>IF(ISBLANK('Paste Full'!G20),"",'Paste Full'!G20)</f>
        <v>92</v>
      </c>
      <c r="F20" s="21" t="str">
        <f>IF(ISBLANK('Paste Full'!E20),"",'Paste Full'!E20)</f>
        <v>Wales</v>
      </c>
      <c r="G20" t="str">
        <f>IF(ISBLANK('Paste Full'!CI20),"",'Paste Full'!CI20)</f>
        <v/>
      </c>
      <c r="H20" s="21" t="str">
        <f>IF(ISBLANK('Paste Full'!J20),"",'Paste Full'!J20)</f>
        <v>$0</v>
      </c>
      <c r="I20" s="21" t="str">
        <f>IF(ISBLANK('Paste Full'!D20),"",'Paste Full'!D20)</f>
        <v>AM/ST RLC</v>
      </c>
      <c r="J20" s="14">
        <f>AVERAGE(SUMPRODUCT($S20:$BM20,AttWeights!$C$10:$AW$10)/SUM(AttWeights!$C$10:$AW$10),SUMPRODUCT($S20:$BM20,AttWeights!$C$17:$AW$17)/SUM(AttWeights!$C$17:$AW$17))*10</f>
        <v>83.334765792866364</v>
      </c>
      <c r="K20" s="14">
        <f>AVERAGE(SUMPRODUCT($S20:$BM20,AttWeights!$C$7:$AW$7)/SUM(AttWeights!$C$7:$AW$7),SUMPRODUCT($S20:$BM20,AttWeights!$C$15:$AW$15)/SUM(AttWeights!$C$15:$AW$15))*10</f>
        <v>86.950395251109356</v>
      </c>
      <c r="L20" s="14">
        <f>AVERAGE(SUMPRODUCT($S20:$BM20,AttWeights!$C$8:$AW$8)/SUM(AttWeights!$C$8:$AW$8),SUMPRODUCT($S20:$BM20,AttWeights!$C$16:$AW$16)/SUM(AttWeights!$C$16:$AW$16))*10</f>
        <v>87.486033519553075</v>
      </c>
      <c r="M20" s="14">
        <f>AVERAGE(SUMPRODUCT($S20:$BM20,AttWeights!$C$9:$AW$9)/SUM(AttWeights!$C$9:$AW$9),SUMPRODUCT($S20:$BM20,AttWeights!$C$15:$AW$15)/SUM(AttWeights!$C$15:$AW$15))*10</f>
        <v>86.274918419437171</v>
      </c>
      <c r="N20" s="14">
        <f>AVERAGE(SUMPRODUCT($S20:$BM20,AttWeights!$C$6:$AW$6)/SUM(AttWeights!$C$6:$AW$6),SUMPRODUCT($S20:$BM20,AttWeights!$C$14:$AW$14)/SUM(AttWeights!$C$14:$AW$14))*10</f>
        <v>83.198378931495043</v>
      </c>
      <c r="O20" s="14">
        <f>AVERAGE(SUMPRODUCT($S20:$BM20,AttWeights!$C$5:$AW$5)/SUM(AttWeights!$C$5:$AW$5),SUMPRODUCT($S20:$BM20,AttWeights!$C$14:$AW$14)/SUM(AttWeights!$C$14:$AW$14))*10</f>
        <v>81.600279628748211</v>
      </c>
      <c r="P20" s="14">
        <f>AVERAGE(SUMPRODUCT($S20:$BM20,AttWeights!$C$4:$AW$4)/SUM(AttWeights!$C$4:$AW$4),SUMPRODUCT($S20:$BM20,AttWeights!$C$13:$AW$13)/SUM(AttWeights!$C$13:$AW$13))*10</f>
        <v>78.135302197802204</v>
      </c>
      <c r="Q20" s="14">
        <f>AVERAGE(SUMPRODUCT($S20:$BM20,AttWeights!$C$3:$AW$3)/SUM(AttWeights!$C$3:$AW$3),SUMPRODUCT($S20:$BM20,AttWeights!$C$12:$AW$12)/SUM(AttWeights!$C$12:$AW$12))*10</f>
        <v>81.530037546933656</v>
      </c>
      <c r="R20" s="14">
        <f>AVERAGE(SUMPRODUCT($S20:$BM20,AttWeights!$C$2:$AW$2)/SUM(AttWeights!$C$2:$AW$2),SUMPRODUCT($S20:$BM20,AttWeights!$C$11:$AW$11)/SUM(AttWeights!$C$11:$AW$11))*10</f>
        <v>58.967620217620222</v>
      </c>
      <c r="S20" s="3">
        <f>IF(ISBLANK('Paste Full'!AC20),"",'Paste Full'!AC20)</f>
        <v>12</v>
      </c>
      <c r="T20" s="3">
        <f>IF(ISBLANK('Paste Full'!AD20),"",'Paste Full'!AD20)</f>
        <v>10</v>
      </c>
      <c r="U20" s="3" t="str">
        <f>IF(ISBLANK('Paste Full'!AE20),"",'Paste Full'!AE20)</f>
        <v>$12</v>
      </c>
      <c r="V20" s="3">
        <f>IF(ISBLANK('Paste Full'!AF20),"",'Paste Full'!AF20)</f>
        <v>7</v>
      </c>
      <c r="W20" s="3">
        <f>IF(ISBLANK('Paste Full'!AH20),"",'Paste Full'!AH20)</f>
        <v>9</v>
      </c>
      <c r="X20" s="3">
        <f>IF(ISBLANK('Paste Full'!AI20),"",'Paste Full'!AI20)</f>
        <v>11</v>
      </c>
      <c r="Y20" s="3">
        <f>IF(ISBLANK('Paste Full'!AK20),"",'Paste Full'!AK20)</f>
        <v>10</v>
      </c>
      <c r="Z20" s="3">
        <f>IF(ISBLANK('Paste Full'!AL20),"",'Paste Full'!AL20)</f>
        <v>8</v>
      </c>
      <c r="AA20" s="4">
        <f>IF(ISBLANK('Paste Full'!AM20),"",'Paste Full'!AM20)</f>
        <v>4</v>
      </c>
      <c r="AB20" s="4">
        <f>IF(ISBLANK('Paste Full'!AN20),"",'Paste Full'!AN20)</f>
        <v>3</v>
      </c>
      <c r="AC20" s="4">
        <f>IF(ISBLANK('Paste Full'!AO20),"",'Paste Full'!AO20)</f>
        <v>3</v>
      </c>
      <c r="AD20" s="4">
        <f>IF(ISBLANK('Paste Full'!AP20),"",'Paste Full'!AP20)</f>
        <v>1</v>
      </c>
      <c r="AE20" s="4">
        <f>IF(ISBLANK('Paste Full'!AQ20),"",'Paste Full'!AQ20)</f>
        <v>2</v>
      </c>
      <c r="AF20" s="4">
        <f>IF(ISBLANK('Paste Full'!AR20),"",'Paste Full'!AR20)</f>
        <v>1</v>
      </c>
      <c r="AG20" s="4">
        <f>IF(ISBLANK('Paste Full'!AS20),"",'Paste Full'!AS20)</f>
        <v>3</v>
      </c>
      <c r="AH20" s="4">
        <f>IF(ISBLANK('Paste Full'!AV20),"",'Paste Full'!AV20)</f>
        <v>4</v>
      </c>
      <c r="AI20" s="4">
        <f>IF(ISBLANK('Paste Full'!AT20),"",'Paste Full'!AT20)</f>
        <v>3</v>
      </c>
      <c r="AJ20" s="4">
        <f>IF(ISBLANK('Paste Full'!AU20),"",'Paste Full'!AU20)</f>
        <v>3</v>
      </c>
      <c r="AK20" s="4">
        <f>IF(ISBLANK('Paste Full'!AW20),"",'Paste Full'!AW20)</f>
        <v>1</v>
      </c>
      <c r="AL20" s="5">
        <f>IF(ISBLANK('Paste Full'!AX20),"",'Paste Full'!AX20)</f>
        <v>7</v>
      </c>
      <c r="AM20" s="5">
        <f>IF(ISBLANK('Paste Full'!AY20),"",'Paste Full'!AY20)</f>
        <v>9</v>
      </c>
      <c r="AN20" s="5">
        <f>IF(ISBLANK('Paste Full'!AZ20),"",'Paste Full'!AZ20)</f>
        <v>8</v>
      </c>
      <c r="AO20" s="5">
        <f>IF(ISBLANK('Paste Full'!BA20),"",'Paste Full'!BA20)</f>
        <v>10</v>
      </c>
      <c r="AP20" s="5">
        <f>IF(ISBLANK('Paste Full'!BB20),"",'Paste Full'!BB20)</f>
        <v>7</v>
      </c>
      <c r="AQ20" s="5">
        <f>IF(ISBLANK('Paste Full'!BC20),"",'Paste Full'!BC20)</f>
        <v>10</v>
      </c>
      <c r="AR20" s="5">
        <f>IF(ISBLANK('Paste Full'!BD20),"",'Paste Full'!BD20)</f>
        <v>15</v>
      </c>
      <c r="AS20" s="5">
        <f>IF(ISBLANK('Paste Full'!BE20),"",'Paste Full'!BE20)</f>
        <v>13</v>
      </c>
      <c r="AT20" s="5">
        <f>IF(ISBLANK('Paste Full'!BF20),"",'Paste Full'!BF20)</f>
        <v>9</v>
      </c>
      <c r="AU20" s="5">
        <f>IF(ISBLANK('Paste Full'!BG20),"",'Paste Full'!BG20)</f>
        <v>9</v>
      </c>
      <c r="AV20" s="5">
        <f>IF(ISBLANK('Paste Full'!BH20),"",'Paste Full'!BH20)</f>
        <v>8</v>
      </c>
      <c r="AW20" s="5">
        <f>IF(ISBLANK('Paste Full'!BI20),"",'Paste Full'!BI20)</f>
        <v>9</v>
      </c>
      <c r="AX20" s="5">
        <f>IF(ISBLANK('Paste Full'!BJ20),"",'Paste Full'!BJ20)</f>
        <v>10</v>
      </c>
      <c r="AY20" s="5">
        <f>IF(ISBLANK('Paste Full'!BK20),"",'Paste Full'!BK20)</f>
        <v>12</v>
      </c>
      <c r="AZ20" s="6">
        <f>IF(ISBLANK('Paste Full'!BM20),"",'Paste Full'!BM20)</f>
        <v>10</v>
      </c>
      <c r="BA20" s="6">
        <f>IF(ISBLANK('Paste Full'!BN20),"",'Paste Full'!BN20)</f>
        <v>12</v>
      </c>
      <c r="BB20" s="6">
        <f>IF(ISBLANK('Paste Full'!BO20),"",'Paste Full'!BO20)</f>
        <v>12</v>
      </c>
      <c r="BC20" s="6">
        <f>IF(ISBLANK('Paste Full'!BP20),"",'Paste Full'!BP20)</f>
        <v>9</v>
      </c>
      <c r="BD20" s="6">
        <f>IF(ISBLANK('Paste Full'!BR20),"",'Paste Full'!BR20)</f>
        <v>6</v>
      </c>
      <c r="BE20" s="6">
        <f>IF(ISBLANK('Paste Full'!BS20),"",'Paste Full'!BS20)</f>
        <v>10</v>
      </c>
      <c r="BF20" s="6">
        <f>IF(ISBLANK('Paste Full'!BU20),"",'Paste Full'!BU20)</f>
        <v>8</v>
      </c>
      <c r="BG20" s="6">
        <f>IF(ISBLANK('Paste Full'!BV20),"",'Paste Full'!BV20)</f>
        <v>8</v>
      </c>
      <c r="BH20" s="6">
        <f>IF(ISBLANK('Paste Full'!BX20),"",'Paste Full'!BX20)</f>
        <v>5</v>
      </c>
      <c r="BI20" s="6">
        <f>IF(ISBLANK('Paste Full'!BY20),"",'Paste Full'!BY20)</f>
        <v>11</v>
      </c>
      <c r="BJ20" s="13">
        <f>IF(ISBLANK('Paste Full'!BL20),"",'Paste Full'!BL20)</f>
        <v>11</v>
      </c>
      <c r="BK20" s="13">
        <f>IF(ISBLANK('Paste Full'!BQ20),"",'Paste Full'!BQ20)</f>
        <v>5</v>
      </c>
      <c r="BL20" s="13">
        <f>IF(ISBLANK('Paste Full'!BT20),"",'Paste Full'!BT20)</f>
        <v>3</v>
      </c>
      <c r="BM20" s="13">
        <f>IF(ISBLANK('Paste Full'!BW20),"",'Paste Full'!BW20)</f>
        <v>8</v>
      </c>
      <c r="BN20" s="41">
        <f>IF(ISBLANK('Paste Full'!BZ20),"",'Paste Full'!BZ20)</f>
        <v>1</v>
      </c>
      <c r="BO20" s="41">
        <f>IF(ISBLANK('Paste Full'!CA20),"",'Paste Full'!CA20)</f>
        <v>1</v>
      </c>
      <c r="BP20" s="41">
        <f>IF(ISBLANK('Paste Full'!CB20),"",'Paste Full'!CB20)</f>
        <v>1</v>
      </c>
      <c r="BQ20" s="41">
        <f>IF(ISBLANK('Paste Full'!CC20),"",'Paste Full'!CC20)</f>
        <v>1</v>
      </c>
      <c r="BR20" s="41">
        <f>IF(ISBLANK('Paste Full'!CD20),"",'Paste Full'!CD20)</f>
        <v>1</v>
      </c>
      <c r="BS20" s="41">
        <f>IF(ISBLANK('Paste Full'!CE20),"",'Paste Full'!CE20)</f>
        <v>16</v>
      </c>
      <c r="BT20" s="41">
        <f>IF(ISBLANK('Paste Full'!CF20),"",'Paste Full'!CF20)</f>
        <v>16</v>
      </c>
      <c r="BU20" s="41">
        <f>IF(ISBLANK('Paste Full'!CG20),"",'Paste Full'!CG20)</f>
        <v>16</v>
      </c>
      <c r="BV20" s="41">
        <f>IF(ISBLANK('Paste Full'!CH20),"",'Paste Full'!CH20)</f>
        <v>20</v>
      </c>
    </row>
    <row r="21" spans="1:74" x14ac:dyDescent="0.3">
      <c r="A21" t="str">
        <f>IF(ISBLANK('Paste Full'!C21),"",'Paste Full'!C21)</f>
        <v>Mateusz Widz</v>
      </c>
      <c r="B21" t="str">
        <f t="shared" si="0"/>
        <v>AM(R)</v>
      </c>
      <c r="C21" s="2">
        <f>IF(ISBLANK('Paste Full'!H21),"",'Paste Full'!H21)</f>
        <v>19</v>
      </c>
      <c r="D21" s="2">
        <f>IF(ISBLANK('Paste Full'!F21),"",'Paste Full'!F21)</f>
        <v>123</v>
      </c>
      <c r="E21" s="2">
        <f>IF(ISBLANK('Paste Full'!G21),"",'Paste Full'!G21)</f>
        <v>165</v>
      </c>
      <c r="F21" s="21" t="str">
        <f>IF(ISBLANK('Paste Full'!E21),"",'Paste Full'!E21)</f>
        <v>Poland,England</v>
      </c>
      <c r="G21" t="str">
        <f>IF(ISBLANK('Paste Full'!CI21),"",'Paste Full'!CI21)</f>
        <v/>
      </c>
      <c r="H21" s="21" t="str">
        <f>IF(ISBLANK('Paste Full'!J21),"",'Paste Full'!J21)</f>
        <v>$650,110</v>
      </c>
      <c r="I21" s="21" t="str">
        <f>IF(ISBLANK('Paste Full'!D21),"",'Paste Full'!D21)</f>
        <v>AM/ST R</v>
      </c>
      <c r="J21" s="14">
        <f>AVERAGE(SUMPRODUCT($S21:$BM21,AttWeights!$C$10:$AW$10)/SUM(AttWeights!$C$10:$AW$10),SUMPRODUCT($S21:$BM21,AttWeights!$C$17:$AW$17)/SUM(AttWeights!$C$17:$AW$17))*10</f>
        <v>108.0630282194528</v>
      </c>
      <c r="K21" s="14">
        <f>AVERAGE(SUMPRODUCT($S21:$BM21,AttWeights!$C$7:$AW$7)/SUM(AttWeights!$C$7:$AW$7),SUMPRODUCT($S21:$BM21,AttWeights!$C$15:$AW$15)/SUM(AttWeights!$C$15:$AW$15))*10</f>
        <v>109.56919098416058</v>
      </c>
      <c r="L21" s="14">
        <f>AVERAGE(SUMPRODUCT($S21:$BM21,AttWeights!$C$8:$AW$8)/SUM(AttWeights!$C$8:$AW$8),SUMPRODUCT($S21:$BM21,AttWeights!$C$16:$AW$16)/SUM(AttWeights!$C$16:$AW$16))*10</f>
        <v>109.68011797067747</v>
      </c>
      <c r="M21" s="14">
        <f>AVERAGE(SUMPRODUCT($S21:$BM21,AttWeights!$C$9:$AW$9)/SUM(AttWeights!$C$9:$AW$9),SUMPRODUCT($S21:$BM21,AttWeights!$C$15:$AW$15)/SUM(AttWeights!$C$15:$AW$15))*10</f>
        <v>111.17653710704016</v>
      </c>
      <c r="N21" s="14">
        <f>AVERAGE(SUMPRODUCT($S21:$BM21,AttWeights!$C$6:$AW$6)/SUM(AttWeights!$C$6:$AW$6),SUMPRODUCT($S21:$BM21,AttWeights!$C$14:$AW$14)/SUM(AttWeights!$C$14:$AW$14))*10</f>
        <v>104.17519388194745</v>
      </c>
      <c r="O21" s="14">
        <f>AVERAGE(SUMPRODUCT($S21:$BM21,AttWeights!$C$5:$AW$5)/SUM(AttWeights!$C$5:$AW$5),SUMPRODUCT($S21:$BM21,AttWeights!$C$14:$AW$14)/SUM(AttWeights!$C$14:$AW$14))*10</f>
        <v>101.8196692051404</v>
      </c>
      <c r="P21" s="14">
        <f>AVERAGE(SUMPRODUCT($S21:$BM21,AttWeights!$C$4:$AW$4)/SUM(AttWeights!$C$4:$AW$4),SUMPRODUCT($S21:$BM21,AttWeights!$C$13:$AW$13)/SUM(AttWeights!$C$13:$AW$13))*10</f>
        <v>99.206730769230774</v>
      </c>
      <c r="Q21" s="14">
        <f>AVERAGE(SUMPRODUCT($S21:$BM21,AttWeights!$C$3:$AW$3)/SUM(AttWeights!$C$3:$AW$3),SUMPRODUCT($S21:$BM21,AttWeights!$C$12:$AW$12)/SUM(AttWeights!$C$12:$AW$12))*10</f>
        <v>102.91927409261578</v>
      </c>
      <c r="R21" s="14">
        <f>AVERAGE(SUMPRODUCT($S21:$BM21,AttWeights!$C$2:$AW$2)/SUM(AttWeights!$C$2:$AW$2),SUMPRODUCT($S21:$BM21,AttWeights!$C$11:$AW$11)/SUM(AttWeights!$C$11:$AW$11))*10</f>
        <v>66.317567567567565</v>
      </c>
      <c r="S21" s="3">
        <f>IF(ISBLANK('Paste Full'!AC21),"",'Paste Full'!AC21)</f>
        <v>14</v>
      </c>
      <c r="T21" s="3">
        <f>IF(ISBLANK('Paste Full'!AD21),"",'Paste Full'!AD21)</f>
        <v>14</v>
      </c>
      <c r="U21" s="3" t="str">
        <f>IF(ISBLANK('Paste Full'!AE21),"",'Paste Full'!AE21)</f>
        <v>$15</v>
      </c>
      <c r="V21" s="3">
        <f>IF(ISBLANK('Paste Full'!AF21),"",'Paste Full'!AF21)</f>
        <v>14</v>
      </c>
      <c r="W21" s="3">
        <f>IF(ISBLANK('Paste Full'!AH21),"",'Paste Full'!AH21)</f>
        <v>11</v>
      </c>
      <c r="X21" s="3">
        <f>IF(ISBLANK('Paste Full'!AI21),"",'Paste Full'!AI21)</f>
        <v>14</v>
      </c>
      <c r="Y21" s="3">
        <f>IF(ISBLANK('Paste Full'!AK21),"",'Paste Full'!AK21)</f>
        <v>12</v>
      </c>
      <c r="Z21" s="3">
        <f>IF(ISBLANK('Paste Full'!AL21),"",'Paste Full'!AL21)</f>
        <v>11</v>
      </c>
      <c r="AA21" s="4">
        <f>IF(ISBLANK('Paste Full'!AM21),"",'Paste Full'!AM21)</f>
        <v>2</v>
      </c>
      <c r="AB21" s="4">
        <f>IF(ISBLANK('Paste Full'!AN21),"",'Paste Full'!AN21)</f>
        <v>3</v>
      </c>
      <c r="AC21" s="4">
        <f>IF(ISBLANK('Paste Full'!AO21),"",'Paste Full'!AO21)</f>
        <v>2</v>
      </c>
      <c r="AD21" s="4">
        <f>IF(ISBLANK('Paste Full'!AP21),"",'Paste Full'!AP21)</f>
        <v>1</v>
      </c>
      <c r="AE21" s="4">
        <f>IF(ISBLANK('Paste Full'!AQ21),"",'Paste Full'!AQ21)</f>
        <v>1</v>
      </c>
      <c r="AF21" s="4">
        <f>IF(ISBLANK('Paste Full'!AR21),"",'Paste Full'!AR21)</f>
        <v>1</v>
      </c>
      <c r="AG21" s="4">
        <f>IF(ISBLANK('Paste Full'!AS21),"",'Paste Full'!AS21)</f>
        <v>2</v>
      </c>
      <c r="AH21" s="4">
        <f>IF(ISBLANK('Paste Full'!AV21),"",'Paste Full'!AV21)</f>
        <v>1</v>
      </c>
      <c r="AI21" s="4">
        <f>IF(ISBLANK('Paste Full'!AT21),"",'Paste Full'!AT21)</f>
        <v>2</v>
      </c>
      <c r="AJ21" s="4">
        <f>IF(ISBLANK('Paste Full'!AU21),"",'Paste Full'!AU21)</f>
        <v>3</v>
      </c>
      <c r="AK21" s="4">
        <f>IF(ISBLANK('Paste Full'!AW21),"",'Paste Full'!AW21)</f>
        <v>2</v>
      </c>
      <c r="AL21" s="5">
        <f>IF(ISBLANK('Paste Full'!AX21),"",'Paste Full'!AX21)</f>
        <v>12</v>
      </c>
      <c r="AM21" s="5">
        <f>IF(ISBLANK('Paste Full'!AY21),"",'Paste Full'!AY21)</f>
        <v>14</v>
      </c>
      <c r="AN21" s="5">
        <f>IF(ISBLANK('Paste Full'!AZ21),"",'Paste Full'!AZ21)</f>
        <v>12</v>
      </c>
      <c r="AO21" s="5">
        <f>IF(ISBLANK('Paste Full'!BA21),"",'Paste Full'!BA21)</f>
        <v>12</v>
      </c>
      <c r="AP21" s="5">
        <f>IF(ISBLANK('Paste Full'!BB21),"",'Paste Full'!BB21)</f>
        <v>5</v>
      </c>
      <c r="AQ21" s="5">
        <f>IF(ISBLANK('Paste Full'!BC21),"",'Paste Full'!BC21)</f>
        <v>13</v>
      </c>
      <c r="AR21" s="5">
        <f>IF(ISBLANK('Paste Full'!BD21),"",'Paste Full'!BD21)</f>
        <v>20</v>
      </c>
      <c r="AS21" s="5">
        <f>IF(ISBLANK('Paste Full'!BE21),"",'Paste Full'!BE21)</f>
        <v>14</v>
      </c>
      <c r="AT21" s="5">
        <f>IF(ISBLANK('Paste Full'!BF21),"",'Paste Full'!BF21)</f>
        <v>20</v>
      </c>
      <c r="AU21" s="5">
        <f>IF(ISBLANK('Paste Full'!BG21),"",'Paste Full'!BG21)</f>
        <v>14</v>
      </c>
      <c r="AV21" s="5">
        <f>IF(ISBLANK('Paste Full'!BH21),"",'Paste Full'!BH21)</f>
        <v>5</v>
      </c>
      <c r="AW21" s="5">
        <f>IF(ISBLANK('Paste Full'!BI21),"",'Paste Full'!BI21)</f>
        <v>20</v>
      </c>
      <c r="AX21" s="5">
        <f>IF(ISBLANK('Paste Full'!BJ21),"",'Paste Full'!BJ21)</f>
        <v>9</v>
      </c>
      <c r="AY21" s="5">
        <f>IF(ISBLANK('Paste Full'!BK21),"",'Paste Full'!BK21)</f>
        <v>13</v>
      </c>
      <c r="AZ21" s="6">
        <f>IF(ISBLANK('Paste Full'!BM21),"",'Paste Full'!BM21)</f>
        <v>10</v>
      </c>
      <c r="BA21" s="6">
        <f>IF(ISBLANK('Paste Full'!BN21),"",'Paste Full'!BN21)</f>
        <v>10</v>
      </c>
      <c r="BB21" s="6">
        <f>IF(ISBLANK('Paste Full'!BO21),"",'Paste Full'!BO21)</f>
        <v>15</v>
      </c>
      <c r="BC21" s="6">
        <f>IF(ISBLANK('Paste Full'!BP21),"",'Paste Full'!BP21)</f>
        <v>12</v>
      </c>
      <c r="BD21" s="6">
        <f>IF(ISBLANK('Paste Full'!BR21),"",'Paste Full'!BR21)</f>
        <v>6</v>
      </c>
      <c r="BE21" s="6">
        <f>IF(ISBLANK('Paste Full'!BS21),"",'Paste Full'!BS21)</f>
        <v>7</v>
      </c>
      <c r="BF21" s="6">
        <f>IF(ISBLANK('Paste Full'!BU21),"",'Paste Full'!BU21)</f>
        <v>10</v>
      </c>
      <c r="BG21" s="6">
        <f>IF(ISBLANK('Paste Full'!BV21),"",'Paste Full'!BV21)</f>
        <v>12</v>
      </c>
      <c r="BH21" s="6">
        <f>IF(ISBLANK('Paste Full'!BX21),"",'Paste Full'!BX21)</f>
        <v>4</v>
      </c>
      <c r="BI21" s="6">
        <f>IF(ISBLANK('Paste Full'!BY21),"",'Paste Full'!BY21)</f>
        <v>16</v>
      </c>
      <c r="BJ21" s="13">
        <f>IF(ISBLANK('Paste Full'!BL21),"",'Paste Full'!BL21)</f>
        <v>8</v>
      </c>
      <c r="BK21" s="13">
        <f>IF(ISBLANK('Paste Full'!BQ21),"",'Paste Full'!BQ21)</f>
        <v>6</v>
      </c>
      <c r="BL21" s="13">
        <f>IF(ISBLANK('Paste Full'!BT21),"",'Paste Full'!BT21)</f>
        <v>2</v>
      </c>
      <c r="BM21" s="13">
        <f>IF(ISBLANK('Paste Full'!BW21),"",'Paste Full'!BW21)</f>
        <v>8</v>
      </c>
      <c r="BN21" s="41">
        <f>IF(ISBLANK('Paste Full'!BZ21),"",'Paste Full'!BZ21)</f>
        <v>1</v>
      </c>
      <c r="BO21" s="41">
        <f>IF(ISBLANK('Paste Full'!CA21),"",'Paste Full'!CA21)</f>
        <v>1</v>
      </c>
      <c r="BP21" s="41">
        <f>IF(ISBLANK('Paste Full'!CB21),"",'Paste Full'!CB21)</f>
        <v>1</v>
      </c>
      <c r="BQ21" s="41">
        <f>IF(ISBLANK('Paste Full'!CC21),"",'Paste Full'!CC21)</f>
        <v>1</v>
      </c>
      <c r="BR21" s="41">
        <f>IF(ISBLANK('Paste Full'!CD21),"",'Paste Full'!CD21)</f>
        <v>1</v>
      </c>
      <c r="BS21" s="41">
        <f>IF(ISBLANK('Paste Full'!CE21),"",'Paste Full'!CE21)</f>
        <v>20</v>
      </c>
      <c r="BT21" s="41">
        <f>IF(ISBLANK('Paste Full'!CF21),"",'Paste Full'!CF21)</f>
        <v>10</v>
      </c>
      <c r="BU21" s="41">
        <f>IF(ISBLANK('Paste Full'!CG21),"",'Paste Full'!CG21)</f>
        <v>1</v>
      </c>
      <c r="BV21" s="41">
        <f>IF(ISBLANK('Paste Full'!CH21),"",'Paste Full'!CH21)</f>
        <v>20</v>
      </c>
    </row>
    <row r="22" spans="1:74" x14ac:dyDescent="0.3">
      <c r="A22" t="str">
        <f>IF(ISBLANK('Paste Full'!C22),"",'Paste Full'!C22)</f>
        <v>Matt Worthington</v>
      </c>
      <c r="B22" t="str">
        <f t="shared" si="0"/>
        <v>D(R/L)</v>
      </c>
      <c r="C22" s="2">
        <f>IF(ISBLANK('Paste Full'!H22),"",'Paste Full'!H22)</f>
        <v>31</v>
      </c>
      <c r="D22" s="2">
        <f>IF(ISBLANK('Paste Full'!F22),"",'Paste Full'!F22)</f>
        <v>102</v>
      </c>
      <c r="E22" s="2">
        <f>IF(ISBLANK('Paste Full'!G22),"",'Paste Full'!G22)</f>
        <v>120</v>
      </c>
      <c r="F22" s="21" t="str">
        <f>IF(ISBLANK('Paste Full'!E22),"",'Paste Full'!E22)</f>
        <v>England</v>
      </c>
      <c r="G22" t="str">
        <f>IF(ISBLANK('Paste Full'!CI22),"",'Paste Full'!CI22)</f>
        <v/>
      </c>
      <c r="H22" s="21" t="str">
        <f>IF(ISBLANK('Paste Full'!J22),"",'Paste Full'!J22)</f>
        <v>$138,075</v>
      </c>
      <c r="I22" s="21" t="str">
        <f>IF(ISBLANK('Paste Full'!D22),"",'Paste Full'!D22)</f>
        <v xml:space="preserve">DM </v>
      </c>
      <c r="J22" s="14">
        <f>AVERAGE(SUMPRODUCT($S22:$BM22,AttWeights!$C$10:$AW$10)/SUM(AttWeights!$C$10:$AW$10),SUMPRODUCT($S22:$BM22,AttWeights!$C$17:$AW$17)/SUM(AttWeights!$C$17:$AW$17))*10</f>
        <v>91.523993697178057</v>
      </c>
      <c r="K22" s="14">
        <f>AVERAGE(SUMPRODUCT($S22:$BM22,AttWeights!$C$7:$AW$7)/SUM(AttWeights!$C$7:$AW$7),SUMPRODUCT($S22:$BM22,AttWeights!$C$15:$AW$15)/SUM(AttWeights!$C$15:$AW$15))*10</f>
        <v>97.45702195186459</v>
      </c>
      <c r="L22" s="14">
        <f>AVERAGE(SUMPRODUCT($S22:$BM22,AttWeights!$C$8:$AW$8)/SUM(AttWeights!$C$8:$AW$8),SUMPRODUCT($S22:$BM22,AttWeights!$C$16:$AW$16)/SUM(AttWeights!$C$16:$AW$16))*10</f>
        <v>97.495533562090571</v>
      </c>
      <c r="M22" s="14">
        <f>AVERAGE(SUMPRODUCT($S22:$BM22,AttWeights!$C$9:$AW$9)/SUM(AttWeights!$C$9:$AW$9),SUMPRODUCT($S22:$BM22,AttWeights!$C$15:$AW$15)/SUM(AttWeights!$C$15:$AW$15))*10</f>
        <v>99.922942715905791</v>
      </c>
      <c r="N22" s="14">
        <f>AVERAGE(SUMPRODUCT($S22:$BM22,AttWeights!$C$6:$AW$6)/SUM(AttWeights!$C$6:$AW$6),SUMPRODUCT($S22:$BM22,AttWeights!$C$14:$AW$14)/SUM(AttWeights!$C$14:$AW$14))*10</f>
        <v>98.829572382593724</v>
      </c>
      <c r="O22" s="14">
        <f>AVERAGE(SUMPRODUCT($S22:$BM22,AttWeights!$C$5:$AW$5)/SUM(AttWeights!$C$5:$AW$5),SUMPRODUCT($S22:$BM22,AttWeights!$C$14:$AW$14)/SUM(AttWeights!$C$14:$AW$14))*10</f>
        <v>100.53412065683008</v>
      </c>
      <c r="P22" s="14">
        <f>AVERAGE(SUMPRODUCT($S22:$BM22,AttWeights!$C$4:$AW$4)/SUM(AttWeights!$C$4:$AW$4),SUMPRODUCT($S22:$BM22,AttWeights!$C$13:$AW$13)/SUM(AttWeights!$C$13:$AW$13))*10</f>
        <v>93.818681318681314</v>
      </c>
      <c r="Q22" s="14">
        <f>AVERAGE(SUMPRODUCT($S22:$BM22,AttWeights!$C$3:$AW$3)/SUM(AttWeights!$C$3:$AW$3),SUMPRODUCT($S22:$BM22,AttWeights!$C$12:$AW$12)/SUM(AttWeights!$C$12:$AW$12))*10</f>
        <v>102.09918648310389</v>
      </c>
      <c r="R22" s="14">
        <f>AVERAGE(SUMPRODUCT($S22:$BM22,AttWeights!$C$2:$AW$2)/SUM(AttWeights!$C$2:$AW$2),SUMPRODUCT($S22:$BM22,AttWeights!$C$11:$AW$11)/SUM(AttWeights!$C$11:$AW$11))*10</f>
        <v>66.450070200070201</v>
      </c>
      <c r="S22" s="3">
        <f>IF(ISBLANK('Paste Full'!AC22),"",'Paste Full'!AC22)</f>
        <v>13</v>
      </c>
      <c r="T22" s="3">
        <f>IF(ISBLANK('Paste Full'!AD22),"",'Paste Full'!AD22)</f>
        <v>10</v>
      </c>
      <c r="U22" s="3" t="str">
        <f>IF(ISBLANK('Paste Full'!AE22),"",'Paste Full'!AE22)</f>
        <v>$10</v>
      </c>
      <c r="V22" s="3">
        <f>IF(ISBLANK('Paste Full'!AF22),"",'Paste Full'!AF22)</f>
        <v>9</v>
      </c>
      <c r="W22" s="3">
        <f>IF(ISBLANK('Paste Full'!AH22),"",'Paste Full'!AH22)</f>
        <v>20</v>
      </c>
      <c r="X22" s="3">
        <f>IF(ISBLANK('Paste Full'!AI22),"",'Paste Full'!AI22)</f>
        <v>11</v>
      </c>
      <c r="Y22" s="3">
        <f>IF(ISBLANK('Paste Full'!AK22),"",'Paste Full'!AK22)</f>
        <v>13</v>
      </c>
      <c r="Z22" s="3">
        <f>IF(ISBLANK('Paste Full'!AL22),"",'Paste Full'!AL22)</f>
        <v>10</v>
      </c>
      <c r="AA22" s="4">
        <f>IF(ISBLANK('Paste Full'!AM22),"",'Paste Full'!AM22)</f>
        <v>1</v>
      </c>
      <c r="AB22" s="4">
        <f>IF(ISBLANK('Paste Full'!AN22),"",'Paste Full'!AN22)</f>
        <v>1</v>
      </c>
      <c r="AC22" s="4">
        <f>IF(ISBLANK('Paste Full'!AO22),"",'Paste Full'!AO22)</f>
        <v>4</v>
      </c>
      <c r="AD22" s="4">
        <f>IF(ISBLANK('Paste Full'!AP22),"",'Paste Full'!AP22)</f>
        <v>2</v>
      </c>
      <c r="AE22" s="4">
        <f>IF(ISBLANK('Paste Full'!AQ22),"",'Paste Full'!AQ22)</f>
        <v>1</v>
      </c>
      <c r="AF22" s="4">
        <f>IF(ISBLANK('Paste Full'!AR22),"",'Paste Full'!AR22)</f>
        <v>1</v>
      </c>
      <c r="AG22" s="4">
        <f>IF(ISBLANK('Paste Full'!AS22),"",'Paste Full'!AS22)</f>
        <v>1</v>
      </c>
      <c r="AH22" s="4">
        <f>IF(ISBLANK('Paste Full'!AV22),"",'Paste Full'!AV22)</f>
        <v>1</v>
      </c>
      <c r="AI22" s="4">
        <f>IF(ISBLANK('Paste Full'!AT22),"",'Paste Full'!AT22)</f>
        <v>2</v>
      </c>
      <c r="AJ22" s="4">
        <f>IF(ISBLANK('Paste Full'!AU22),"",'Paste Full'!AU22)</f>
        <v>2</v>
      </c>
      <c r="AK22" s="4">
        <f>IF(ISBLANK('Paste Full'!AW22),"",'Paste Full'!AW22)</f>
        <v>1</v>
      </c>
      <c r="AL22" s="5">
        <f>IF(ISBLANK('Paste Full'!AX22),"",'Paste Full'!AX22)</f>
        <v>12</v>
      </c>
      <c r="AM22" s="5">
        <f>IF(ISBLANK('Paste Full'!AY22),"",'Paste Full'!AY22)</f>
        <v>12</v>
      </c>
      <c r="AN22" s="5">
        <f>IF(ISBLANK('Paste Full'!AZ22),"",'Paste Full'!AZ22)</f>
        <v>12</v>
      </c>
      <c r="AO22" s="5">
        <f>IF(ISBLANK('Paste Full'!BA22),"",'Paste Full'!BA22)</f>
        <v>10</v>
      </c>
      <c r="AP22" s="5">
        <f>IF(ISBLANK('Paste Full'!BB22),"",'Paste Full'!BB22)</f>
        <v>12</v>
      </c>
      <c r="AQ22" s="5">
        <f>IF(ISBLANK('Paste Full'!BC22),"",'Paste Full'!BC22)</f>
        <v>10</v>
      </c>
      <c r="AR22" s="5">
        <f>IF(ISBLANK('Paste Full'!BD22),"",'Paste Full'!BD22)</f>
        <v>20</v>
      </c>
      <c r="AS22" s="5">
        <f>IF(ISBLANK('Paste Full'!BE22),"",'Paste Full'!BE22)</f>
        <v>5</v>
      </c>
      <c r="AT22" s="5">
        <f>IF(ISBLANK('Paste Full'!BF22),"",'Paste Full'!BF22)</f>
        <v>20</v>
      </c>
      <c r="AU22" s="5">
        <f>IF(ISBLANK('Paste Full'!BG22),"",'Paste Full'!BG22)</f>
        <v>9</v>
      </c>
      <c r="AV22" s="5">
        <f>IF(ISBLANK('Paste Full'!BH22),"",'Paste Full'!BH22)</f>
        <v>10</v>
      </c>
      <c r="AW22" s="5">
        <f>IF(ISBLANK('Paste Full'!BI22),"",'Paste Full'!BI22)</f>
        <v>20</v>
      </c>
      <c r="AX22" s="5">
        <f>IF(ISBLANK('Paste Full'!BJ22),"",'Paste Full'!BJ22)</f>
        <v>9</v>
      </c>
      <c r="AY22" s="5">
        <f>IF(ISBLANK('Paste Full'!BK22),"",'Paste Full'!BK22)</f>
        <v>18</v>
      </c>
      <c r="AZ22" s="6">
        <f>IF(ISBLANK('Paste Full'!BM22),"",'Paste Full'!BM22)</f>
        <v>5</v>
      </c>
      <c r="BA22" s="6">
        <f>IF(ISBLANK('Paste Full'!BN22),"",'Paste Full'!BN22)</f>
        <v>8</v>
      </c>
      <c r="BB22" s="6">
        <f>IF(ISBLANK('Paste Full'!BO22),"",'Paste Full'!BO22)</f>
        <v>8</v>
      </c>
      <c r="BC22" s="6">
        <f>IF(ISBLANK('Paste Full'!BP22),"",'Paste Full'!BP22)</f>
        <v>8</v>
      </c>
      <c r="BD22" s="6">
        <f>IF(ISBLANK('Paste Full'!BR22),"",'Paste Full'!BR22)</f>
        <v>7</v>
      </c>
      <c r="BE22" s="6">
        <f>IF(ISBLANK('Paste Full'!BS22),"",'Paste Full'!BS22)</f>
        <v>6</v>
      </c>
      <c r="BF22" s="6">
        <f>IF(ISBLANK('Paste Full'!BU22),"",'Paste Full'!BU22)</f>
        <v>7</v>
      </c>
      <c r="BG22" s="6">
        <f>IF(ISBLANK('Paste Full'!BV22),"",'Paste Full'!BV22)</f>
        <v>10</v>
      </c>
      <c r="BH22" s="6">
        <f>IF(ISBLANK('Paste Full'!BX22),"",'Paste Full'!BX22)</f>
        <v>9</v>
      </c>
      <c r="BI22" s="6">
        <f>IF(ISBLANK('Paste Full'!BY22),"",'Paste Full'!BY22)</f>
        <v>10</v>
      </c>
      <c r="BJ22" s="13">
        <f>IF(ISBLANK('Paste Full'!BL22),"",'Paste Full'!BL22)</f>
        <v>6</v>
      </c>
      <c r="BK22" s="13">
        <f>IF(ISBLANK('Paste Full'!BQ22),"",'Paste Full'!BQ22)</f>
        <v>4</v>
      </c>
      <c r="BL22" s="13">
        <f>IF(ISBLANK('Paste Full'!BT22),"",'Paste Full'!BT22)</f>
        <v>5</v>
      </c>
      <c r="BM22" s="13">
        <f>IF(ISBLANK('Paste Full'!BW22),"",'Paste Full'!BW22)</f>
        <v>6</v>
      </c>
      <c r="BN22" s="41">
        <f>IF(ISBLANK('Paste Full'!BZ22),"",'Paste Full'!BZ22)</f>
        <v>1</v>
      </c>
      <c r="BO22" s="41">
        <f>IF(ISBLANK('Paste Full'!CA22),"",'Paste Full'!CA22)</f>
        <v>1</v>
      </c>
      <c r="BP22" s="41">
        <f>IF(ISBLANK('Paste Full'!CB22),"",'Paste Full'!CB22)</f>
        <v>1</v>
      </c>
      <c r="BQ22" s="41">
        <f>IF(ISBLANK('Paste Full'!CC22),"",'Paste Full'!CC22)</f>
        <v>1</v>
      </c>
      <c r="BR22" s="41">
        <f>IF(ISBLANK('Paste Full'!CD22),"",'Paste Full'!CD22)</f>
        <v>20</v>
      </c>
      <c r="BS22" s="41">
        <f>IF(ISBLANK('Paste Full'!CE22),"",'Paste Full'!CE22)</f>
        <v>1</v>
      </c>
      <c r="BT22" s="41">
        <f>IF(ISBLANK('Paste Full'!CF22),"",'Paste Full'!CF22)</f>
        <v>1</v>
      </c>
      <c r="BU22" s="41">
        <f>IF(ISBLANK('Paste Full'!CG22),"",'Paste Full'!CG22)</f>
        <v>1</v>
      </c>
      <c r="BV22" s="41">
        <f>IF(ISBLANK('Paste Full'!CH22),"",'Paste Full'!CH22)</f>
        <v>1</v>
      </c>
    </row>
    <row r="23" spans="1:74" x14ac:dyDescent="0.3">
      <c r="A23" t="str">
        <f>IF(ISBLANK('Paste Full'!C23),"",'Paste Full'!C23)</f>
        <v>Miracle Adewole</v>
      </c>
      <c r="B23" t="str">
        <f t="shared" si="0"/>
        <v>AM(R)</v>
      </c>
      <c r="C23" s="2">
        <f>IF(ISBLANK('Paste Full'!H23),"",'Paste Full'!H23)</f>
        <v>22</v>
      </c>
      <c r="D23" s="2">
        <f>IF(ISBLANK('Paste Full'!F23),"",'Paste Full'!F23)</f>
        <v>97</v>
      </c>
      <c r="E23" s="2">
        <f>IF(ISBLANK('Paste Full'!G23),"",'Paste Full'!G23)</f>
        <v>107</v>
      </c>
      <c r="F23" s="21" t="str">
        <f>IF(ISBLANK('Paste Full'!E23),"",'Paste Full'!E23)</f>
        <v>Nigeria,Germany,England</v>
      </c>
      <c r="G23" t="str">
        <f>IF(ISBLANK('Paste Full'!CI23),"",'Paste Full'!CI23)</f>
        <v>Brixham</v>
      </c>
      <c r="H23" s="21" t="str">
        <f>IF(ISBLANK('Paste Full'!J23),"",'Paste Full'!J23)</f>
        <v>$18,404</v>
      </c>
      <c r="I23" s="21" t="str">
        <f>IF(ISBLANK('Paste Full'!D23),"",'Paste Full'!D23)</f>
        <v>D/AM R</v>
      </c>
      <c r="J23" s="14">
        <f>AVERAGE(SUMPRODUCT($S23:$BM23,AttWeights!$C$10:$AW$10)/SUM(AttWeights!$C$10:$AW$10),SUMPRODUCT($S23:$BM23,AttWeights!$C$17:$AW$17)/SUM(AttWeights!$C$17:$AW$17))*10</f>
        <v>77.196246956023487</v>
      </c>
      <c r="K23" s="14">
        <f>AVERAGE(SUMPRODUCT($S23:$BM23,AttWeights!$C$7:$AW$7)/SUM(AttWeights!$C$7:$AW$7),SUMPRODUCT($S23:$BM23,AttWeights!$C$15:$AW$15)/SUM(AttWeights!$C$15:$AW$15))*10</f>
        <v>83.809691733521404</v>
      </c>
      <c r="L23" s="14">
        <f>AVERAGE(SUMPRODUCT($S23:$BM23,AttWeights!$C$8:$AW$8)/SUM(AttWeights!$C$8:$AW$8),SUMPRODUCT($S23:$BM23,AttWeights!$C$16:$AW$16)/SUM(AttWeights!$C$16:$AW$16))*10</f>
        <v>84.541587499645516</v>
      </c>
      <c r="M23" s="14">
        <f>AVERAGE(SUMPRODUCT($S23:$BM23,AttWeights!$C$9:$AW$9)/SUM(AttWeights!$C$9:$AW$9),SUMPRODUCT($S23:$BM23,AttWeights!$C$15:$AW$15)/SUM(AttWeights!$C$15:$AW$15))*10</f>
        <v>84.810830021647121</v>
      </c>
      <c r="N23" s="14">
        <f>AVERAGE(SUMPRODUCT($S23:$BM23,AttWeights!$C$6:$AW$6)/SUM(AttWeights!$C$6:$AW$6),SUMPRODUCT($S23:$BM23,AttWeights!$C$14:$AW$14)/SUM(AttWeights!$C$14:$AW$14))*10</f>
        <v>79.39021434726412</v>
      </c>
      <c r="O23" s="14">
        <f>AVERAGE(SUMPRODUCT($S23:$BM23,AttWeights!$C$5:$AW$5)/SUM(AttWeights!$C$5:$AW$5),SUMPRODUCT($S23:$BM23,AttWeights!$C$14:$AW$14)/SUM(AttWeights!$C$14:$AW$14))*10</f>
        <v>78.24532960495003</v>
      </c>
      <c r="P23" s="14">
        <f>AVERAGE(SUMPRODUCT($S23:$BM23,AttWeights!$C$4:$AW$4)/SUM(AttWeights!$C$4:$AW$4),SUMPRODUCT($S23:$BM23,AttWeights!$C$13:$AW$13)/SUM(AttWeights!$C$13:$AW$13))*10</f>
        <v>74.165521978021985</v>
      </c>
      <c r="Q23" s="14">
        <f>AVERAGE(SUMPRODUCT($S23:$BM23,AttWeights!$C$3:$AW$3)/SUM(AttWeights!$C$3:$AW$3),SUMPRODUCT($S23:$BM23,AttWeights!$C$12:$AW$12)/SUM(AttWeights!$C$12:$AW$12))*10</f>
        <v>78.360450563203997</v>
      </c>
      <c r="R23" s="14">
        <f>AVERAGE(SUMPRODUCT($S23:$BM23,AttWeights!$C$2:$AW$2)/SUM(AttWeights!$C$2:$AW$2),SUMPRODUCT($S23:$BM23,AttWeights!$C$11:$AW$11)/SUM(AttWeights!$C$11:$AW$11))*10</f>
        <v>50.074148824148821</v>
      </c>
      <c r="S23" s="3">
        <f>IF(ISBLANK('Paste Full'!AC23),"",'Paste Full'!AC23)</f>
        <v>14</v>
      </c>
      <c r="T23" s="3">
        <f>IF(ISBLANK('Paste Full'!AD23),"",'Paste Full'!AD23)</f>
        <v>11</v>
      </c>
      <c r="U23" s="3" t="str">
        <f>IF(ISBLANK('Paste Full'!AE23),"",'Paste Full'!AE23)</f>
        <v>$10</v>
      </c>
      <c r="V23" s="3">
        <f>IF(ISBLANK('Paste Full'!AF23),"",'Paste Full'!AF23)</f>
        <v>6</v>
      </c>
      <c r="W23" s="3">
        <f>IF(ISBLANK('Paste Full'!AH23),"",'Paste Full'!AH23)</f>
        <v>12</v>
      </c>
      <c r="X23" s="3">
        <f>IF(ISBLANK('Paste Full'!AI23),"",'Paste Full'!AI23)</f>
        <v>13</v>
      </c>
      <c r="Y23" s="3">
        <f>IF(ISBLANK('Paste Full'!AK23),"",'Paste Full'!AK23)</f>
        <v>13</v>
      </c>
      <c r="Z23" s="3">
        <f>IF(ISBLANK('Paste Full'!AL23),"",'Paste Full'!AL23)</f>
        <v>6</v>
      </c>
      <c r="AA23" s="4">
        <f>IF(ISBLANK('Paste Full'!AM23),"",'Paste Full'!AM23)</f>
        <v>4</v>
      </c>
      <c r="AB23" s="4">
        <f>IF(ISBLANK('Paste Full'!AN23),"",'Paste Full'!AN23)</f>
        <v>3</v>
      </c>
      <c r="AC23" s="4">
        <f>IF(ISBLANK('Paste Full'!AO23),"",'Paste Full'!AO23)</f>
        <v>2</v>
      </c>
      <c r="AD23" s="4">
        <f>IF(ISBLANK('Paste Full'!AP23),"",'Paste Full'!AP23)</f>
        <v>3</v>
      </c>
      <c r="AE23" s="4">
        <f>IF(ISBLANK('Paste Full'!AQ23),"",'Paste Full'!AQ23)</f>
        <v>1</v>
      </c>
      <c r="AF23" s="4">
        <f>IF(ISBLANK('Paste Full'!AR23),"",'Paste Full'!AR23)</f>
        <v>3</v>
      </c>
      <c r="AG23" s="4">
        <f>IF(ISBLANK('Paste Full'!AS23),"",'Paste Full'!AS23)</f>
        <v>1</v>
      </c>
      <c r="AH23" s="4">
        <f>IF(ISBLANK('Paste Full'!AV23),"",'Paste Full'!AV23)</f>
        <v>3</v>
      </c>
      <c r="AI23" s="4">
        <f>IF(ISBLANK('Paste Full'!AT23),"",'Paste Full'!AT23)</f>
        <v>1</v>
      </c>
      <c r="AJ23" s="4">
        <f>IF(ISBLANK('Paste Full'!AU23),"",'Paste Full'!AU23)</f>
        <v>2</v>
      </c>
      <c r="AK23" s="4">
        <f>IF(ISBLANK('Paste Full'!AW23),"",'Paste Full'!AW23)</f>
        <v>2</v>
      </c>
      <c r="AL23" s="5">
        <f>IF(ISBLANK('Paste Full'!AX23),"",'Paste Full'!AX23)</f>
        <v>15</v>
      </c>
      <c r="AM23" s="5">
        <f>IF(ISBLANK('Paste Full'!AY23),"",'Paste Full'!AY23)</f>
        <v>7</v>
      </c>
      <c r="AN23" s="5">
        <f>IF(ISBLANK('Paste Full'!AZ23),"",'Paste Full'!AZ23)</f>
        <v>7</v>
      </c>
      <c r="AO23" s="5">
        <f>IF(ISBLANK('Paste Full'!BA23),"",'Paste Full'!BA23)</f>
        <v>6</v>
      </c>
      <c r="AP23" s="5">
        <f>IF(ISBLANK('Paste Full'!BB23),"",'Paste Full'!BB23)</f>
        <v>5</v>
      </c>
      <c r="AQ23" s="5">
        <f>IF(ISBLANK('Paste Full'!BC23),"",'Paste Full'!BC23)</f>
        <v>10</v>
      </c>
      <c r="AR23" s="5">
        <f>IF(ISBLANK('Paste Full'!BD23),"",'Paste Full'!BD23)</f>
        <v>7</v>
      </c>
      <c r="AS23" s="5">
        <f>IF(ISBLANK('Paste Full'!BE23),"",'Paste Full'!BE23)</f>
        <v>10</v>
      </c>
      <c r="AT23" s="5">
        <f>IF(ISBLANK('Paste Full'!BF23),"",'Paste Full'!BF23)</f>
        <v>3</v>
      </c>
      <c r="AU23" s="5">
        <f>IF(ISBLANK('Paste Full'!BG23),"",'Paste Full'!BG23)</f>
        <v>12</v>
      </c>
      <c r="AV23" s="5">
        <f>IF(ISBLANK('Paste Full'!BH23),"",'Paste Full'!BH23)</f>
        <v>8</v>
      </c>
      <c r="AW23" s="5">
        <f>IF(ISBLANK('Paste Full'!BI23),"",'Paste Full'!BI23)</f>
        <v>8</v>
      </c>
      <c r="AX23" s="5">
        <f>IF(ISBLANK('Paste Full'!BJ23),"",'Paste Full'!BJ23)</f>
        <v>8</v>
      </c>
      <c r="AY23" s="5">
        <f>IF(ISBLANK('Paste Full'!BK23),"",'Paste Full'!BK23)</f>
        <v>7</v>
      </c>
      <c r="AZ23" s="6">
        <f>IF(ISBLANK('Paste Full'!BM23),"",'Paste Full'!BM23)</f>
        <v>10</v>
      </c>
      <c r="BA23" s="6">
        <f>IF(ISBLANK('Paste Full'!BN23),"",'Paste Full'!BN23)</f>
        <v>9</v>
      </c>
      <c r="BB23" s="6">
        <f>IF(ISBLANK('Paste Full'!BO23),"",'Paste Full'!BO23)</f>
        <v>7</v>
      </c>
      <c r="BC23" s="6">
        <f>IF(ISBLANK('Paste Full'!BP23),"",'Paste Full'!BP23)</f>
        <v>14</v>
      </c>
      <c r="BD23" s="6">
        <f>IF(ISBLANK('Paste Full'!BR23),"",'Paste Full'!BR23)</f>
        <v>3</v>
      </c>
      <c r="BE23" s="6">
        <f>IF(ISBLANK('Paste Full'!BS23),"",'Paste Full'!BS23)</f>
        <v>5</v>
      </c>
      <c r="BF23" s="6">
        <f>IF(ISBLANK('Paste Full'!BU23),"",'Paste Full'!BU23)</f>
        <v>6</v>
      </c>
      <c r="BG23" s="6">
        <f>IF(ISBLANK('Paste Full'!BV23),"",'Paste Full'!BV23)</f>
        <v>11</v>
      </c>
      <c r="BH23" s="6">
        <f>IF(ISBLANK('Paste Full'!BX23),"",'Paste Full'!BX23)</f>
        <v>6</v>
      </c>
      <c r="BI23" s="6">
        <f>IF(ISBLANK('Paste Full'!BY23),"",'Paste Full'!BY23)</f>
        <v>9</v>
      </c>
      <c r="BJ23" s="13">
        <f>IF(ISBLANK('Paste Full'!BL23),"",'Paste Full'!BL23)</f>
        <v>3</v>
      </c>
      <c r="BK23" s="13">
        <f>IF(ISBLANK('Paste Full'!BQ23),"",'Paste Full'!BQ23)</f>
        <v>4</v>
      </c>
      <c r="BL23" s="13">
        <f>IF(ISBLANK('Paste Full'!BT23),"",'Paste Full'!BT23)</f>
        <v>3</v>
      </c>
      <c r="BM23" s="13">
        <f>IF(ISBLANK('Paste Full'!BW23),"",'Paste Full'!BW23)</f>
        <v>4</v>
      </c>
      <c r="BN23" s="41">
        <f>IF(ISBLANK('Paste Full'!BZ23),"",'Paste Full'!BZ23)</f>
        <v>1</v>
      </c>
      <c r="BO23" s="41">
        <f>IF(ISBLANK('Paste Full'!CA23),"",'Paste Full'!CA23)</f>
        <v>20</v>
      </c>
      <c r="BP23" s="41">
        <f>IF(ISBLANK('Paste Full'!CB23),"",'Paste Full'!CB23)</f>
        <v>1</v>
      </c>
      <c r="BQ23" s="41">
        <f>IF(ISBLANK('Paste Full'!CC23),"",'Paste Full'!CC23)</f>
        <v>1</v>
      </c>
      <c r="BR23" s="41">
        <f>IF(ISBLANK('Paste Full'!CD23),"",'Paste Full'!CD23)</f>
        <v>1</v>
      </c>
      <c r="BS23" s="41">
        <f>IF(ISBLANK('Paste Full'!CE23),"",'Paste Full'!CE23)</f>
        <v>20</v>
      </c>
      <c r="BT23" s="41">
        <f>IF(ISBLANK('Paste Full'!CF23),"",'Paste Full'!CF23)</f>
        <v>1</v>
      </c>
      <c r="BU23" s="41">
        <f>IF(ISBLANK('Paste Full'!CG23),"",'Paste Full'!CG23)</f>
        <v>1</v>
      </c>
      <c r="BV23" s="41">
        <f>IF(ISBLANK('Paste Full'!CH23),"",'Paste Full'!CH23)</f>
        <v>1</v>
      </c>
    </row>
    <row r="24" spans="1:74" x14ac:dyDescent="0.3">
      <c r="A24" t="str">
        <f>IF(ISBLANK('Paste Full'!C24),"",'Paste Full'!C24)</f>
        <v>Nesbert Ncube</v>
      </c>
      <c r="B24" t="str">
        <f t="shared" si="0"/>
        <v>D(R/L)</v>
      </c>
      <c r="C24" s="2">
        <f>IF(ISBLANK('Paste Full'!H24),"",'Paste Full'!H24)</f>
        <v>18</v>
      </c>
      <c r="D24" s="2">
        <f>IF(ISBLANK('Paste Full'!F24),"",'Paste Full'!F24)</f>
        <v>104</v>
      </c>
      <c r="E24" s="2">
        <f>IF(ISBLANK('Paste Full'!G24),"",'Paste Full'!G24)</f>
        <v>139</v>
      </c>
      <c r="F24" s="21" t="str">
        <f>IF(ISBLANK('Paste Full'!E24),"",'Paste Full'!E24)</f>
        <v>Zimbabwe,England</v>
      </c>
      <c r="G24" t="str">
        <f>IF(ISBLANK('Paste Full'!CI24),"",'Paste Full'!CI24)</f>
        <v/>
      </c>
      <c r="H24" s="21" t="str">
        <f>IF(ISBLANK('Paste Full'!J24),"",'Paste Full'!J24)</f>
        <v>$472,856</v>
      </c>
      <c r="I24" s="21" t="str">
        <f>IF(ISBLANK('Paste Full'!D24),"",'Paste Full'!D24)</f>
        <v>D RL</v>
      </c>
      <c r="J24" s="14">
        <f>AVERAGE(SUMPRODUCT($S24:$BM24,AttWeights!$C$10:$AW$10)/SUM(AttWeights!$C$10:$AW$10),SUMPRODUCT($S24:$BM24,AttWeights!$C$17:$AW$17)/SUM(AttWeights!$C$17:$AW$17))*10</f>
        <v>84.10027216731126</v>
      </c>
      <c r="K24" s="14">
        <f>AVERAGE(SUMPRODUCT($S24:$BM24,AttWeights!$C$7:$AW$7)/SUM(AttWeights!$C$7:$AW$7),SUMPRODUCT($S24:$BM24,AttWeights!$C$15:$AW$15)/SUM(AttWeights!$C$15:$AW$15))*10</f>
        <v>90.627699903023881</v>
      </c>
      <c r="L24" s="14">
        <f>AVERAGE(SUMPRODUCT($S24:$BM24,AttWeights!$C$8:$AW$8)/SUM(AttWeights!$C$8:$AW$8),SUMPRODUCT($S24:$BM24,AttWeights!$C$16:$AW$16)/SUM(AttWeights!$C$16:$AW$16))*10</f>
        <v>91.78132887162181</v>
      </c>
      <c r="M24" s="14">
        <f>AVERAGE(SUMPRODUCT($S24:$BM24,AttWeights!$C$9:$AW$9)/SUM(AttWeights!$C$9:$AW$9),SUMPRODUCT($S24:$BM24,AttWeights!$C$15:$AW$15)/SUM(AttWeights!$C$15:$AW$15))*10</f>
        <v>95.037317049529904</v>
      </c>
      <c r="N24" s="14">
        <f>AVERAGE(SUMPRODUCT($S24:$BM24,AttWeights!$C$6:$AW$6)/SUM(AttWeights!$C$6:$AW$6),SUMPRODUCT($S24:$BM24,AttWeights!$C$14:$AW$14)/SUM(AttWeights!$C$14:$AW$14))*10</f>
        <v>96.226976518741907</v>
      </c>
      <c r="O24" s="14">
        <f>AVERAGE(SUMPRODUCT($S24:$BM24,AttWeights!$C$5:$AW$5)/SUM(AttWeights!$C$5:$AW$5),SUMPRODUCT($S24:$BM24,AttWeights!$C$14:$AW$14)/SUM(AttWeights!$C$14:$AW$14))*10</f>
        <v>99.702076392194186</v>
      </c>
      <c r="P24" s="14">
        <f>AVERAGE(SUMPRODUCT($S24:$BM24,AttWeights!$C$4:$AW$4)/SUM(AttWeights!$C$4:$AW$4),SUMPRODUCT($S24:$BM24,AttWeights!$C$13:$AW$13)/SUM(AttWeights!$C$13:$AW$13))*10</f>
        <v>92.40384615384616</v>
      </c>
      <c r="Q24" s="14">
        <f>AVERAGE(SUMPRODUCT($S24:$BM24,AttWeights!$C$3:$AW$3)/SUM(AttWeights!$C$3:$AW$3),SUMPRODUCT($S24:$BM24,AttWeights!$C$12:$AW$12)/SUM(AttWeights!$C$12:$AW$12))*10</f>
        <v>102.64518147684605</v>
      </c>
      <c r="R24" s="14">
        <f>AVERAGE(SUMPRODUCT($S24:$BM24,AttWeights!$C$2:$AW$2)/SUM(AttWeights!$C$2:$AW$2),SUMPRODUCT($S24:$BM24,AttWeights!$C$11:$AW$11)/SUM(AttWeights!$C$11:$AW$11))*10</f>
        <v>66.835731835731849</v>
      </c>
      <c r="S24" s="3">
        <f>IF(ISBLANK('Paste Full'!AC24),"",'Paste Full'!AC24)</f>
        <v>14</v>
      </c>
      <c r="T24" s="3">
        <f>IF(ISBLANK('Paste Full'!AD24),"",'Paste Full'!AD24)</f>
        <v>11</v>
      </c>
      <c r="U24" s="3" t="str">
        <f>IF(ISBLANK('Paste Full'!AE24),"",'Paste Full'!AE24)</f>
        <v>$9</v>
      </c>
      <c r="V24" s="3">
        <f>IF(ISBLANK('Paste Full'!AF24),"",'Paste Full'!AF24)</f>
        <v>6</v>
      </c>
      <c r="W24" s="3">
        <f>IF(ISBLANK('Paste Full'!AH24),"",'Paste Full'!AH24)</f>
        <v>9</v>
      </c>
      <c r="X24" s="3">
        <f>IF(ISBLANK('Paste Full'!AI24),"",'Paste Full'!AI24)</f>
        <v>12</v>
      </c>
      <c r="Y24" s="3">
        <f>IF(ISBLANK('Paste Full'!AK24),"",'Paste Full'!AK24)</f>
        <v>16</v>
      </c>
      <c r="Z24" s="3">
        <f>IF(ISBLANK('Paste Full'!AL24),"",'Paste Full'!AL24)</f>
        <v>11</v>
      </c>
      <c r="AA24" s="4">
        <f>IF(ISBLANK('Paste Full'!AM24),"",'Paste Full'!AM24)</f>
        <v>3</v>
      </c>
      <c r="AB24" s="4">
        <f>IF(ISBLANK('Paste Full'!AN24),"",'Paste Full'!AN24)</f>
        <v>3</v>
      </c>
      <c r="AC24" s="4">
        <f>IF(ISBLANK('Paste Full'!AO24),"",'Paste Full'!AO24)</f>
        <v>2</v>
      </c>
      <c r="AD24" s="4">
        <f>IF(ISBLANK('Paste Full'!AP24),"",'Paste Full'!AP24)</f>
        <v>1</v>
      </c>
      <c r="AE24" s="4">
        <f>IF(ISBLANK('Paste Full'!AQ24),"",'Paste Full'!AQ24)</f>
        <v>2</v>
      </c>
      <c r="AF24" s="4">
        <f>IF(ISBLANK('Paste Full'!AR24),"",'Paste Full'!AR24)</f>
        <v>1</v>
      </c>
      <c r="AG24" s="4">
        <f>IF(ISBLANK('Paste Full'!AS24),"",'Paste Full'!AS24)</f>
        <v>3</v>
      </c>
      <c r="AH24" s="4">
        <f>IF(ISBLANK('Paste Full'!AV24),"",'Paste Full'!AV24)</f>
        <v>2</v>
      </c>
      <c r="AI24" s="4">
        <f>IF(ISBLANK('Paste Full'!AT24),"",'Paste Full'!AT24)</f>
        <v>1</v>
      </c>
      <c r="AJ24" s="4">
        <f>IF(ISBLANK('Paste Full'!AU24),"",'Paste Full'!AU24)</f>
        <v>1</v>
      </c>
      <c r="AK24" s="4">
        <f>IF(ISBLANK('Paste Full'!AW24),"",'Paste Full'!AW24)</f>
        <v>3</v>
      </c>
      <c r="AL24" s="5">
        <f>IF(ISBLANK('Paste Full'!AX24),"",'Paste Full'!AX24)</f>
        <v>10</v>
      </c>
      <c r="AM24" s="5">
        <f>IF(ISBLANK('Paste Full'!AY24),"",'Paste Full'!AY24)</f>
        <v>12</v>
      </c>
      <c r="AN24" s="5">
        <f>IF(ISBLANK('Paste Full'!AZ24),"",'Paste Full'!AZ24)</f>
        <v>18</v>
      </c>
      <c r="AO24" s="5">
        <f>IF(ISBLANK('Paste Full'!BA24),"",'Paste Full'!BA24)</f>
        <v>5</v>
      </c>
      <c r="AP24" s="5">
        <f>IF(ISBLANK('Paste Full'!BB24),"",'Paste Full'!BB24)</f>
        <v>12</v>
      </c>
      <c r="AQ24" s="5">
        <f>IF(ISBLANK('Paste Full'!BC24),"",'Paste Full'!BC24)</f>
        <v>15</v>
      </c>
      <c r="AR24" s="5">
        <f>IF(ISBLANK('Paste Full'!BD24),"",'Paste Full'!BD24)</f>
        <v>17</v>
      </c>
      <c r="AS24" s="5">
        <f>IF(ISBLANK('Paste Full'!BE24),"",'Paste Full'!BE24)</f>
        <v>3</v>
      </c>
      <c r="AT24" s="5">
        <f>IF(ISBLANK('Paste Full'!BF24),"",'Paste Full'!BF24)</f>
        <v>9</v>
      </c>
      <c r="AU24" s="5">
        <f>IF(ISBLANK('Paste Full'!BG24),"",'Paste Full'!BG24)</f>
        <v>6</v>
      </c>
      <c r="AV24" s="5">
        <f>IF(ISBLANK('Paste Full'!BH24),"",'Paste Full'!BH24)</f>
        <v>10</v>
      </c>
      <c r="AW24" s="5">
        <f>IF(ISBLANK('Paste Full'!BI24),"",'Paste Full'!BI24)</f>
        <v>15</v>
      </c>
      <c r="AX24" s="5">
        <f>IF(ISBLANK('Paste Full'!BJ24),"",'Paste Full'!BJ24)</f>
        <v>6</v>
      </c>
      <c r="AY24" s="5">
        <f>IF(ISBLANK('Paste Full'!BK24),"",'Paste Full'!BK24)</f>
        <v>13</v>
      </c>
      <c r="AZ24" s="6">
        <f>IF(ISBLANK('Paste Full'!BM24),"",'Paste Full'!BM24)</f>
        <v>12</v>
      </c>
      <c r="BA24" s="6">
        <f>IF(ISBLANK('Paste Full'!BN24),"",'Paste Full'!BN24)</f>
        <v>6</v>
      </c>
      <c r="BB24" s="6">
        <f>IF(ISBLANK('Paste Full'!BO24),"",'Paste Full'!BO24)</f>
        <v>4</v>
      </c>
      <c r="BC24" s="6">
        <f>IF(ISBLANK('Paste Full'!BP24),"",'Paste Full'!BP24)</f>
        <v>8</v>
      </c>
      <c r="BD24" s="6">
        <f>IF(ISBLANK('Paste Full'!BR24),"",'Paste Full'!BR24)</f>
        <v>4</v>
      </c>
      <c r="BE24" s="6">
        <f>IF(ISBLANK('Paste Full'!BS24),"",'Paste Full'!BS24)</f>
        <v>2</v>
      </c>
      <c r="BF24" s="6">
        <f>IF(ISBLANK('Paste Full'!BU24),"",'Paste Full'!BU24)</f>
        <v>12</v>
      </c>
      <c r="BG24" s="6">
        <f>IF(ISBLANK('Paste Full'!BV24),"",'Paste Full'!BV24)</f>
        <v>8</v>
      </c>
      <c r="BH24" s="6">
        <f>IF(ISBLANK('Paste Full'!BX24),"",'Paste Full'!BX24)</f>
        <v>12</v>
      </c>
      <c r="BI24" s="6">
        <f>IF(ISBLANK('Paste Full'!BY24),"",'Paste Full'!BY24)</f>
        <v>7</v>
      </c>
      <c r="BJ24" s="13">
        <f>IF(ISBLANK('Paste Full'!BL24),"",'Paste Full'!BL24)</f>
        <v>3</v>
      </c>
      <c r="BK24" s="13">
        <f>IF(ISBLANK('Paste Full'!BQ24),"",'Paste Full'!BQ24)</f>
        <v>2</v>
      </c>
      <c r="BL24" s="13">
        <f>IF(ISBLANK('Paste Full'!BT24),"",'Paste Full'!BT24)</f>
        <v>4</v>
      </c>
      <c r="BM24" s="13">
        <f>IF(ISBLANK('Paste Full'!BW24),"",'Paste Full'!BW24)</f>
        <v>2</v>
      </c>
      <c r="BN24" s="41">
        <f>IF(ISBLANK('Paste Full'!BZ24),"",'Paste Full'!BZ24)</f>
        <v>1</v>
      </c>
      <c r="BO24" s="41">
        <f>IF(ISBLANK('Paste Full'!CA24),"",'Paste Full'!CA24)</f>
        <v>20</v>
      </c>
      <c r="BP24" s="41">
        <f>IF(ISBLANK('Paste Full'!CB24),"",'Paste Full'!CB24)</f>
        <v>1</v>
      </c>
      <c r="BQ24" s="41">
        <f>IF(ISBLANK('Paste Full'!CC24),"",'Paste Full'!CC24)</f>
        <v>16</v>
      </c>
      <c r="BR24" s="41">
        <f>IF(ISBLANK('Paste Full'!CD24),"",'Paste Full'!CD24)</f>
        <v>7</v>
      </c>
      <c r="BS24" s="41">
        <f>IF(ISBLANK('Paste Full'!CE24),"",'Paste Full'!CE24)</f>
        <v>1</v>
      </c>
      <c r="BT24" s="41">
        <f>IF(ISBLANK('Paste Full'!CF24),"",'Paste Full'!CF24)</f>
        <v>1</v>
      </c>
      <c r="BU24" s="41">
        <f>IF(ISBLANK('Paste Full'!CG24),"",'Paste Full'!CG24)</f>
        <v>1</v>
      </c>
      <c r="BV24" s="41">
        <f>IF(ISBLANK('Paste Full'!CH24),"",'Paste Full'!CH24)</f>
        <v>1</v>
      </c>
    </row>
    <row r="25" spans="1:74" x14ac:dyDescent="0.3">
      <c r="A25" t="str">
        <f>IF(ISBLANK('Paste Full'!C25),"",'Paste Full'!C25)</f>
        <v>Scot Little</v>
      </c>
      <c r="B25" t="str">
        <f t="shared" si="0"/>
        <v>AM(R)</v>
      </c>
      <c r="C25" s="2">
        <f>IF(ISBLANK('Paste Full'!H25),"",'Paste Full'!H25)</f>
        <v>20</v>
      </c>
      <c r="D25" s="2">
        <f>IF(ISBLANK('Paste Full'!F25),"",'Paste Full'!F25)</f>
        <v>93</v>
      </c>
      <c r="E25" s="2">
        <f>IF(ISBLANK('Paste Full'!G25),"",'Paste Full'!G25)</f>
        <v>163</v>
      </c>
      <c r="F25" s="21" t="str">
        <f>IF(ISBLANK('Paste Full'!E25),"",'Paste Full'!E25)</f>
        <v>Scotland,England</v>
      </c>
      <c r="G25" t="str">
        <f>IF(ISBLANK('Paste Full'!CI25),"",'Paste Full'!CI25)</f>
        <v/>
      </c>
      <c r="H25" s="21" t="str">
        <f>IF(ISBLANK('Paste Full'!J25),"",'Paste Full'!J25)</f>
        <v>$723,892</v>
      </c>
      <c r="I25" s="21" t="str">
        <f>IF(ISBLANK('Paste Full'!D25),"",'Paste Full'!D25)</f>
        <v>AM/ST L</v>
      </c>
      <c r="J25" s="14">
        <f>AVERAGE(SUMPRODUCT($S25:$BM25,AttWeights!$C$10:$AW$10)/SUM(AttWeights!$C$10:$AW$10),SUMPRODUCT($S25:$BM25,AttWeights!$C$17:$AW$17)/SUM(AttWeights!$C$17:$AW$17))*10</f>
        <v>86.618822518263855</v>
      </c>
      <c r="K25" s="14">
        <f>AVERAGE(SUMPRODUCT($S25:$BM25,AttWeights!$C$7:$AW$7)/SUM(AttWeights!$C$7:$AW$7),SUMPRODUCT($S25:$BM25,AttWeights!$C$15:$AW$15)/SUM(AttWeights!$C$15:$AW$15))*10</f>
        <v>92.892679773134688</v>
      </c>
      <c r="L25" s="14">
        <f>AVERAGE(SUMPRODUCT($S25:$BM25,AttWeights!$C$8:$AW$8)/SUM(AttWeights!$C$8:$AW$8),SUMPRODUCT($S25:$BM25,AttWeights!$C$16:$AW$16)/SUM(AttWeights!$C$16:$AW$16))*10</f>
        <v>93.553583075745124</v>
      </c>
      <c r="M25" s="14">
        <f>AVERAGE(SUMPRODUCT($S25:$BM25,AttWeights!$C$9:$AW$9)/SUM(AttWeights!$C$9:$AW$9),SUMPRODUCT($S25:$BM25,AttWeights!$C$15:$AW$15)/SUM(AttWeights!$C$15:$AW$15))*10</f>
        <v>93.722658395528413</v>
      </c>
      <c r="N25" s="14">
        <f>AVERAGE(SUMPRODUCT($S25:$BM25,AttWeights!$C$6:$AW$6)/SUM(AttWeights!$C$6:$AW$6),SUMPRODUCT($S25:$BM25,AttWeights!$C$14:$AW$14)/SUM(AttWeights!$C$14:$AW$14))*10</f>
        <v>84.403543731150364</v>
      </c>
      <c r="O25" s="14">
        <f>AVERAGE(SUMPRODUCT($S25:$BM25,AttWeights!$C$5:$AW$5)/SUM(AttWeights!$C$5:$AW$5),SUMPRODUCT($S25:$BM25,AttWeights!$C$14:$AW$14)/SUM(AttWeights!$C$14:$AW$14))*10</f>
        <v>80.51790813898144</v>
      </c>
      <c r="P25" s="14">
        <f>AVERAGE(SUMPRODUCT($S25:$BM25,AttWeights!$C$4:$AW$4)/SUM(AttWeights!$C$4:$AW$4),SUMPRODUCT($S25:$BM25,AttWeights!$C$13:$AW$13)/SUM(AttWeights!$C$13:$AW$13))*10</f>
        <v>73.16277472527473</v>
      </c>
      <c r="Q25" s="14">
        <f>AVERAGE(SUMPRODUCT($S25:$BM25,AttWeights!$C$3:$AW$3)/SUM(AttWeights!$C$3:$AW$3),SUMPRODUCT($S25:$BM25,AttWeights!$C$12:$AW$12)/SUM(AttWeights!$C$12:$AW$12))*10</f>
        <v>81.437734668335423</v>
      </c>
      <c r="R25" s="14">
        <f>AVERAGE(SUMPRODUCT($S25:$BM25,AttWeights!$C$2:$AW$2)/SUM(AttWeights!$C$2:$AW$2),SUMPRODUCT($S25:$BM25,AttWeights!$C$11:$AW$11)/SUM(AttWeights!$C$11:$AW$11))*10</f>
        <v>50.140400140400139</v>
      </c>
      <c r="S25" s="3">
        <f>IF(ISBLANK('Paste Full'!AC25),"",'Paste Full'!AC25)</f>
        <v>12</v>
      </c>
      <c r="T25" s="3">
        <f>IF(ISBLANK('Paste Full'!AD25),"",'Paste Full'!AD25)</f>
        <v>12</v>
      </c>
      <c r="U25" s="3" t="str">
        <f>IF(ISBLANK('Paste Full'!AE25),"",'Paste Full'!AE25)</f>
        <v>$14</v>
      </c>
      <c r="V25" s="3">
        <f>IF(ISBLANK('Paste Full'!AF25),"",'Paste Full'!AF25)</f>
        <v>4</v>
      </c>
      <c r="W25" s="3">
        <f>IF(ISBLANK('Paste Full'!AH25),"",'Paste Full'!AH25)</f>
        <v>10</v>
      </c>
      <c r="X25" s="3">
        <f>IF(ISBLANK('Paste Full'!AI25),"",'Paste Full'!AI25)</f>
        <v>13</v>
      </c>
      <c r="Y25" s="3">
        <f>IF(ISBLANK('Paste Full'!AK25),"",'Paste Full'!AK25)</f>
        <v>12</v>
      </c>
      <c r="Z25" s="3">
        <f>IF(ISBLANK('Paste Full'!AL25),"",'Paste Full'!AL25)</f>
        <v>3</v>
      </c>
      <c r="AA25" s="4">
        <f>IF(ISBLANK('Paste Full'!AM25),"",'Paste Full'!AM25)</f>
        <v>1</v>
      </c>
      <c r="AB25" s="4">
        <f>IF(ISBLANK('Paste Full'!AN25),"",'Paste Full'!AN25)</f>
        <v>1</v>
      </c>
      <c r="AC25" s="4">
        <f>IF(ISBLANK('Paste Full'!AO25),"",'Paste Full'!AO25)</f>
        <v>3</v>
      </c>
      <c r="AD25" s="4">
        <f>IF(ISBLANK('Paste Full'!AP25),"",'Paste Full'!AP25)</f>
        <v>3</v>
      </c>
      <c r="AE25" s="4">
        <f>IF(ISBLANK('Paste Full'!AQ25),"",'Paste Full'!AQ25)</f>
        <v>2</v>
      </c>
      <c r="AF25" s="4">
        <f>IF(ISBLANK('Paste Full'!AR25),"",'Paste Full'!AR25)</f>
        <v>2</v>
      </c>
      <c r="AG25" s="4">
        <f>IF(ISBLANK('Paste Full'!AS25),"",'Paste Full'!AS25)</f>
        <v>3</v>
      </c>
      <c r="AH25" s="4">
        <f>IF(ISBLANK('Paste Full'!AV25),"",'Paste Full'!AV25)</f>
        <v>1</v>
      </c>
      <c r="AI25" s="4">
        <f>IF(ISBLANK('Paste Full'!AT25),"",'Paste Full'!AT25)</f>
        <v>3</v>
      </c>
      <c r="AJ25" s="4">
        <f>IF(ISBLANK('Paste Full'!AU25),"",'Paste Full'!AU25)</f>
        <v>1</v>
      </c>
      <c r="AK25" s="4">
        <f>IF(ISBLANK('Paste Full'!AW25),"",'Paste Full'!AW25)</f>
        <v>2</v>
      </c>
      <c r="AL25" s="5">
        <f>IF(ISBLANK('Paste Full'!AX25),"",'Paste Full'!AX25)</f>
        <v>11</v>
      </c>
      <c r="AM25" s="5">
        <f>IF(ISBLANK('Paste Full'!AY25),"",'Paste Full'!AY25)</f>
        <v>12</v>
      </c>
      <c r="AN25" s="5">
        <f>IF(ISBLANK('Paste Full'!AZ25),"",'Paste Full'!AZ25)</f>
        <v>5</v>
      </c>
      <c r="AO25" s="5">
        <f>IF(ISBLANK('Paste Full'!BA25),"",'Paste Full'!BA25)</f>
        <v>11</v>
      </c>
      <c r="AP25" s="5">
        <f>IF(ISBLANK('Paste Full'!BB25),"",'Paste Full'!BB25)</f>
        <v>4</v>
      </c>
      <c r="AQ25" s="5">
        <f>IF(ISBLANK('Paste Full'!BC25),"",'Paste Full'!BC25)</f>
        <v>12</v>
      </c>
      <c r="AR25" s="5">
        <f>IF(ISBLANK('Paste Full'!BD25),"",'Paste Full'!BD25)</f>
        <v>4</v>
      </c>
      <c r="AS25" s="5">
        <f>IF(ISBLANK('Paste Full'!BE25),"",'Paste Full'!BE25)</f>
        <v>13</v>
      </c>
      <c r="AT25" s="5">
        <f>IF(ISBLANK('Paste Full'!BF25),"",'Paste Full'!BF25)</f>
        <v>7</v>
      </c>
      <c r="AU25" s="5">
        <f>IF(ISBLANK('Paste Full'!BG25),"",'Paste Full'!BG25)</f>
        <v>14</v>
      </c>
      <c r="AV25" s="5">
        <f>IF(ISBLANK('Paste Full'!BH25),"",'Paste Full'!BH25)</f>
        <v>3</v>
      </c>
      <c r="AW25" s="5">
        <f>IF(ISBLANK('Paste Full'!BI25),"",'Paste Full'!BI25)</f>
        <v>15</v>
      </c>
      <c r="AX25" s="5">
        <f>IF(ISBLANK('Paste Full'!BJ25),"",'Paste Full'!BJ25)</f>
        <v>9</v>
      </c>
      <c r="AY25" s="5">
        <f>IF(ISBLANK('Paste Full'!BK25),"",'Paste Full'!BK25)</f>
        <v>14</v>
      </c>
      <c r="AZ25" s="6">
        <f>IF(ISBLANK('Paste Full'!BM25),"",'Paste Full'!BM25)</f>
        <v>11</v>
      </c>
      <c r="BA25" s="6">
        <f>IF(ISBLANK('Paste Full'!BN25),"",'Paste Full'!BN25)</f>
        <v>10</v>
      </c>
      <c r="BB25" s="6">
        <f>IF(ISBLANK('Paste Full'!BO25),"",'Paste Full'!BO25)</f>
        <v>12</v>
      </c>
      <c r="BC25" s="6">
        <f>IF(ISBLANK('Paste Full'!BP25),"",'Paste Full'!BP25)</f>
        <v>14</v>
      </c>
      <c r="BD25" s="6">
        <f>IF(ISBLANK('Paste Full'!BR25),"",'Paste Full'!BR25)</f>
        <v>7</v>
      </c>
      <c r="BE25" s="6">
        <f>IF(ISBLANK('Paste Full'!BS25),"",'Paste Full'!BS25)</f>
        <v>4</v>
      </c>
      <c r="BF25" s="6">
        <f>IF(ISBLANK('Paste Full'!BU25),"",'Paste Full'!BU25)</f>
        <v>6</v>
      </c>
      <c r="BG25" s="6">
        <f>IF(ISBLANK('Paste Full'!BV25),"",'Paste Full'!BV25)</f>
        <v>9</v>
      </c>
      <c r="BH25" s="6">
        <f>IF(ISBLANK('Paste Full'!BX25),"",'Paste Full'!BX25)</f>
        <v>1</v>
      </c>
      <c r="BI25" s="6">
        <f>IF(ISBLANK('Paste Full'!BY25),"",'Paste Full'!BY25)</f>
        <v>14</v>
      </c>
      <c r="BJ25" s="13">
        <f>IF(ISBLANK('Paste Full'!BL25),"",'Paste Full'!BL25)</f>
        <v>9</v>
      </c>
      <c r="BK25" s="13">
        <f>IF(ISBLANK('Paste Full'!BQ25),"",'Paste Full'!BQ25)</f>
        <v>3</v>
      </c>
      <c r="BL25" s="13">
        <f>IF(ISBLANK('Paste Full'!BT25),"",'Paste Full'!BT25)</f>
        <v>2</v>
      </c>
      <c r="BM25" s="13">
        <f>IF(ISBLANK('Paste Full'!BW25),"",'Paste Full'!BW25)</f>
        <v>4</v>
      </c>
      <c r="BN25" s="41">
        <f>IF(ISBLANK('Paste Full'!BZ25),"",'Paste Full'!BZ25)</f>
        <v>1</v>
      </c>
      <c r="BO25" s="41">
        <f>IF(ISBLANK('Paste Full'!CA25),"",'Paste Full'!CA25)</f>
        <v>1</v>
      </c>
      <c r="BP25" s="41">
        <f>IF(ISBLANK('Paste Full'!CB25),"",'Paste Full'!CB25)</f>
        <v>1</v>
      </c>
      <c r="BQ25" s="41">
        <f>IF(ISBLANK('Paste Full'!CC25),"",'Paste Full'!CC25)</f>
        <v>1</v>
      </c>
      <c r="BR25" s="41">
        <f>IF(ISBLANK('Paste Full'!CD25),"",'Paste Full'!CD25)</f>
        <v>1</v>
      </c>
      <c r="BS25" s="41">
        <f>IF(ISBLANK('Paste Full'!CE25),"",'Paste Full'!CE25)</f>
        <v>10</v>
      </c>
      <c r="BT25" s="41">
        <f>IF(ISBLANK('Paste Full'!CF25),"",'Paste Full'!CF25)</f>
        <v>1</v>
      </c>
      <c r="BU25" s="41">
        <f>IF(ISBLANK('Paste Full'!CG25),"",'Paste Full'!CG25)</f>
        <v>20</v>
      </c>
      <c r="BV25" s="41">
        <f>IF(ISBLANK('Paste Full'!CH25),"",'Paste Full'!CH25)</f>
        <v>20</v>
      </c>
    </row>
    <row r="26" spans="1:74" x14ac:dyDescent="0.3">
      <c r="A26" t="str">
        <f>IF(ISBLANK('Paste Full'!C26),"",'Paste Full'!C26)</f>
        <v>Tegan Budd</v>
      </c>
      <c r="B26" t="str">
        <f t="shared" si="0"/>
        <v>GK</v>
      </c>
      <c r="C26" s="2">
        <f>IF(ISBLANK('Paste Full'!H26),"",'Paste Full'!H26)</f>
        <v>17</v>
      </c>
      <c r="D26" s="2">
        <f>IF(ISBLANK('Paste Full'!F26),"",'Paste Full'!F26)</f>
        <v>92</v>
      </c>
      <c r="E26" s="2">
        <f>IF(ISBLANK('Paste Full'!G26),"",'Paste Full'!G26)</f>
        <v>154</v>
      </c>
      <c r="F26" s="21" t="str">
        <f>IF(ISBLANK('Paste Full'!E26),"",'Paste Full'!E26)</f>
        <v>England</v>
      </c>
      <c r="G26" t="str">
        <f>IF(ISBLANK('Paste Full'!CI26),"",'Paste Full'!CI26)</f>
        <v/>
      </c>
      <c r="H26" s="21" t="str">
        <f>IF(ISBLANK('Paste Full'!J26),"",'Paste Full'!J26)</f>
        <v>$472,856</v>
      </c>
      <c r="I26" s="21" t="str">
        <f>IF(ISBLANK('Paste Full'!D26),"",'Paste Full'!D26)</f>
        <v xml:space="preserve">GK </v>
      </c>
      <c r="J26" s="14">
        <f>AVERAGE(SUMPRODUCT($S26:$BM26,AttWeights!$C$10:$AW$10)/SUM(AttWeights!$C$10:$AW$10),SUMPRODUCT($S26:$BM26,AttWeights!$C$17:$AW$17)/SUM(AttWeights!$C$17:$AW$17))*10</f>
        <v>80.853172897865619</v>
      </c>
      <c r="K26" s="14">
        <f>AVERAGE(SUMPRODUCT($S26:$BM26,AttWeights!$C$7:$AW$7)/SUM(AttWeights!$C$7:$AW$7),SUMPRODUCT($S26:$BM26,AttWeights!$C$15:$AW$15)/SUM(AttWeights!$C$15:$AW$15))*10</f>
        <v>82.48875958741074</v>
      </c>
      <c r="L26" s="14">
        <f>AVERAGE(SUMPRODUCT($S26:$BM26,AttWeights!$C$8:$AW$8)/SUM(AttWeights!$C$8:$AW$8),SUMPRODUCT($S26:$BM26,AttWeights!$C$16:$AW$16)/SUM(AttWeights!$C$16:$AW$16))*10</f>
        <v>82.674332870147182</v>
      </c>
      <c r="M26" s="14">
        <f>AVERAGE(SUMPRODUCT($S26:$BM26,AttWeights!$C$9:$AW$9)/SUM(AttWeights!$C$9:$AW$9),SUMPRODUCT($S26:$BM26,AttWeights!$C$15:$AW$15)/SUM(AttWeights!$C$15:$AW$15))*10</f>
        <v>82.567606862460025</v>
      </c>
      <c r="N26" s="14">
        <f>AVERAGE(SUMPRODUCT($S26:$BM26,AttWeights!$C$6:$AW$6)/SUM(AttWeights!$C$6:$AW$6),SUMPRODUCT($S26:$BM26,AttWeights!$C$14:$AW$14)/SUM(AttWeights!$C$14:$AW$14))*10</f>
        <v>86.375215424386056</v>
      </c>
      <c r="O26" s="14">
        <f>AVERAGE(SUMPRODUCT($S26:$BM26,AttWeights!$C$5:$AW$5)/SUM(AttWeights!$C$5:$AW$5),SUMPRODUCT($S26:$BM26,AttWeights!$C$14:$AW$14)/SUM(AttWeights!$C$14:$AW$14))*10</f>
        <v>88.676523084245602</v>
      </c>
      <c r="P26" s="14">
        <f>AVERAGE(SUMPRODUCT($S26:$BM26,AttWeights!$C$4:$AW$4)/SUM(AttWeights!$C$4:$AW$4),SUMPRODUCT($S26:$BM26,AttWeights!$C$13:$AW$13)/SUM(AttWeights!$C$13:$AW$13))*10</f>
        <v>88.44780219780219</v>
      </c>
      <c r="Q26" s="14">
        <f>AVERAGE(SUMPRODUCT($S26:$BM26,AttWeights!$C$3:$AW$3)/SUM(AttWeights!$C$3:$AW$3),SUMPRODUCT($S26:$BM26,AttWeights!$C$12:$AW$12)/SUM(AttWeights!$C$12:$AW$12))*10</f>
        <v>87.306633291614517</v>
      </c>
      <c r="R26" s="14">
        <f>AVERAGE(SUMPRODUCT($S26:$BM26,AttWeights!$C$2:$AW$2)/SUM(AttWeights!$C$2:$AW$2),SUMPRODUCT($S26:$BM26,AttWeights!$C$11:$AW$11)/SUM(AttWeights!$C$11:$AW$11))*10</f>
        <v>108.71446121446124</v>
      </c>
      <c r="S26" s="3">
        <f>IF(ISBLANK('Paste Full'!AC26),"",'Paste Full'!AC26)</f>
        <v>8</v>
      </c>
      <c r="T26" s="3">
        <f>IF(ISBLANK('Paste Full'!AD26),"",'Paste Full'!AD26)</f>
        <v>13</v>
      </c>
      <c r="U26" s="3" t="str">
        <f>IF(ISBLANK('Paste Full'!AE26),"",'Paste Full'!AE26)</f>
        <v>$14</v>
      </c>
      <c r="V26" s="3">
        <f>IF(ISBLANK('Paste Full'!AF26),"",'Paste Full'!AF26)</f>
        <v>12</v>
      </c>
      <c r="W26" s="3">
        <f>IF(ISBLANK('Paste Full'!AH26),"",'Paste Full'!AH26)</f>
        <v>16</v>
      </c>
      <c r="X26" s="3">
        <f>IF(ISBLANK('Paste Full'!AI26),"",'Paste Full'!AI26)</f>
        <v>8</v>
      </c>
      <c r="Y26" s="3">
        <f>IF(ISBLANK('Paste Full'!AK26),"",'Paste Full'!AK26)</f>
        <v>8</v>
      </c>
      <c r="Z26" s="3">
        <f>IF(ISBLANK('Paste Full'!AL26),"",'Paste Full'!AL26)</f>
        <v>8</v>
      </c>
      <c r="AA26" s="4">
        <f>IF(ISBLANK('Paste Full'!AM26),"",'Paste Full'!AM26)</f>
        <v>7</v>
      </c>
      <c r="AB26" s="4">
        <f>IF(ISBLANK('Paste Full'!AN26),"",'Paste Full'!AN26)</f>
        <v>9</v>
      </c>
      <c r="AC26" s="4">
        <f>IF(ISBLANK('Paste Full'!AO26),"",'Paste Full'!AO26)</f>
        <v>8</v>
      </c>
      <c r="AD26" s="4">
        <f>IF(ISBLANK('Paste Full'!AP26),"",'Paste Full'!AP26)</f>
        <v>19</v>
      </c>
      <c r="AE26" s="4">
        <f>IF(ISBLANK('Paste Full'!AQ26),"",'Paste Full'!AQ26)</f>
        <v>10</v>
      </c>
      <c r="AF26" s="4">
        <f>IF(ISBLANK('Paste Full'!AR26),"",'Paste Full'!AR26)</f>
        <v>10</v>
      </c>
      <c r="AG26" s="4">
        <f>IF(ISBLANK('Paste Full'!AS26),"",'Paste Full'!AS26)</f>
        <v>14</v>
      </c>
      <c r="AH26" s="4">
        <f>IF(ISBLANK('Paste Full'!AV26),"",'Paste Full'!AV26)</f>
        <v>10</v>
      </c>
      <c r="AI26" s="4">
        <f>IF(ISBLANK('Paste Full'!AT26),"",'Paste Full'!AT26)</f>
        <v>13</v>
      </c>
      <c r="AJ26" s="4">
        <f>IF(ISBLANK('Paste Full'!AU26),"",'Paste Full'!AU26)</f>
        <v>18</v>
      </c>
      <c r="AK26" s="4">
        <f>IF(ISBLANK('Paste Full'!AW26),"",'Paste Full'!AW26)</f>
        <v>9</v>
      </c>
      <c r="AL26" s="5">
        <f>IF(ISBLANK('Paste Full'!AX26),"",'Paste Full'!AX26)</f>
        <v>12</v>
      </c>
      <c r="AM26" s="5">
        <f>IF(ISBLANK('Paste Full'!AY26),"",'Paste Full'!AY26)</f>
        <v>16</v>
      </c>
      <c r="AN26" s="5">
        <f>IF(ISBLANK('Paste Full'!AZ26),"",'Paste Full'!AZ26)</f>
        <v>8</v>
      </c>
      <c r="AO26" s="5">
        <f>IF(ISBLANK('Paste Full'!BA26),"",'Paste Full'!BA26)</f>
        <v>12</v>
      </c>
      <c r="AP26" s="5">
        <f>IF(ISBLANK('Paste Full'!BB26),"",'Paste Full'!BB26)</f>
        <v>12</v>
      </c>
      <c r="AQ26" s="5">
        <f>IF(ISBLANK('Paste Full'!BC26),"",'Paste Full'!BC26)</f>
        <v>14</v>
      </c>
      <c r="AR26" s="5">
        <f>IF(ISBLANK('Paste Full'!BD26),"",'Paste Full'!BD26)</f>
        <v>12</v>
      </c>
      <c r="AS26" s="5">
        <f>IF(ISBLANK('Paste Full'!BE26),"",'Paste Full'!BE26)</f>
        <v>2</v>
      </c>
      <c r="AT26" s="5">
        <f>IF(ISBLANK('Paste Full'!BF26),"",'Paste Full'!BF26)</f>
        <v>3</v>
      </c>
      <c r="AU26" s="5">
        <f>IF(ISBLANK('Paste Full'!BG26),"",'Paste Full'!BG26)</f>
        <v>1</v>
      </c>
      <c r="AV26" s="5">
        <f>IF(ISBLANK('Paste Full'!BH26),"",'Paste Full'!BH26)</f>
        <v>14</v>
      </c>
      <c r="AW26" s="5">
        <f>IF(ISBLANK('Paste Full'!BI26),"",'Paste Full'!BI26)</f>
        <v>7</v>
      </c>
      <c r="AX26" s="5">
        <f>IF(ISBLANK('Paste Full'!BJ26),"",'Paste Full'!BJ26)</f>
        <v>7</v>
      </c>
      <c r="AY26" s="5">
        <f>IF(ISBLANK('Paste Full'!BK26),"",'Paste Full'!BK26)</f>
        <v>10</v>
      </c>
      <c r="AZ26" s="6">
        <f>IF(ISBLANK('Paste Full'!BM26),"",'Paste Full'!BM26)</f>
        <v>2</v>
      </c>
      <c r="BA26" s="6">
        <f>IF(ISBLANK('Paste Full'!BN26),"",'Paste Full'!BN26)</f>
        <v>1</v>
      </c>
      <c r="BB26" s="6">
        <f>IF(ISBLANK('Paste Full'!BO26),"",'Paste Full'!BO26)</f>
        <v>2</v>
      </c>
      <c r="BC26" s="6">
        <f>IF(ISBLANK('Paste Full'!BP26),"",'Paste Full'!BP26)</f>
        <v>6</v>
      </c>
      <c r="BD26" s="6">
        <f>IF(ISBLANK('Paste Full'!BR26),"",'Paste Full'!BR26)</f>
        <v>1</v>
      </c>
      <c r="BE26" s="6">
        <f>IF(ISBLANK('Paste Full'!BS26),"",'Paste Full'!BS26)</f>
        <v>2</v>
      </c>
      <c r="BF26" s="6">
        <f>IF(ISBLANK('Paste Full'!BU26),"",'Paste Full'!BU26)</f>
        <v>1</v>
      </c>
      <c r="BG26" s="6">
        <f>IF(ISBLANK('Paste Full'!BV26),"",'Paste Full'!BV26)</f>
        <v>9</v>
      </c>
      <c r="BH26" s="6">
        <f>IF(ISBLANK('Paste Full'!BX26),"",'Paste Full'!BX26)</f>
        <v>1</v>
      </c>
      <c r="BI26" s="6">
        <f>IF(ISBLANK('Paste Full'!BY26),"",'Paste Full'!BY26)</f>
        <v>10</v>
      </c>
      <c r="BJ26" s="13">
        <f>IF(ISBLANK('Paste Full'!BL26),"",'Paste Full'!BL26)</f>
        <v>4</v>
      </c>
      <c r="BK26" s="13">
        <f>IF(ISBLANK('Paste Full'!BQ26),"",'Paste Full'!BQ26)</f>
        <v>4</v>
      </c>
      <c r="BL26" s="13">
        <f>IF(ISBLANK('Paste Full'!BT26),"",'Paste Full'!BT26)</f>
        <v>2</v>
      </c>
      <c r="BM26" s="13">
        <f>IF(ISBLANK('Paste Full'!BW26),"",'Paste Full'!BW26)</f>
        <v>1</v>
      </c>
      <c r="BN26" s="41">
        <f>IF(ISBLANK('Paste Full'!BZ26),"",'Paste Full'!BZ26)</f>
        <v>20</v>
      </c>
      <c r="BO26" s="41">
        <f>IF(ISBLANK('Paste Full'!CA26),"",'Paste Full'!CA26)</f>
        <v>1</v>
      </c>
      <c r="BP26" s="41">
        <f>IF(ISBLANK('Paste Full'!CB26),"",'Paste Full'!CB26)</f>
        <v>1</v>
      </c>
      <c r="BQ26" s="41">
        <f>IF(ISBLANK('Paste Full'!CC26),"",'Paste Full'!CC26)</f>
        <v>1</v>
      </c>
      <c r="BR26" s="41">
        <f>IF(ISBLANK('Paste Full'!CD26),"",'Paste Full'!CD26)</f>
        <v>1</v>
      </c>
      <c r="BS26" s="41">
        <f>IF(ISBLANK('Paste Full'!CE26),"",'Paste Full'!CE26)</f>
        <v>1</v>
      </c>
      <c r="BT26" s="41">
        <f>IF(ISBLANK('Paste Full'!CF26),"",'Paste Full'!CF26)</f>
        <v>1</v>
      </c>
      <c r="BU26" s="41">
        <f>IF(ISBLANK('Paste Full'!CG26),"",'Paste Full'!CG26)</f>
        <v>1</v>
      </c>
      <c r="BV26" s="41">
        <f>IF(ISBLANK('Paste Full'!CH26),"",'Paste Full'!CH26)</f>
        <v>1</v>
      </c>
    </row>
    <row r="27" spans="1:74" x14ac:dyDescent="0.3">
      <c r="A27" t="str">
        <f>IF(ISBLANK('Paste Full'!C27),"",'Paste Full'!C27)</f>
        <v>Tom Dando</v>
      </c>
      <c r="B27" t="str">
        <f t="shared" si="0"/>
        <v>AM(R)</v>
      </c>
      <c r="C27" s="2">
        <f>IF(ISBLANK('Paste Full'!H27),"",'Paste Full'!H27)</f>
        <v>17</v>
      </c>
      <c r="D27" s="2">
        <f>IF(ISBLANK('Paste Full'!F27),"",'Paste Full'!F27)</f>
        <v>88</v>
      </c>
      <c r="E27" s="2">
        <f>IF(ISBLANK('Paste Full'!G27),"",'Paste Full'!G27)</f>
        <v>151</v>
      </c>
      <c r="F27" s="21" t="str">
        <f>IF(ISBLANK('Paste Full'!E27),"",'Paste Full'!E27)</f>
        <v>England</v>
      </c>
      <c r="G27" t="str">
        <f>IF(ISBLANK('Paste Full'!CI27),"",'Paste Full'!CI27)</f>
        <v/>
      </c>
      <c r="H27" s="21" t="str">
        <f>IF(ISBLANK('Paste Full'!J27),"",'Paste Full'!J27)</f>
        <v>$472,856</v>
      </c>
      <c r="I27" s="21" t="str">
        <f>IF(ISBLANK('Paste Full'!D27),"",'Paste Full'!D27)</f>
        <v>D RL</v>
      </c>
      <c r="J27" s="14">
        <f>AVERAGE(SUMPRODUCT($S27:$BM27,AttWeights!$C$10:$AW$10)/SUM(AttWeights!$C$10:$AW$10),SUMPRODUCT($S27:$BM27,AttWeights!$C$17:$AW$17)/SUM(AttWeights!$C$17:$AW$17))*10</f>
        <v>92.600773528147826</v>
      </c>
      <c r="K27" s="14">
        <f>AVERAGE(SUMPRODUCT($S27:$BM27,AttWeights!$C$7:$AW$7)/SUM(AttWeights!$C$7:$AW$7),SUMPRODUCT($S27:$BM27,AttWeights!$C$15:$AW$15)/SUM(AttWeights!$C$15:$AW$15))*10</f>
        <v>94.820741132563398</v>
      </c>
      <c r="L27" s="14">
        <f>AVERAGE(SUMPRODUCT($S27:$BM27,AttWeights!$C$8:$AW$8)/SUM(AttWeights!$C$8:$AW$8),SUMPRODUCT($S27:$BM27,AttWeights!$C$16:$AW$16)/SUM(AttWeights!$C$16:$AW$16))*10</f>
        <v>95.118112469160309</v>
      </c>
      <c r="M27" s="14">
        <f>AVERAGE(SUMPRODUCT($S27:$BM27,AttWeights!$C$9:$AW$9)/SUM(AttWeights!$C$9:$AW$9),SUMPRODUCT($S27:$BM27,AttWeights!$C$15:$AW$15)/SUM(AttWeights!$C$15:$AW$15))*10</f>
        <v>95.829375464443814</v>
      </c>
      <c r="N27" s="14">
        <f>AVERAGE(SUMPRODUCT($S27:$BM27,AttWeights!$C$6:$AW$6)/SUM(AttWeights!$C$6:$AW$6),SUMPRODUCT($S27:$BM27,AttWeights!$C$14:$AW$14)/SUM(AttWeights!$C$14:$AW$14))*10</f>
        <v>91.744129685480402</v>
      </c>
      <c r="O27" s="14">
        <f>AVERAGE(SUMPRODUCT($S27:$BM27,AttWeights!$C$5:$AW$5)/SUM(AttWeights!$C$5:$AW$5),SUMPRODUCT($S27:$BM27,AttWeights!$C$14:$AW$14)/SUM(AttWeights!$C$14:$AW$14))*10</f>
        <v>91.409150404569246</v>
      </c>
      <c r="P27" s="14">
        <f>AVERAGE(SUMPRODUCT($S27:$BM27,AttWeights!$C$4:$AW$4)/SUM(AttWeights!$C$4:$AW$4),SUMPRODUCT($S27:$BM27,AttWeights!$C$13:$AW$13)/SUM(AttWeights!$C$13:$AW$13))*10</f>
        <v>93.36195054945054</v>
      </c>
      <c r="Q27" s="14">
        <f>AVERAGE(SUMPRODUCT($S27:$BM27,AttWeights!$C$3:$AW$3)/SUM(AttWeights!$C$3:$AW$3),SUMPRODUCT($S27:$BM27,AttWeights!$C$12:$AW$12)/SUM(AttWeights!$C$12:$AW$12))*10</f>
        <v>93.885481852315394</v>
      </c>
      <c r="R27" s="14">
        <f>AVERAGE(SUMPRODUCT($S27:$BM27,AttWeights!$C$2:$AW$2)/SUM(AttWeights!$C$2:$AW$2),SUMPRODUCT($S27:$BM27,AttWeights!$C$11:$AW$11)/SUM(AttWeights!$C$11:$AW$11))*10</f>
        <v>60.354949104949107</v>
      </c>
      <c r="S27" s="3">
        <f>IF(ISBLANK('Paste Full'!AC27),"",'Paste Full'!AC27)</f>
        <v>13</v>
      </c>
      <c r="T27" s="3">
        <f>IF(ISBLANK('Paste Full'!AD27),"",'Paste Full'!AD27)</f>
        <v>10</v>
      </c>
      <c r="U27" s="3" t="str">
        <f>IF(ISBLANK('Paste Full'!AE27),"",'Paste Full'!AE27)</f>
        <v>$13</v>
      </c>
      <c r="V27" s="3">
        <f>IF(ISBLANK('Paste Full'!AF27),"",'Paste Full'!AF27)</f>
        <v>17</v>
      </c>
      <c r="W27" s="3">
        <f>IF(ISBLANK('Paste Full'!AH27),"",'Paste Full'!AH27)</f>
        <v>14</v>
      </c>
      <c r="X27" s="3">
        <f>IF(ISBLANK('Paste Full'!AI27),"",'Paste Full'!AI27)</f>
        <v>11</v>
      </c>
      <c r="Y27" s="3">
        <f>IF(ISBLANK('Paste Full'!AK27),"",'Paste Full'!AK27)</f>
        <v>14</v>
      </c>
      <c r="Z27" s="3">
        <f>IF(ISBLANK('Paste Full'!AL27),"",'Paste Full'!AL27)</f>
        <v>8</v>
      </c>
      <c r="AA27" s="4">
        <f>IF(ISBLANK('Paste Full'!AM27),"",'Paste Full'!AM27)</f>
        <v>1</v>
      </c>
      <c r="AB27" s="4">
        <f>IF(ISBLANK('Paste Full'!AN27),"",'Paste Full'!AN27)</f>
        <v>1</v>
      </c>
      <c r="AC27" s="4">
        <f>IF(ISBLANK('Paste Full'!AO27),"",'Paste Full'!AO27)</f>
        <v>1</v>
      </c>
      <c r="AD27" s="4">
        <f>IF(ISBLANK('Paste Full'!AP27),"",'Paste Full'!AP27)</f>
        <v>3</v>
      </c>
      <c r="AE27" s="4">
        <f>IF(ISBLANK('Paste Full'!AQ27),"",'Paste Full'!AQ27)</f>
        <v>2</v>
      </c>
      <c r="AF27" s="4">
        <f>IF(ISBLANK('Paste Full'!AR27),"",'Paste Full'!AR27)</f>
        <v>2</v>
      </c>
      <c r="AG27" s="4">
        <f>IF(ISBLANK('Paste Full'!AS27),"",'Paste Full'!AS27)</f>
        <v>2</v>
      </c>
      <c r="AH27" s="4">
        <f>IF(ISBLANK('Paste Full'!AV27),"",'Paste Full'!AV27)</f>
        <v>4</v>
      </c>
      <c r="AI27" s="4">
        <f>IF(ISBLANK('Paste Full'!AT27),"",'Paste Full'!AT27)</f>
        <v>1</v>
      </c>
      <c r="AJ27" s="4">
        <f>IF(ISBLANK('Paste Full'!AU27),"",'Paste Full'!AU27)</f>
        <v>3</v>
      </c>
      <c r="AK27" s="4">
        <f>IF(ISBLANK('Paste Full'!AW27),"",'Paste Full'!AW27)</f>
        <v>1</v>
      </c>
      <c r="AL27" s="5">
        <f>IF(ISBLANK('Paste Full'!AX27),"",'Paste Full'!AX27)</f>
        <v>13</v>
      </c>
      <c r="AM27" s="5">
        <f>IF(ISBLANK('Paste Full'!AY27),"",'Paste Full'!AY27)</f>
        <v>11</v>
      </c>
      <c r="AN27" s="5">
        <f>IF(ISBLANK('Paste Full'!AZ27),"",'Paste Full'!AZ27)</f>
        <v>10</v>
      </c>
      <c r="AO27" s="5">
        <f>IF(ISBLANK('Paste Full'!BA27),"",'Paste Full'!BA27)</f>
        <v>11</v>
      </c>
      <c r="AP27" s="5">
        <f>IF(ISBLANK('Paste Full'!BB27),"",'Paste Full'!BB27)</f>
        <v>9</v>
      </c>
      <c r="AQ27" s="5">
        <f>IF(ISBLANK('Paste Full'!BC27),"",'Paste Full'!BC27)</f>
        <v>8</v>
      </c>
      <c r="AR27" s="5">
        <f>IF(ISBLANK('Paste Full'!BD27),"",'Paste Full'!BD27)</f>
        <v>20</v>
      </c>
      <c r="AS27" s="5">
        <f>IF(ISBLANK('Paste Full'!BE27),"",'Paste Full'!BE27)</f>
        <v>10</v>
      </c>
      <c r="AT27" s="5">
        <f>IF(ISBLANK('Paste Full'!BF27),"",'Paste Full'!BF27)</f>
        <v>16</v>
      </c>
      <c r="AU27" s="5">
        <f>IF(ISBLANK('Paste Full'!BG27),"",'Paste Full'!BG27)</f>
        <v>11</v>
      </c>
      <c r="AV27" s="5">
        <f>IF(ISBLANK('Paste Full'!BH27),"",'Paste Full'!BH27)</f>
        <v>8</v>
      </c>
      <c r="AW27" s="5">
        <f>IF(ISBLANK('Paste Full'!BI27),"",'Paste Full'!BI27)</f>
        <v>14</v>
      </c>
      <c r="AX27" s="5">
        <f>IF(ISBLANK('Paste Full'!BJ27),"",'Paste Full'!BJ27)</f>
        <v>8</v>
      </c>
      <c r="AY27" s="5">
        <f>IF(ISBLANK('Paste Full'!BK27),"",'Paste Full'!BK27)</f>
        <v>12</v>
      </c>
      <c r="AZ27" s="6">
        <f>IF(ISBLANK('Paste Full'!BM27),"",'Paste Full'!BM27)</f>
        <v>9</v>
      </c>
      <c r="BA27" s="6">
        <f>IF(ISBLANK('Paste Full'!BN27),"",'Paste Full'!BN27)</f>
        <v>9</v>
      </c>
      <c r="BB27" s="6">
        <f>IF(ISBLANK('Paste Full'!BO27),"",'Paste Full'!BO27)</f>
        <v>8</v>
      </c>
      <c r="BC27" s="6">
        <f>IF(ISBLANK('Paste Full'!BP27),"",'Paste Full'!BP27)</f>
        <v>10</v>
      </c>
      <c r="BD27" s="6">
        <f>IF(ISBLANK('Paste Full'!BR27),"",'Paste Full'!BR27)</f>
        <v>9</v>
      </c>
      <c r="BE27" s="6">
        <f>IF(ISBLANK('Paste Full'!BS27),"",'Paste Full'!BS27)</f>
        <v>8</v>
      </c>
      <c r="BF27" s="6">
        <f>IF(ISBLANK('Paste Full'!BU27),"",'Paste Full'!BU27)</f>
        <v>8</v>
      </c>
      <c r="BG27" s="6">
        <f>IF(ISBLANK('Paste Full'!BV27),"",'Paste Full'!BV27)</f>
        <v>11</v>
      </c>
      <c r="BH27" s="6">
        <f>IF(ISBLANK('Paste Full'!BX27),"",'Paste Full'!BX27)</f>
        <v>6</v>
      </c>
      <c r="BI27" s="6">
        <f>IF(ISBLANK('Paste Full'!BY27),"",'Paste Full'!BY27)</f>
        <v>12</v>
      </c>
      <c r="BJ27" s="13">
        <f>IF(ISBLANK('Paste Full'!BL27),"",'Paste Full'!BL27)</f>
        <v>6</v>
      </c>
      <c r="BK27" s="13">
        <f>IF(ISBLANK('Paste Full'!BQ27),"",'Paste Full'!BQ27)</f>
        <v>8</v>
      </c>
      <c r="BL27" s="13">
        <f>IF(ISBLANK('Paste Full'!BT27),"",'Paste Full'!BT27)</f>
        <v>4</v>
      </c>
      <c r="BM27" s="13">
        <f>IF(ISBLANK('Paste Full'!BW27),"",'Paste Full'!BW27)</f>
        <v>9</v>
      </c>
      <c r="BN27" s="41">
        <f>IF(ISBLANK('Paste Full'!BZ27),"",'Paste Full'!BZ27)</f>
        <v>1</v>
      </c>
      <c r="BO27" s="41">
        <f>IF(ISBLANK('Paste Full'!CA27),"",'Paste Full'!CA27)</f>
        <v>20</v>
      </c>
      <c r="BP27" s="41">
        <f>IF(ISBLANK('Paste Full'!CB27),"",'Paste Full'!CB27)</f>
        <v>2</v>
      </c>
      <c r="BQ27" s="41">
        <f>IF(ISBLANK('Paste Full'!CC27),"",'Paste Full'!CC27)</f>
        <v>5</v>
      </c>
      <c r="BR27" s="41">
        <f>IF(ISBLANK('Paste Full'!CD27),"",'Paste Full'!CD27)</f>
        <v>1</v>
      </c>
      <c r="BS27" s="41">
        <f>IF(ISBLANK('Paste Full'!CE27),"",'Paste Full'!CE27)</f>
        <v>1</v>
      </c>
      <c r="BT27" s="41">
        <f>IF(ISBLANK('Paste Full'!CF27),"",'Paste Full'!CF27)</f>
        <v>1</v>
      </c>
      <c r="BU27" s="41">
        <f>IF(ISBLANK('Paste Full'!CG27),"",'Paste Full'!CG27)</f>
        <v>1</v>
      </c>
      <c r="BV27" s="41">
        <f>IF(ISBLANK('Paste Full'!CH27),"",'Paste Full'!CH27)</f>
        <v>3</v>
      </c>
    </row>
    <row r="28" spans="1:74" x14ac:dyDescent="0.3">
      <c r="A28" t="str">
        <f>IF(ISBLANK('Paste Full'!C28),"",'Paste Full'!C28)</f>
        <v>Ahmed Kilic</v>
      </c>
      <c r="B28" t="str">
        <f t="shared" si="0"/>
        <v>AM(R)</v>
      </c>
      <c r="C28" s="2">
        <f>IF(ISBLANK('Paste Full'!H28),"",'Paste Full'!H28)</f>
        <v>20</v>
      </c>
      <c r="D28" s="2">
        <f>IF(ISBLANK('Paste Full'!F28),"",'Paste Full'!F28)</f>
        <v>70</v>
      </c>
      <c r="E28" s="2">
        <f>IF(ISBLANK('Paste Full'!G28),"",'Paste Full'!G28)</f>
        <v>108</v>
      </c>
      <c r="F28" s="21" t="str">
        <f>IF(ISBLANK('Paste Full'!E28),"",'Paste Full'!E28)</f>
        <v>Turkey</v>
      </c>
      <c r="G28" t="str">
        <f>IF(ISBLANK('Paste Full'!CI28),"",'Paste Full'!CI28)</f>
        <v>Vilaverdense FC</v>
      </c>
      <c r="H28" s="21" t="str">
        <f>IF(ISBLANK('Paste Full'!J28),"",'Paste Full'!J28)</f>
        <v>$389,578</v>
      </c>
      <c r="I28" s="21" t="str">
        <f>IF(ISBLANK('Paste Full'!D28),"",'Paste Full'!D28)</f>
        <v>M/AM LC</v>
      </c>
      <c r="J28" s="14">
        <f>AVERAGE(SUMPRODUCT($S28:$BM28,AttWeights!$C$10:$AW$10)/SUM(AttWeights!$C$10:$AW$10),SUMPRODUCT($S28:$BM28,AttWeights!$C$17:$AW$17)/SUM(AttWeights!$C$17:$AW$17))*10</f>
        <v>71.192665807190949</v>
      </c>
      <c r="K28" s="14">
        <f>AVERAGE(SUMPRODUCT($S28:$BM28,AttWeights!$C$7:$AW$7)/SUM(AttWeights!$C$7:$AW$7),SUMPRODUCT($S28:$BM28,AttWeights!$C$15:$AW$15)/SUM(AttWeights!$C$15:$AW$15))*10</f>
        <v>75.292103793822918</v>
      </c>
      <c r="L28" s="14">
        <f>AVERAGE(SUMPRODUCT($S28:$BM28,AttWeights!$C$8:$AW$8)/SUM(AttWeights!$C$8:$AW$8),SUMPRODUCT($S28:$BM28,AttWeights!$C$16:$AW$16)/SUM(AttWeights!$C$16:$AW$16))*10</f>
        <v>75.635510308255107</v>
      </c>
      <c r="M28" s="14">
        <f>AVERAGE(SUMPRODUCT($S28:$BM28,AttWeights!$C$9:$AW$9)/SUM(AttWeights!$C$9:$AW$9),SUMPRODUCT($S28:$BM28,AttWeights!$C$15:$AW$15)/SUM(AttWeights!$C$15:$AW$15))*10</f>
        <v>75.832929469160931</v>
      </c>
      <c r="N28" s="14">
        <f>AVERAGE(SUMPRODUCT($S28:$BM28,AttWeights!$C$6:$AW$6)/SUM(AttWeights!$C$6:$AW$6),SUMPRODUCT($S28:$BM28,AttWeights!$C$14:$AW$14)/SUM(AttWeights!$C$14:$AW$14))*10</f>
        <v>67.950102326583362</v>
      </c>
      <c r="O28" s="14">
        <f>AVERAGE(SUMPRODUCT($S28:$BM28,AttWeights!$C$5:$AW$5)/SUM(AttWeights!$C$5:$AW$5),SUMPRODUCT($S28:$BM28,AttWeights!$C$14:$AW$14)/SUM(AttWeights!$C$14:$AW$14))*10</f>
        <v>66.071364826273197</v>
      </c>
      <c r="P28" s="14">
        <f>AVERAGE(SUMPRODUCT($S28:$BM28,AttWeights!$C$4:$AW$4)/SUM(AttWeights!$C$4:$AW$4),SUMPRODUCT($S28:$BM28,AttWeights!$C$13:$AW$13)/SUM(AttWeights!$C$13:$AW$13))*10</f>
        <v>65.23695054945054</v>
      </c>
      <c r="Q28" s="14">
        <f>AVERAGE(SUMPRODUCT($S28:$BM28,AttWeights!$C$3:$AW$3)/SUM(AttWeights!$C$3:$AW$3),SUMPRODUCT($S28:$BM28,AttWeights!$C$12:$AW$12)/SUM(AttWeights!$C$12:$AW$12))*10</f>
        <v>65.120463078848559</v>
      </c>
      <c r="R28" s="14">
        <f>AVERAGE(SUMPRODUCT($S28:$BM28,AttWeights!$C$2:$AW$2)/SUM(AttWeights!$C$2:$AW$2),SUMPRODUCT($S28:$BM28,AttWeights!$C$11:$AW$11)/SUM(AttWeights!$C$11:$AW$11))*10</f>
        <v>42.260442260442261</v>
      </c>
      <c r="S28" s="3">
        <f>IF(ISBLANK('Paste Full'!AC28),"",'Paste Full'!AC28)</f>
        <v>13</v>
      </c>
      <c r="T28" s="3">
        <f>IF(ISBLANK('Paste Full'!AD28),"",'Paste Full'!AD28)</f>
        <v>11</v>
      </c>
      <c r="U28" s="3" t="str">
        <f>IF(ISBLANK('Paste Full'!AE28),"",'Paste Full'!AE28)</f>
        <v>$9</v>
      </c>
      <c r="V28" s="3">
        <f>IF(ISBLANK('Paste Full'!AF28),"",'Paste Full'!AF28)</f>
        <v>9</v>
      </c>
      <c r="W28" s="3">
        <f>IF(ISBLANK('Paste Full'!AH28),"",'Paste Full'!AH28)</f>
        <v>9</v>
      </c>
      <c r="X28" s="3">
        <f>IF(ISBLANK('Paste Full'!AI28),"",'Paste Full'!AI28)</f>
        <v>13</v>
      </c>
      <c r="Y28" s="3">
        <f>IF(ISBLANK('Paste Full'!AK28),"",'Paste Full'!AK28)</f>
        <v>11</v>
      </c>
      <c r="Z28" s="3">
        <f>IF(ISBLANK('Paste Full'!AL28),"",'Paste Full'!AL28)</f>
        <v>10</v>
      </c>
      <c r="AA28" s="4">
        <f>IF(ISBLANK('Paste Full'!AM28),"",'Paste Full'!AM28)</f>
        <v>2</v>
      </c>
      <c r="AB28" s="4">
        <f>IF(ISBLANK('Paste Full'!AN28),"",'Paste Full'!AN28)</f>
        <v>2</v>
      </c>
      <c r="AC28" s="4">
        <f>IF(ISBLANK('Paste Full'!AO28),"",'Paste Full'!AO28)</f>
        <v>2</v>
      </c>
      <c r="AD28" s="4">
        <f>IF(ISBLANK('Paste Full'!AP28),"",'Paste Full'!AP28)</f>
        <v>1</v>
      </c>
      <c r="AE28" s="4">
        <f>IF(ISBLANK('Paste Full'!AQ28),"",'Paste Full'!AQ28)</f>
        <v>2</v>
      </c>
      <c r="AF28" s="4">
        <f>IF(ISBLANK('Paste Full'!AR28),"",'Paste Full'!AR28)</f>
        <v>4</v>
      </c>
      <c r="AG28" s="4">
        <f>IF(ISBLANK('Paste Full'!AS28),"",'Paste Full'!AS28)</f>
        <v>1</v>
      </c>
      <c r="AH28" s="4">
        <f>IF(ISBLANK('Paste Full'!AV28),"",'Paste Full'!AV28)</f>
        <v>1</v>
      </c>
      <c r="AI28" s="4">
        <f>IF(ISBLANK('Paste Full'!AT28),"",'Paste Full'!AT28)</f>
        <v>2</v>
      </c>
      <c r="AJ28" s="4">
        <f>IF(ISBLANK('Paste Full'!AU28),"",'Paste Full'!AU28)</f>
        <v>4</v>
      </c>
      <c r="AK28" s="4">
        <f>IF(ISBLANK('Paste Full'!AW28),"",'Paste Full'!AW28)</f>
        <v>2</v>
      </c>
      <c r="AL28" s="5">
        <f>IF(ISBLANK('Paste Full'!AX28),"",'Paste Full'!AX28)</f>
        <v>14</v>
      </c>
      <c r="AM28" s="5">
        <f>IF(ISBLANK('Paste Full'!AY28),"",'Paste Full'!AY28)</f>
        <v>4</v>
      </c>
      <c r="AN28" s="5">
        <f>IF(ISBLANK('Paste Full'!AZ28),"",'Paste Full'!AZ28)</f>
        <v>6</v>
      </c>
      <c r="AO28" s="5">
        <f>IF(ISBLANK('Paste Full'!BA28),"",'Paste Full'!BA28)</f>
        <v>7</v>
      </c>
      <c r="AP28" s="5">
        <f>IF(ISBLANK('Paste Full'!BB28),"",'Paste Full'!BB28)</f>
        <v>2</v>
      </c>
      <c r="AQ28" s="5">
        <f>IF(ISBLANK('Paste Full'!BC28),"",'Paste Full'!BC28)</f>
        <v>11</v>
      </c>
      <c r="AR28" s="5">
        <f>IF(ISBLANK('Paste Full'!BD28),"",'Paste Full'!BD28)</f>
        <v>4</v>
      </c>
      <c r="AS28" s="5">
        <f>IF(ISBLANK('Paste Full'!BE28),"",'Paste Full'!BE28)</f>
        <v>11</v>
      </c>
      <c r="AT28" s="5">
        <f>IF(ISBLANK('Paste Full'!BF28),"",'Paste Full'!BF28)</f>
        <v>8</v>
      </c>
      <c r="AU28" s="5">
        <f>IF(ISBLANK('Paste Full'!BG28),"",'Paste Full'!BG28)</f>
        <v>10</v>
      </c>
      <c r="AV28" s="5">
        <f>IF(ISBLANK('Paste Full'!BH28),"",'Paste Full'!BH28)</f>
        <v>2</v>
      </c>
      <c r="AW28" s="5">
        <f>IF(ISBLANK('Paste Full'!BI28),"",'Paste Full'!BI28)</f>
        <v>6</v>
      </c>
      <c r="AX28" s="5">
        <f>IF(ISBLANK('Paste Full'!BJ28),"",'Paste Full'!BJ28)</f>
        <v>6</v>
      </c>
      <c r="AY28" s="5">
        <f>IF(ISBLANK('Paste Full'!BK28),"",'Paste Full'!BK28)</f>
        <v>8</v>
      </c>
      <c r="AZ28" s="6">
        <f>IF(ISBLANK('Paste Full'!BM28),"",'Paste Full'!BM28)</f>
        <v>6</v>
      </c>
      <c r="BA28" s="6">
        <f>IF(ISBLANK('Paste Full'!BN28),"",'Paste Full'!BN28)</f>
        <v>13</v>
      </c>
      <c r="BB28" s="6">
        <f>IF(ISBLANK('Paste Full'!BO28),"",'Paste Full'!BO28)</f>
        <v>5</v>
      </c>
      <c r="BC28" s="6">
        <f>IF(ISBLANK('Paste Full'!BP28),"",'Paste Full'!BP28)</f>
        <v>10</v>
      </c>
      <c r="BD28" s="6">
        <f>IF(ISBLANK('Paste Full'!BR28),"",'Paste Full'!BR28)</f>
        <v>3</v>
      </c>
      <c r="BE28" s="6">
        <f>IF(ISBLANK('Paste Full'!BS28),"",'Paste Full'!BS28)</f>
        <v>8</v>
      </c>
      <c r="BF28" s="6">
        <f>IF(ISBLANK('Paste Full'!BU28),"",'Paste Full'!BU28)</f>
        <v>3</v>
      </c>
      <c r="BG28" s="6">
        <f>IF(ISBLANK('Paste Full'!BV28),"",'Paste Full'!BV28)</f>
        <v>5</v>
      </c>
      <c r="BH28" s="6">
        <f>IF(ISBLANK('Paste Full'!BX28),"",'Paste Full'!BX28)</f>
        <v>3</v>
      </c>
      <c r="BI28" s="6">
        <f>IF(ISBLANK('Paste Full'!BY28),"",'Paste Full'!BY28)</f>
        <v>11</v>
      </c>
      <c r="BJ28" s="13">
        <f>IF(ISBLANK('Paste Full'!BL28),"",'Paste Full'!BL28)</f>
        <v>3</v>
      </c>
      <c r="BK28" s="13">
        <f>IF(ISBLANK('Paste Full'!BQ28),"",'Paste Full'!BQ28)</f>
        <v>3</v>
      </c>
      <c r="BL28" s="13">
        <f>IF(ISBLANK('Paste Full'!BT28),"",'Paste Full'!BT28)</f>
        <v>6</v>
      </c>
      <c r="BM28" s="13">
        <f>IF(ISBLANK('Paste Full'!BW28),"",'Paste Full'!BW28)</f>
        <v>3</v>
      </c>
      <c r="BN28" s="41">
        <f>IF(ISBLANK('Paste Full'!BZ28),"",'Paste Full'!BZ28)</f>
        <v>1</v>
      </c>
      <c r="BO28" s="41">
        <f>IF(ISBLANK('Paste Full'!CA28),"",'Paste Full'!CA28)</f>
        <v>1</v>
      </c>
      <c r="BP28" s="41">
        <f>IF(ISBLANK('Paste Full'!CB28),"",'Paste Full'!CB28)</f>
        <v>1</v>
      </c>
      <c r="BQ28" s="41">
        <f>IF(ISBLANK('Paste Full'!CC28),"",'Paste Full'!CC28)</f>
        <v>1</v>
      </c>
      <c r="BR28" s="41">
        <f>IF(ISBLANK('Paste Full'!CD28),"",'Paste Full'!CD28)</f>
        <v>1</v>
      </c>
      <c r="BS28" s="41">
        <f>IF(ISBLANK('Paste Full'!CE28),"",'Paste Full'!CE28)</f>
        <v>1</v>
      </c>
      <c r="BT28" s="41">
        <f>IF(ISBLANK('Paste Full'!CF28),"",'Paste Full'!CF28)</f>
        <v>19</v>
      </c>
      <c r="BU28" s="41">
        <f>IF(ISBLANK('Paste Full'!CG28),"",'Paste Full'!CG28)</f>
        <v>20</v>
      </c>
      <c r="BV28" s="41">
        <f>IF(ISBLANK('Paste Full'!CH28),"",'Paste Full'!CH28)</f>
        <v>1</v>
      </c>
    </row>
    <row r="29" spans="1:74" x14ac:dyDescent="0.3">
      <c r="A29" t="str">
        <f>IF(ISBLANK('Paste Full'!C29),"",'Paste Full'!C29)</f>
        <v>Arron Bowman</v>
      </c>
      <c r="B29" t="str">
        <f t="shared" si="0"/>
        <v>DM(R)</v>
      </c>
      <c r="C29" s="2">
        <f>IF(ISBLANK('Paste Full'!H29),"",'Paste Full'!H29)</f>
        <v>20</v>
      </c>
      <c r="D29" s="2">
        <f>IF(ISBLANK('Paste Full'!F29),"",'Paste Full'!F29)</f>
        <v>58</v>
      </c>
      <c r="E29" s="2">
        <f>IF(ISBLANK('Paste Full'!G29),"",'Paste Full'!G29)</f>
        <v>97</v>
      </c>
      <c r="F29" s="21" t="str">
        <f>IF(ISBLANK('Paste Full'!E29),"",'Paste Full'!E29)</f>
        <v>England</v>
      </c>
      <c r="G29" t="str">
        <f>IF(ISBLANK('Paste Full'!CI29),"",'Paste Full'!CI29)</f>
        <v/>
      </c>
      <c r="H29" s="21" t="str">
        <f>IF(ISBLANK('Paste Full'!J29),"",'Paste Full'!J29)</f>
        <v>$42,382</v>
      </c>
      <c r="I29" s="21" t="str">
        <f>IF(ISBLANK('Paste Full'!D29),"",'Paste Full'!D29)</f>
        <v>D L</v>
      </c>
      <c r="J29" s="14">
        <f>AVERAGE(SUMPRODUCT($S29:$BM29,AttWeights!$C$10:$AW$10)/SUM(AttWeights!$C$10:$AW$10),SUMPRODUCT($S29:$BM29,AttWeights!$C$17:$AW$17)/SUM(AttWeights!$C$17:$AW$17))*10</f>
        <v>65.655636728262422</v>
      </c>
      <c r="K29" s="14">
        <f>AVERAGE(SUMPRODUCT($S29:$BM29,AttWeights!$C$7:$AW$7)/SUM(AttWeights!$C$7:$AW$7),SUMPRODUCT($S29:$BM29,AttWeights!$C$15:$AW$15)/SUM(AttWeights!$C$15:$AW$15))*10</f>
        <v>70.745393634840866</v>
      </c>
      <c r="L29" s="14">
        <f>AVERAGE(SUMPRODUCT($S29:$BM29,AttWeights!$C$8:$AW$8)/SUM(AttWeights!$C$8:$AW$8),SUMPRODUCT($S29:$BM29,AttWeights!$C$16:$AW$16)/SUM(AttWeights!$C$16:$AW$16))*10</f>
        <v>71.73482120069194</v>
      </c>
      <c r="M29" s="14">
        <f>AVERAGE(SUMPRODUCT($S29:$BM29,AttWeights!$C$9:$AW$9)/SUM(AttWeights!$C$9:$AW$9),SUMPRODUCT($S29:$BM29,AttWeights!$C$15:$AW$15)/SUM(AttWeights!$C$15:$AW$15))*10</f>
        <v>73.747697974217317</v>
      </c>
      <c r="N29" s="14">
        <f>AVERAGE(SUMPRODUCT($S29:$BM29,AttWeights!$C$6:$AW$6)/SUM(AttWeights!$C$6:$AW$6),SUMPRODUCT($S29:$BM29,AttWeights!$C$14:$AW$14)/SUM(AttWeights!$C$14:$AW$14))*10</f>
        <v>73.863905644118915</v>
      </c>
      <c r="O29" s="14">
        <f>AVERAGE(SUMPRODUCT($S29:$BM29,AttWeights!$C$5:$AW$5)/SUM(AttWeights!$C$5:$AW$5),SUMPRODUCT($S29:$BM29,AttWeights!$C$14:$AW$14)/SUM(AttWeights!$C$14:$AW$14))*10</f>
        <v>76.904152784388373</v>
      </c>
      <c r="P29" s="14">
        <f>AVERAGE(SUMPRODUCT($S29:$BM29,AttWeights!$C$4:$AW$4)/SUM(AttWeights!$C$4:$AW$4),SUMPRODUCT($S29:$BM29,AttWeights!$C$13:$AW$13)/SUM(AttWeights!$C$13:$AW$13))*10</f>
        <v>70.961538461538467</v>
      </c>
      <c r="Q29" s="14">
        <f>AVERAGE(SUMPRODUCT($S29:$BM29,AttWeights!$C$3:$AW$3)/SUM(AttWeights!$C$3:$AW$3),SUMPRODUCT($S29:$BM29,AttWeights!$C$12:$AW$12)/SUM(AttWeights!$C$12:$AW$12))*10</f>
        <v>76.31789737171465</v>
      </c>
      <c r="R29" s="14">
        <f>AVERAGE(SUMPRODUCT($S29:$BM29,AttWeights!$C$2:$AW$2)/SUM(AttWeights!$C$2:$AW$2),SUMPRODUCT($S29:$BM29,AttWeights!$C$11:$AW$11)/SUM(AttWeights!$C$11:$AW$11))*10</f>
        <v>57.295542295542305</v>
      </c>
      <c r="S29" s="3">
        <f>IF(ISBLANK('Paste Full'!AC29),"",'Paste Full'!AC29)</f>
        <v>13</v>
      </c>
      <c r="T29" s="3">
        <f>IF(ISBLANK('Paste Full'!AD29),"",'Paste Full'!AD29)</f>
        <v>10</v>
      </c>
      <c r="U29" s="3" t="str">
        <f>IF(ISBLANK('Paste Full'!AE29),"",'Paste Full'!AE29)</f>
        <v>$8</v>
      </c>
      <c r="V29" s="3">
        <f>IF(ISBLANK('Paste Full'!AF29),"",'Paste Full'!AF29)</f>
        <v>6</v>
      </c>
      <c r="W29" s="3">
        <f>IF(ISBLANK('Paste Full'!AH29),"",'Paste Full'!AH29)</f>
        <v>13</v>
      </c>
      <c r="X29" s="3">
        <f>IF(ISBLANK('Paste Full'!AI29),"",'Paste Full'!AI29)</f>
        <v>14</v>
      </c>
      <c r="Y29" s="3">
        <f>IF(ISBLANK('Paste Full'!AK29),"",'Paste Full'!AK29)</f>
        <v>13</v>
      </c>
      <c r="Z29" s="3">
        <f>IF(ISBLANK('Paste Full'!AL29),"",'Paste Full'!AL29)</f>
        <v>6</v>
      </c>
      <c r="AA29" s="4">
        <f>IF(ISBLANK('Paste Full'!AM29),"",'Paste Full'!AM29)</f>
        <v>3</v>
      </c>
      <c r="AB29" s="4">
        <f>IF(ISBLANK('Paste Full'!AN29),"",'Paste Full'!AN29)</f>
        <v>3</v>
      </c>
      <c r="AC29" s="4">
        <f>IF(ISBLANK('Paste Full'!AO29),"",'Paste Full'!AO29)</f>
        <v>3</v>
      </c>
      <c r="AD29" s="4">
        <f>IF(ISBLANK('Paste Full'!AP29),"",'Paste Full'!AP29)</f>
        <v>3</v>
      </c>
      <c r="AE29" s="4">
        <f>IF(ISBLANK('Paste Full'!AQ29),"",'Paste Full'!AQ29)</f>
        <v>1</v>
      </c>
      <c r="AF29" s="4">
        <f>IF(ISBLANK('Paste Full'!AR29),"",'Paste Full'!AR29)</f>
        <v>4</v>
      </c>
      <c r="AG29" s="4">
        <f>IF(ISBLANK('Paste Full'!AS29),"",'Paste Full'!AS29)</f>
        <v>3</v>
      </c>
      <c r="AH29" s="4">
        <f>IF(ISBLANK('Paste Full'!AV29),"",'Paste Full'!AV29)</f>
        <v>1</v>
      </c>
      <c r="AI29" s="4">
        <f>IF(ISBLANK('Paste Full'!AT29),"",'Paste Full'!AT29)</f>
        <v>3</v>
      </c>
      <c r="AJ29" s="4">
        <f>IF(ISBLANK('Paste Full'!AU29),"",'Paste Full'!AU29)</f>
        <v>2</v>
      </c>
      <c r="AK29" s="4">
        <f>IF(ISBLANK('Paste Full'!AW29),"",'Paste Full'!AW29)</f>
        <v>1</v>
      </c>
      <c r="AL29" s="5">
        <f>IF(ISBLANK('Paste Full'!AX29),"",'Paste Full'!AX29)</f>
        <v>14</v>
      </c>
      <c r="AM29" s="5">
        <f>IF(ISBLANK('Paste Full'!AY29),"",'Paste Full'!AY29)</f>
        <v>7</v>
      </c>
      <c r="AN29" s="5">
        <f>IF(ISBLANK('Paste Full'!AZ29),"",'Paste Full'!AZ29)</f>
        <v>5</v>
      </c>
      <c r="AO29" s="5">
        <f>IF(ISBLANK('Paste Full'!BA29),"",'Paste Full'!BA29)</f>
        <v>4</v>
      </c>
      <c r="AP29" s="5">
        <f>IF(ISBLANK('Paste Full'!BB29),"",'Paste Full'!BB29)</f>
        <v>13</v>
      </c>
      <c r="AQ29" s="5">
        <f>IF(ISBLANK('Paste Full'!BC29),"",'Paste Full'!BC29)</f>
        <v>12</v>
      </c>
      <c r="AR29" s="5">
        <f>IF(ISBLANK('Paste Full'!BD29),"",'Paste Full'!BD29)</f>
        <v>15</v>
      </c>
      <c r="AS29" s="5">
        <f>IF(ISBLANK('Paste Full'!BE29),"",'Paste Full'!BE29)</f>
        <v>7</v>
      </c>
      <c r="AT29" s="5">
        <f>IF(ISBLANK('Paste Full'!BF29),"",'Paste Full'!BF29)</f>
        <v>2</v>
      </c>
      <c r="AU29" s="5">
        <f>IF(ISBLANK('Paste Full'!BG29),"",'Paste Full'!BG29)</f>
        <v>3</v>
      </c>
      <c r="AV29" s="5">
        <f>IF(ISBLANK('Paste Full'!BH29),"",'Paste Full'!BH29)</f>
        <v>9</v>
      </c>
      <c r="AW29" s="5">
        <f>IF(ISBLANK('Paste Full'!BI29),"",'Paste Full'!BI29)</f>
        <v>5</v>
      </c>
      <c r="AX29" s="5">
        <f>IF(ISBLANK('Paste Full'!BJ29),"",'Paste Full'!BJ29)</f>
        <v>2</v>
      </c>
      <c r="AY29" s="5">
        <f>IF(ISBLANK('Paste Full'!BK29),"",'Paste Full'!BK29)</f>
        <v>6</v>
      </c>
      <c r="AZ29" s="6">
        <f>IF(ISBLANK('Paste Full'!BM29),"",'Paste Full'!BM29)</f>
        <v>10</v>
      </c>
      <c r="BA29" s="6">
        <f>IF(ISBLANK('Paste Full'!BN29),"",'Paste Full'!BN29)</f>
        <v>4</v>
      </c>
      <c r="BB29" s="6">
        <f>IF(ISBLANK('Paste Full'!BO29),"",'Paste Full'!BO29)</f>
        <v>1</v>
      </c>
      <c r="BC29" s="6">
        <f>IF(ISBLANK('Paste Full'!BP29),"",'Paste Full'!BP29)</f>
        <v>11</v>
      </c>
      <c r="BD29" s="6">
        <f>IF(ISBLANK('Paste Full'!BR29),"",'Paste Full'!BR29)</f>
        <v>2</v>
      </c>
      <c r="BE29" s="6">
        <f>IF(ISBLANK('Paste Full'!BS29),"",'Paste Full'!BS29)</f>
        <v>2</v>
      </c>
      <c r="BF29" s="6">
        <f>IF(ISBLANK('Paste Full'!BU29),"",'Paste Full'!BU29)</f>
        <v>5</v>
      </c>
      <c r="BG29" s="6">
        <f>IF(ISBLANK('Paste Full'!BV29),"",'Paste Full'!BV29)</f>
        <v>5</v>
      </c>
      <c r="BH29" s="6">
        <f>IF(ISBLANK('Paste Full'!BX29),"",'Paste Full'!BX29)</f>
        <v>8</v>
      </c>
      <c r="BI29" s="6">
        <f>IF(ISBLANK('Paste Full'!BY29),"",'Paste Full'!BY29)</f>
        <v>6</v>
      </c>
      <c r="BJ29" s="13">
        <f>IF(ISBLANK('Paste Full'!BL29),"",'Paste Full'!BL29)</f>
        <v>3</v>
      </c>
      <c r="BK29" s="13">
        <f>IF(ISBLANK('Paste Full'!BQ29),"",'Paste Full'!BQ29)</f>
        <v>1</v>
      </c>
      <c r="BL29" s="13">
        <f>IF(ISBLANK('Paste Full'!BT29),"",'Paste Full'!BT29)</f>
        <v>3</v>
      </c>
      <c r="BM29" s="13">
        <f>IF(ISBLANK('Paste Full'!BW29),"",'Paste Full'!BW29)</f>
        <v>1</v>
      </c>
      <c r="BN29" s="41">
        <f>IF(ISBLANK('Paste Full'!BZ29),"",'Paste Full'!BZ29)</f>
        <v>1</v>
      </c>
      <c r="BO29" s="41">
        <f>IF(ISBLANK('Paste Full'!CA29),"",'Paste Full'!CA29)</f>
        <v>1</v>
      </c>
      <c r="BP29" s="41">
        <f>IF(ISBLANK('Paste Full'!CB29),"",'Paste Full'!CB29)</f>
        <v>2</v>
      </c>
      <c r="BQ29" s="41">
        <f>IF(ISBLANK('Paste Full'!CC29),"",'Paste Full'!CC29)</f>
        <v>20</v>
      </c>
      <c r="BR29" s="41">
        <f>IF(ISBLANK('Paste Full'!CD29),"",'Paste Full'!CD29)</f>
        <v>1</v>
      </c>
      <c r="BS29" s="41">
        <f>IF(ISBLANK('Paste Full'!CE29),"",'Paste Full'!CE29)</f>
        <v>2</v>
      </c>
      <c r="BT29" s="41">
        <f>IF(ISBLANK('Paste Full'!CF29),"",'Paste Full'!CF29)</f>
        <v>1</v>
      </c>
      <c r="BU29" s="41">
        <f>IF(ISBLANK('Paste Full'!CG29),"",'Paste Full'!CG29)</f>
        <v>1</v>
      </c>
      <c r="BV29" s="41">
        <f>IF(ISBLANK('Paste Full'!CH29),"",'Paste Full'!CH29)</f>
        <v>1</v>
      </c>
    </row>
    <row r="30" spans="1:74" x14ac:dyDescent="0.3">
      <c r="A30" t="str">
        <f>IF(ISBLANK('Paste Full'!C30),"",'Paste Full'!C30)</f>
        <v>Baillie Talmash</v>
      </c>
      <c r="B30" t="str">
        <f t="shared" si="0"/>
        <v>D(R/L)</v>
      </c>
      <c r="C30" s="2">
        <f>IF(ISBLANK('Paste Full'!H30),"",'Paste Full'!H30)</f>
        <v>18</v>
      </c>
      <c r="D30" s="2">
        <f>IF(ISBLANK('Paste Full'!F30),"",'Paste Full'!F30)</f>
        <v>70</v>
      </c>
      <c r="E30" s="2">
        <f>IF(ISBLANK('Paste Full'!G30),"",'Paste Full'!G30)</f>
        <v>77</v>
      </c>
      <c r="F30" s="21" t="str">
        <f>IF(ISBLANK('Paste Full'!E30),"",'Paste Full'!E30)</f>
        <v>England</v>
      </c>
      <c r="G30" t="str">
        <f>IF(ISBLANK('Paste Full'!CI30),"",'Paste Full'!CI30)</f>
        <v/>
      </c>
      <c r="H30" s="21" t="str">
        <f>IF(ISBLANK('Paste Full'!J30),"",'Paste Full'!J30)</f>
        <v>$76,828</v>
      </c>
      <c r="I30" s="21" t="str">
        <f>IF(ISBLANK('Paste Full'!D30),"",'Paste Full'!D30)</f>
        <v>D/WB/AM R</v>
      </c>
      <c r="J30" s="14">
        <f>AVERAGE(SUMPRODUCT($S30:$BM30,AttWeights!$C$10:$AW$10)/SUM(AttWeights!$C$10:$AW$10),SUMPRODUCT($S30:$BM30,AttWeights!$C$17:$AW$17)/SUM(AttWeights!$C$17:$AW$17))*10</f>
        <v>73.650909611803456</v>
      </c>
      <c r="K30" s="14">
        <f>AVERAGE(SUMPRODUCT($S30:$BM30,AttWeights!$C$7:$AW$7)/SUM(AttWeights!$C$7:$AW$7),SUMPRODUCT($S30:$BM30,AttWeights!$C$15:$AW$15)/SUM(AttWeights!$C$15:$AW$15))*10</f>
        <v>78.497311116988456</v>
      </c>
      <c r="L30" s="14">
        <f>AVERAGE(SUMPRODUCT($S30:$BM30,AttWeights!$C$8:$AW$8)/SUM(AttWeights!$C$8:$AW$8),SUMPRODUCT($S30:$BM30,AttWeights!$C$16:$AW$16)/SUM(AttWeights!$C$16:$AW$16))*10</f>
        <v>80.146045430054158</v>
      </c>
      <c r="M30" s="14">
        <f>AVERAGE(SUMPRODUCT($S30:$BM30,AttWeights!$C$9:$AW$9)/SUM(AttWeights!$C$9:$AW$9),SUMPRODUCT($S30:$BM30,AttWeights!$C$15:$AW$15)/SUM(AttWeights!$C$15:$AW$15))*10</f>
        <v>82.655810797712519</v>
      </c>
      <c r="N30" s="14">
        <f>AVERAGE(SUMPRODUCT($S30:$BM30,AttWeights!$C$6:$AW$6)/SUM(AttWeights!$C$6:$AW$6),SUMPRODUCT($S30:$BM30,AttWeights!$C$14:$AW$14)/SUM(AttWeights!$C$14:$AW$14))*10</f>
        <v>79.610889702714346</v>
      </c>
      <c r="O30" s="14">
        <f>AVERAGE(SUMPRODUCT($S30:$BM30,AttWeights!$C$5:$AW$5)/SUM(AttWeights!$C$5:$AW$5),SUMPRODUCT($S30:$BM30,AttWeights!$C$14:$AW$14)/SUM(AttWeights!$C$14:$AW$14))*10</f>
        <v>80.485185625892427</v>
      </c>
      <c r="P30" s="14">
        <f>AVERAGE(SUMPRODUCT($S30:$BM30,AttWeights!$C$4:$AW$4)/SUM(AttWeights!$C$4:$AW$4),SUMPRODUCT($S30:$BM30,AttWeights!$C$13:$AW$13)/SUM(AttWeights!$C$13:$AW$13))*10</f>
        <v>78.746565934065927</v>
      </c>
      <c r="Q30" s="14">
        <f>AVERAGE(SUMPRODUCT($S30:$BM30,AttWeights!$C$3:$AW$3)/SUM(AttWeights!$C$3:$AW$3),SUMPRODUCT($S30:$BM30,AttWeights!$C$12:$AW$12)/SUM(AttWeights!$C$12:$AW$12))*10</f>
        <v>84.310075093867326</v>
      </c>
      <c r="R30" s="14">
        <f>AVERAGE(SUMPRODUCT($S30:$BM30,AttWeights!$C$2:$AW$2)/SUM(AttWeights!$C$2:$AW$2),SUMPRODUCT($S30:$BM30,AttWeights!$C$11:$AW$11)/SUM(AttWeights!$C$11:$AW$11))*10</f>
        <v>55.970515970515969</v>
      </c>
      <c r="S30" s="3">
        <f>IF(ISBLANK('Paste Full'!AC30),"",'Paste Full'!AC30)</f>
        <v>12</v>
      </c>
      <c r="T30" s="3">
        <f>IF(ISBLANK('Paste Full'!AD30),"",'Paste Full'!AD30)</f>
        <v>10</v>
      </c>
      <c r="U30" s="3" t="str">
        <f>IF(ISBLANK('Paste Full'!AE30),"",'Paste Full'!AE30)</f>
        <v>$8</v>
      </c>
      <c r="V30" s="3">
        <f>IF(ISBLANK('Paste Full'!AF30),"",'Paste Full'!AF30)</f>
        <v>10</v>
      </c>
      <c r="W30" s="3">
        <f>IF(ISBLANK('Paste Full'!AH30),"",'Paste Full'!AH30)</f>
        <v>15</v>
      </c>
      <c r="X30" s="3">
        <f>IF(ISBLANK('Paste Full'!AI30),"",'Paste Full'!AI30)</f>
        <v>11</v>
      </c>
      <c r="Y30" s="3">
        <f>IF(ISBLANK('Paste Full'!AK30),"",'Paste Full'!AK30)</f>
        <v>14</v>
      </c>
      <c r="Z30" s="3">
        <f>IF(ISBLANK('Paste Full'!AL30),"",'Paste Full'!AL30)</f>
        <v>9</v>
      </c>
      <c r="AA30" s="4">
        <f>IF(ISBLANK('Paste Full'!AM30),"",'Paste Full'!AM30)</f>
        <v>2</v>
      </c>
      <c r="AB30" s="4">
        <f>IF(ISBLANK('Paste Full'!AN30),"",'Paste Full'!AN30)</f>
        <v>1</v>
      </c>
      <c r="AC30" s="4">
        <f>IF(ISBLANK('Paste Full'!AO30),"",'Paste Full'!AO30)</f>
        <v>2</v>
      </c>
      <c r="AD30" s="4">
        <f>IF(ISBLANK('Paste Full'!AP30),"",'Paste Full'!AP30)</f>
        <v>1</v>
      </c>
      <c r="AE30" s="4">
        <f>IF(ISBLANK('Paste Full'!AQ30),"",'Paste Full'!AQ30)</f>
        <v>3</v>
      </c>
      <c r="AF30" s="4">
        <f>IF(ISBLANK('Paste Full'!AR30),"",'Paste Full'!AR30)</f>
        <v>2</v>
      </c>
      <c r="AG30" s="4">
        <f>IF(ISBLANK('Paste Full'!AS30),"",'Paste Full'!AS30)</f>
        <v>1</v>
      </c>
      <c r="AH30" s="4">
        <f>IF(ISBLANK('Paste Full'!AV30),"",'Paste Full'!AV30)</f>
        <v>3</v>
      </c>
      <c r="AI30" s="4">
        <f>IF(ISBLANK('Paste Full'!AT30),"",'Paste Full'!AT30)</f>
        <v>3</v>
      </c>
      <c r="AJ30" s="4">
        <f>IF(ISBLANK('Paste Full'!AU30),"",'Paste Full'!AU30)</f>
        <v>2</v>
      </c>
      <c r="AK30" s="4">
        <f>IF(ISBLANK('Paste Full'!AW30),"",'Paste Full'!AW30)</f>
        <v>3</v>
      </c>
      <c r="AL30" s="5">
        <f>IF(ISBLANK('Paste Full'!AX30),"",'Paste Full'!AX30)</f>
        <v>10</v>
      </c>
      <c r="AM30" s="5">
        <f>IF(ISBLANK('Paste Full'!AY30),"",'Paste Full'!AY30)</f>
        <v>7</v>
      </c>
      <c r="AN30" s="5">
        <f>IF(ISBLANK('Paste Full'!AZ30),"",'Paste Full'!AZ30)</f>
        <v>18</v>
      </c>
      <c r="AO30" s="5">
        <f>IF(ISBLANK('Paste Full'!BA30),"",'Paste Full'!BA30)</f>
        <v>5</v>
      </c>
      <c r="AP30" s="5">
        <f>IF(ISBLANK('Paste Full'!BB30),"",'Paste Full'!BB30)</f>
        <v>7</v>
      </c>
      <c r="AQ30" s="5">
        <f>IF(ISBLANK('Paste Full'!BC30),"",'Paste Full'!BC30)</f>
        <v>11</v>
      </c>
      <c r="AR30" s="5">
        <f>IF(ISBLANK('Paste Full'!BD30),"",'Paste Full'!BD30)</f>
        <v>11</v>
      </c>
      <c r="AS30" s="5">
        <f>IF(ISBLANK('Paste Full'!BE30),"",'Paste Full'!BE30)</f>
        <v>7</v>
      </c>
      <c r="AT30" s="5">
        <f>IF(ISBLANK('Paste Full'!BF30),"",'Paste Full'!BF30)</f>
        <v>7</v>
      </c>
      <c r="AU30" s="5">
        <f>IF(ISBLANK('Paste Full'!BG30),"",'Paste Full'!BG30)</f>
        <v>4</v>
      </c>
      <c r="AV30" s="5">
        <f>IF(ISBLANK('Paste Full'!BH30),"",'Paste Full'!BH30)</f>
        <v>8</v>
      </c>
      <c r="AW30" s="5">
        <f>IF(ISBLANK('Paste Full'!BI30),"",'Paste Full'!BI30)</f>
        <v>15</v>
      </c>
      <c r="AX30" s="5">
        <f>IF(ISBLANK('Paste Full'!BJ30),"",'Paste Full'!BJ30)</f>
        <v>8</v>
      </c>
      <c r="AY30" s="5">
        <f>IF(ISBLANK('Paste Full'!BK30),"",'Paste Full'!BK30)</f>
        <v>16</v>
      </c>
      <c r="AZ30" s="6">
        <f>IF(ISBLANK('Paste Full'!BM30),"",'Paste Full'!BM30)</f>
        <v>6</v>
      </c>
      <c r="BA30" s="6">
        <f>IF(ISBLANK('Paste Full'!BN30),"",'Paste Full'!BN30)</f>
        <v>6</v>
      </c>
      <c r="BB30" s="6">
        <f>IF(ISBLANK('Paste Full'!BO30),"",'Paste Full'!BO30)</f>
        <v>1</v>
      </c>
      <c r="BC30" s="6">
        <f>IF(ISBLANK('Paste Full'!BP30),"",'Paste Full'!BP30)</f>
        <v>5</v>
      </c>
      <c r="BD30" s="6">
        <f>IF(ISBLANK('Paste Full'!BR30),"",'Paste Full'!BR30)</f>
        <v>8</v>
      </c>
      <c r="BE30" s="6">
        <f>IF(ISBLANK('Paste Full'!BS30),"",'Paste Full'!BS30)</f>
        <v>3</v>
      </c>
      <c r="BF30" s="6">
        <f>IF(ISBLANK('Paste Full'!BU30),"",'Paste Full'!BU30)</f>
        <v>7</v>
      </c>
      <c r="BG30" s="6">
        <f>IF(ISBLANK('Paste Full'!BV30),"",'Paste Full'!BV30)</f>
        <v>6</v>
      </c>
      <c r="BH30" s="6">
        <f>IF(ISBLANK('Paste Full'!BX30),"",'Paste Full'!BX30)</f>
        <v>4</v>
      </c>
      <c r="BI30" s="6">
        <f>IF(ISBLANK('Paste Full'!BY30),"",'Paste Full'!BY30)</f>
        <v>9</v>
      </c>
      <c r="BJ30" s="13">
        <f>IF(ISBLANK('Paste Full'!BL30),"",'Paste Full'!BL30)</f>
        <v>4</v>
      </c>
      <c r="BK30" s="13">
        <f>IF(ISBLANK('Paste Full'!BQ30),"",'Paste Full'!BQ30)</f>
        <v>4</v>
      </c>
      <c r="BL30" s="13">
        <f>IF(ISBLANK('Paste Full'!BT30),"",'Paste Full'!BT30)</f>
        <v>3</v>
      </c>
      <c r="BM30" s="13">
        <f>IF(ISBLANK('Paste Full'!BW30),"",'Paste Full'!BW30)</f>
        <v>5</v>
      </c>
      <c r="BN30" s="41">
        <f>IF(ISBLANK('Paste Full'!BZ30),"",'Paste Full'!BZ30)</f>
        <v>1</v>
      </c>
      <c r="BO30" s="41">
        <f>IF(ISBLANK('Paste Full'!CA30),"",'Paste Full'!CA30)</f>
        <v>20</v>
      </c>
      <c r="BP30" s="41">
        <f>IF(ISBLANK('Paste Full'!CB30),"",'Paste Full'!CB30)</f>
        <v>1</v>
      </c>
      <c r="BQ30" s="41">
        <f>IF(ISBLANK('Paste Full'!CC30),"",'Paste Full'!CC30)</f>
        <v>5</v>
      </c>
      <c r="BR30" s="41">
        <f>IF(ISBLANK('Paste Full'!CD30),"",'Paste Full'!CD30)</f>
        <v>1</v>
      </c>
      <c r="BS30" s="41">
        <f>IF(ISBLANK('Paste Full'!CE30),"",'Paste Full'!CE30)</f>
        <v>16</v>
      </c>
      <c r="BT30" s="41">
        <f>IF(ISBLANK('Paste Full'!CF30),"",'Paste Full'!CF30)</f>
        <v>1</v>
      </c>
      <c r="BU30" s="41">
        <f>IF(ISBLANK('Paste Full'!CG30),"",'Paste Full'!CG30)</f>
        <v>1</v>
      </c>
      <c r="BV30" s="41">
        <f>IF(ISBLANK('Paste Full'!CH30),"",'Paste Full'!CH30)</f>
        <v>1</v>
      </c>
    </row>
    <row r="31" spans="1:74" x14ac:dyDescent="0.3">
      <c r="A31" t="str">
        <f>IF(ISBLANK('Paste Full'!C31),"",'Paste Full'!C31)</f>
        <v>Blade Earley</v>
      </c>
      <c r="B31" t="str">
        <f t="shared" si="0"/>
        <v>GK</v>
      </c>
      <c r="C31" s="2">
        <f>IF(ISBLANK('Paste Full'!H31),"",'Paste Full'!H31)</f>
        <v>21</v>
      </c>
      <c r="D31" s="2">
        <f>IF(ISBLANK('Paste Full'!F31),"",'Paste Full'!F31)</f>
        <v>38</v>
      </c>
      <c r="E31" s="2">
        <f>IF(ISBLANK('Paste Full'!G31),"",'Paste Full'!G31)</f>
        <v>96</v>
      </c>
      <c r="F31" s="21" t="str">
        <f>IF(ISBLANK('Paste Full'!E31),"",'Paste Full'!E31)</f>
        <v>England</v>
      </c>
      <c r="G31" t="str">
        <f>IF(ISBLANK('Paste Full'!CI31),"",'Paste Full'!CI31)</f>
        <v/>
      </c>
      <c r="H31" s="21" t="str">
        <f>IF(ISBLANK('Paste Full'!J31),"",'Paste Full'!J31)</f>
        <v>$44,037</v>
      </c>
      <c r="I31" s="21" t="str">
        <f>IF(ISBLANK('Paste Full'!D31),"",'Paste Full'!D31)</f>
        <v xml:space="preserve">GK </v>
      </c>
      <c r="J31" s="14">
        <f>AVERAGE(SUMPRODUCT($S31:$BM31,AttWeights!$C$10:$AW$10)/SUM(AttWeights!$C$10:$AW$10),SUMPRODUCT($S31:$BM31,AttWeights!$C$17:$AW$17)/SUM(AttWeights!$C$17:$AW$17))*10</f>
        <v>51.701188941412404</v>
      </c>
      <c r="K31" s="14">
        <f>AVERAGE(SUMPRODUCT($S31:$BM31,AttWeights!$C$7:$AW$7)/SUM(AttWeights!$C$7:$AW$7),SUMPRODUCT($S31:$BM31,AttWeights!$C$15:$AW$15)/SUM(AttWeights!$C$15:$AW$15))*10</f>
        <v>49.649857474507044</v>
      </c>
      <c r="L31" s="14">
        <f>AVERAGE(SUMPRODUCT($S31:$BM31,AttWeights!$C$8:$AW$8)/SUM(AttWeights!$C$8:$AW$8),SUMPRODUCT($S31:$BM31,AttWeights!$C$16:$AW$16)/SUM(AttWeights!$C$16:$AW$16))*10</f>
        <v>50.41984516348581</v>
      </c>
      <c r="M31" s="14">
        <f>AVERAGE(SUMPRODUCT($S31:$BM31,AttWeights!$C$9:$AW$9)/SUM(AttWeights!$C$9:$AW$9),SUMPRODUCT($S31:$BM31,AttWeights!$C$15:$AW$15)/SUM(AttWeights!$C$15:$AW$15))*10</f>
        <v>51.640334722626093</v>
      </c>
      <c r="N31" s="14">
        <f>AVERAGE(SUMPRODUCT($S31:$BM31,AttWeights!$C$6:$AW$6)/SUM(AttWeights!$C$6:$AW$6),SUMPRODUCT($S31:$BM31,AttWeights!$C$14:$AW$14)/SUM(AttWeights!$C$14:$AW$14))*10</f>
        <v>52.490575183110728</v>
      </c>
      <c r="O31" s="14">
        <f>AVERAGE(SUMPRODUCT($S31:$BM31,AttWeights!$C$5:$AW$5)/SUM(AttWeights!$C$5:$AW$5),SUMPRODUCT($S31:$BM31,AttWeights!$C$14:$AW$14)/SUM(AttWeights!$C$14:$AW$14))*10</f>
        <v>54.432710613993329</v>
      </c>
      <c r="P31" s="14">
        <f>AVERAGE(SUMPRODUCT($S31:$BM31,AttWeights!$C$4:$AW$4)/SUM(AttWeights!$C$4:$AW$4),SUMPRODUCT($S31:$BM31,AttWeights!$C$13:$AW$13)/SUM(AttWeights!$C$13:$AW$13))*10</f>
        <v>56.806318681318686</v>
      </c>
      <c r="Q31" s="14">
        <f>AVERAGE(SUMPRODUCT($S31:$BM31,AttWeights!$C$3:$AW$3)/SUM(AttWeights!$C$3:$AW$3),SUMPRODUCT($S31:$BM31,AttWeights!$C$12:$AW$12)/SUM(AttWeights!$C$12:$AW$12))*10</f>
        <v>55.263767209011263</v>
      </c>
      <c r="R31" s="14">
        <f>AVERAGE(SUMPRODUCT($S31:$BM31,AttWeights!$C$2:$AW$2)/SUM(AttWeights!$C$2:$AW$2),SUMPRODUCT($S31:$BM31,AttWeights!$C$11:$AW$11)/SUM(AttWeights!$C$11:$AW$11))*10</f>
        <v>76.177167427167433</v>
      </c>
      <c r="S31" s="3">
        <f>IF(ISBLANK('Paste Full'!AC31),"",'Paste Full'!AC31)</f>
        <v>8</v>
      </c>
      <c r="T31" s="3">
        <f>IF(ISBLANK('Paste Full'!AD31),"",'Paste Full'!AD31)</f>
        <v>10</v>
      </c>
      <c r="U31" s="3" t="str">
        <f>IF(ISBLANK('Paste Full'!AE31),"",'Paste Full'!AE31)</f>
        <v>$4</v>
      </c>
      <c r="V31" s="3">
        <f>IF(ISBLANK('Paste Full'!AF31),"",'Paste Full'!AF31)</f>
        <v>10</v>
      </c>
      <c r="W31" s="3">
        <f>IF(ISBLANK('Paste Full'!AH31),"",'Paste Full'!AH31)</f>
        <v>12</v>
      </c>
      <c r="X31" s="3">
        <f>IF(ISBLANK('Paste Full'!AI31),"",'Paste Full'!AI31)</f>
        <v>8</v>
      </c>
      <c r="Y31" s="3">
        <f>IF(ISBLANK('Paste Full'!AK31),"",'Paste Full'!AK31)</f>
        <v>1</v>
      </c>
      <c r="Z31" s="3">
        <f>IF(ISBLANK('Paste Full'!AL31),"",'Paste Full'!AL31)</f>
        <v>2</v>
      </c>
      <c r="AA31" s="4">
        <f>IF(ISBLANK('Paste Full'!AM31),"",'Paste Full'!AM31)</f>
        <v>11</v>
      </c>
      <c r="AB31" s="4">
        <f>IF(ISBLANK('Paste Full'!AN31),"",'Paste Full'!AN31)</f>
        <v>6</v>
      </c>
      <c r="AC31" s="4">
        <f>IF(ISBLANK('Paste Full'!AO31),"",'Paste Full'!AO31)</f>
        <v>6</v>
      </c>
      <c r="AD31" s="4">
        <f>IF(ISBLANK('Paste Full'!AP31),"",'Paste Full'!AP31)</f>
        <v>11</v>
      </c>
      <c r="AE31" s="4">
        <f>IF(ISBLANK('Paste Full'!AQ31),"",'Paste Full'!AQ31)</f>
        <v>12</v>
      </c>
      <c r="AF31" s="4">
        <f>IF(ISBLANK('Paste Full'!AR31),"",'Paste Full'!AR31)</f>
        <v>5</v>
      </c>
      <c r="AG31" s="4">
        <f>IF(ISBLANK('Paste Full'!AS31),"",'Paste Full'!AS31)</f>
        <v>8</v>
      </c>
      <c r="AH31" s="4">
        <f>IF(ISBLANK('Paste Full'!AV31),"",'Paste Full'!AV31)</f>
        <v>11</v>
      </c>
      <c r="AI31" s="4">
        <f>IF(ISBLANK('Paste Full'!AT31),"",'Paste Full'!AT31)</f>
        <v>11</v>
      </c>
      <c r="AJ31" s="4">
        <f>IF(ISBLANK('Paste Full'!AU31),"",'Paste Full'!AU31)</f>
        <v>6</v>
      </c>
      <c r="AK31" s="4">
        <f>IF(ISBLANK('Paste Full'!AW31),"",'Paste Full'!AW31)</f>
        <v>4</v>
      </c>
      <c r="AL31" s="5">
        <f>IF(ISBLANK('Paste Full'!AX31),"",'Paste Full'!AX31)</f>
        <v>10</v>
      </c>
      <c r="AM31" s="5">
        <f>IF(ISBLANK('Paste Full'!AY31),"",'Paste Full'!AY31)</f>
        <v>2</v>
      </c>
      <c r="AN31" s="5">
        <f>IF(ISBLANK('Paste Full'!AZ31),"",'Paste Full'!AZ31)</f>
        <v>10</v>
      </c>
      <c r="AO31" s="5">
        <f>IF(ISBLANK('Paste Full'!BA31),"",'Paste Full'!BA31)</f>
        <v>4</v>
      </c>
      <c r="AP31" s="5">
        <f>IF(ISBLANK('Paste Full'!BB31),"",'Paste Full'!BB31)</f>
        <v>7</v>
      </c>
      <c r="AQ31" s="5">
        <f>IF(ISBLANK('Paste Full'!BC31),"",'Paste Full'!BC31)</f>
        <v>11</v>
      </c>
      <c r="AR31" s="5">
        <f>IF(ISBLANK('Paste Full'!BD31),"",'Paste Full'!BD31)</f>
        <v>18</v>
      </c>
      <c r="AS31" s="5">
        <f>IF(ISBLANK('Paste Full'!BE31),"",'Paste Full'!BE31)</f>
        <v>3</v>
      </c>
      <c r="AT31" s="5">
        <f>IF(ISBLANK('Paste Full'!BF31),"",'Paste Full'!BF31)</f>
        <v>2</v>
      </c>
      <c r="AU31" s="5">
        <f>IF(ISBLANK('Paste Full'!BG31),"",'Paste Full'!BG31)</f>
        <v>1</v>
      </c>
      <c r="AV31" s="5">
        <f>IF(ISBLANK('Paste Full'!BH31),"",'Paste Full'!BH31)</f>
        <v>4</v>
      </c>
      <c r="AW31" s="5">
        <f>IF(ISBLANK('Paste Full'!BI31),"",'Paste Full'!BI31)</f>
        <v>4</v>
      </c>
      <c r="AX31" s="5">
        <f>IF(ISBLANK('Paste Full'!BJ31),"",'Paste Full'!BJ31)</f>
        <v>2</v>
      </c>
      <c r="AY31" s="5">
        <f>IF(ISBLANK('Paste Full'!BK31),"",'Paste Full'!BK31)</f>
        <v>3</v>
      </c>
      <c r="AZ31" s="6">
        <f>IF(ISBLANK('Paste Full'!BM31),"",'Paste Full'!BM31)</f>
        <v>2</v>
      </c>
      <c r="BA31" s="6">
        <f>IF(ISBLANK('Paste Full'!BN31),"",'Paste Full'!BN31)</f>
        <v>1</v>
      </c>
      <c r="BB31" s="6">
        <f>IF(ISBLANK('Paste Full'!BO31),"",'Paste Full'!BO31)</f>
        <v>2</v>
      </c>
      <c r="BC31" s="6">
        <f>IF(ISBLANK('Paste Full'!BP31),"",'Paste Full'!BP31)</f>
        <v>1</v>
      </c>
      <c r="BD31" s="6">
        <f>IF(ISBLANK('Paste Full'!BR31),"",'Paste Full'!BR31)</f>
        <v>1</v>
      </c>
      <c r="BE31" s="6">
        <f>IF(ISBLANK('Paste Full'!BS31),"",'Paste Full'!BS31)</f>
        <v>1</v>
      </c>
      <c r="BF31" s="6">
        <f>IF(ISBLANK('Paste Full'!BU31),"",'Paste Full'!BU31)</f>
        <v>3</v>
      </c>
      <c r="BG31" s="6">
        <f>IF(ISBLANK('Paste Full'!BV31),"",'Paste Full'!BV31)</f>
        <v>8</v>
      </c>
      <c r="BH31" s="6">
        <f>IF(ISBLANK('Paste Full'!BX31),"",'Paste Full'!BX31)</f>
        <v>3</v>
      </c>
      <c r="BI31" s="6">
        <f>IF(ISBLANK('Paste Full'!BY31),"",'Paste Full'!BY31)</f>
        <v>1</v>
      </c>
      <c r="BJ31" s="13">
        <f>IF(ISBLANK('Paste Full'!BL31),"",'Paste Full'!BL31)</f>
        <v>3</v>
      </c>
      <c r="BK31" s="13">
        <f>IF(ISBLANK('Paste Full'!BQ31),"",'Paste Full'!BQ31)</f>
        <v>3</v>
      </c>
      <c r="BL31" s="13">
        <f>IF(ISBLANK('Paste Full'!BT31),"",'Paste Full'!BT31)</f>
        <v>3</v>
      </c>
      <c r="BM31" s="13">
        <f>IF(ISBLANK('Paste Full'!BW31),"",'Paste Full'!BW31)</f>
        <v>1</v>
      </c>
      <c r="BN31" s="41">
        <f>IF(ISBLANK('Paste Full'!BZ31),"",'Paste Full'!BZ31)</f>
        <v>20</v>
      </c>
      <c r="BO31" s="41">
        <f>IF(ISBLANK('Paste Full'!CA31),"",'Paste Full'!CA31)</f>
        <v>1</v>
      </c>
      <c r="BP31" s="41">
        <f>IF(ISBLANK('Paste Full'!CB31),"",'Paste Full'!CB31)</f>
        <v>1</v>
      </c>
      <c r="BQ31" s="41">
        <f>IF(ISBLANK('Paste Full'!CC31),"",'Paste Full'!CC31)</f>
        <v>1</v>
      </c>
      <c r="BR31" s="41">
        <f>IF(ISBLANK('Paste Full'!CD31),"",'Paste Full'!CD31)</f>
        <v>1</v>
      </c>
      <c r="BS31" s="41">
        <f>IF(ISBLANK('Paste Full'!CE31),"",'Paste Full'!CE31)</f>
        <v>1</v>
      </c>
      <c r="BT31" s="41">
        <f>IF(ISBLANK('Paste Full'!CF31),"",'Paste Full'!CF31)</f>
        <v>1</v>
      </c>
      <c r="BU31" s="41">
        <f>IF(ISBLANK('Paste Full'!CG31),"",'Paste Full'!CG31)</f>
        <v>1</v>
      </c>
      <c r="BV31" s="41">
        <f>IF(ISBLANK('Paste Full'!CH31),"",'Paste Full'!CH31)</f>
        <v>1</v>
      </c>
    </row>
    <row r="32" spans="1:74" x14ac:dyDescent="0.3">
      <c r="A32" t="str">
        <f>IF(ISBLANK('Paste Full'!C32),"",'Paste Full'!C32)</f>
        <v>Charlie McLoughlin</v>
      </c>
      <c r="B32" t="str">
        <f t="shared" si="0"/>
        <v>AM(C)</v>
      </c>
      <c r="C32" s="2">
        <f>IF(ISBLANK('Paste Full'!H32),"",'Paste Full'!H32)</f>
        <v>20</v>
      </c>
      <c r="D32" s="2">
        <f>IF(ISBLANK('Paste Full'!F32),"",'Paste Full'!F32)</f>
        <v>53</v>
      </c>
      <c r="E32" s="2">
        <f>IF(ISBLANK('Paste Full'!G32),"",'Paste Full'!G32)</f>
        <v>97</v>
      </c>
      <c r="F32" s="21" t="str">
        <f>IF(ISBLANK('Paste Full'!E32),"",'Paste Full'!E32)</f>
        <v>England</v>
      </c>
      <c r="G32" t="str">
        <f>IF(ISBLANK('Paste Full'!CI32),"",'Paste Full'!CI32)</f>
        <v/>
      </c>
      <c r="H32" s="21" t="str">
        <f>IF(ISBLANK('Paste Full'!J32),"",'Paste Full'!J32)</f>
        <v>$42,382</v>
      </c>
      <c r="I32" s="21" t="str">
        <f>IF(ISBLANK('Paste Full'!D32),"",'Paste Full'!D32)</f>
        <v>M/AM RL</v>
      </c>
      <c r="J32" s="14">
        <f>AVERAGE(SUMPRODUCT($S32:$BM32,AttWeights!$C$10:$AW$10)/SUM(AttWeights!$C$10:$AW$10),SUMPRODUCT($S32:$BM32,AttWeights!$C$17:$AW$17)/SUM(AttWeights!$C$17:$AW$17))*10</f>
        <v>71.505944707062028</v>
      </c>
      <c r="K32" s="14">
        <f>AVERAGE(SUMPRODUCT($S32:$BM32,AttWeights!$C$7:$AW$7)/SUM(AttWeights!$C$7:$AW$7),SUMPRODUCT($S32:$BM32,AttWeights!$C$15:$AW$15)/SUM(AttWeights!$C$15:$AW$15))*10</f>
        <v>75.655617267624677</v>
      </c>
      <c r="L32" s="14">
        <f>AVERAGE(SUMPRODUCT($S32:$BM32,AttWeights!$C$8:$AW$8)/SUM(AttWeights!$C$8:$AW$8),SUMPRODUCT($S32:$BM32,AttWeights!$C$16:$AW$16)/SUM(AttWeights!$C$16:$AW$16))*10</f>
        <v>77.305107336301518</v>
      </c>
      <c r="M32" s="14">
        <f>AVERAGE(SUMPRODUCT($S32:$BM32,AttWeights!$C$9:$AW$9)/SUM(AttWeights!$C$9:$AW$9),SUMPRODUCT($S32:$BM32,AttWeights!$C$15:$AW$15)/SUM(AttWeights!$C$15:$AW$15))*10</f>
        <v>74.018286969726347</v>
      </c>
      <c r="N32" s="14">
        <f>AVERAGE(SUMPRODUCT($S32:$BM32,AttWeights!$C$6:$AW$6)/SUM(AttWeights!$C$6:$AW$6),SUMPRODUCT($S32:$BM32,AttWeights!$C$14:$AW$14)/SUM(AttWeights!$C$14:$AW$14))*10</f>
        <v>71.736185911245158</v>
      </c>
      <c r="O32" s="14">
        <f>AVERAGE(SUMPRODUCT($S32:$BM32,AttWeights!$C$5:$AW$5)/SUM(AttWeights!$C$5:$AW$5),SUMPRODUCT($S32:$BM32,AttWeights!$C$14:$AW$14)/SUM(AttWeights!$C$14:$AW$14))*10</f>
        <v>68.690355782960495</v>
      </c>
      <c r="P32" s="14">
        <f>AVERAGE(SUMPRODUCT($S32:$BM32,AttWeights!$C$4:$AW$4)/SUM(AttWeights!$C$4:$AW$4),SUMPRODUCT($S32:$BM32,AttWeights!$C$13:$AW$13)/SUM(AttWeights!$C$13:$AW$13))*10</f>
        <v>65.559752747252745</v>
      </c>
      <c r="Q32" s="14">
        <f>AVERAGE(SUMPRODUCT($S32:$BM32,AttWeights!$C$3:$AW$3)/SUM(AttWeights!$C$3:$AW$3),SUMPRODUCT($S32:$BM32,AttWeights!$C$12:$AW$12)/SUM(AttWeights!$C$12:$AW$12))*10</f>
        <v>66.888610763454309</v>
      </c>
      <c r="R32" s="14">
        <f>AVERAGE(SUMPRODUCT($S32:$BM32,AttWeights!$C$2:$AW$2)/SUM(AttWeights!$C$2:$AW$2),SUMPRODUCT($S32:$BM32,AttWeights!$C$11:$AW$11)/SUM(AttWeights!$C$11:$AW$11))*10</f>
        <v>49.867497367497364</v>
      </c>
      <c r="S32" s="3">
        <f>IF(ISBLANK('Paste Full'!AC32),"",'Paste Full'!AC32)</f>
        <v>9</v>
      </c>
      <c r="T32" s="3">
        <f>IF(ISBLANK('Paste Full'!AD32),"",'Paste Full'!AD32)</f>
        <v>8</v>
      </c>
      <c r="U32" s="3" t="str">
        <f>IF(ISBLANK('Paste Full'!AE32),"",'Paste Full'!AE32)</f>
        <v>$9</v>
      </c>
      <c r="V32" s="3">
        <f>IF(ISBLANK('Paste Full'!AF32),"",'Paste Full'!AF32)</f>
        <v>6</v>
      </c>
      <c r="W32" s="3">
        <f>IF(ISBLANK('Paste Full'!AH32),"",'Paste Full'!AH32)</f>
        <v>10</v>
      </c>
      <c r="X32" s="3">
        <f>IF(ISBLANK('Paste Full'!AI32),"",'Paste Full'!AI32)</f>
        <v>8</v>
      </c>
      <c r="Y32" s="3">
        <f>IF(ISBLANK('Paste Full'!AK32),"",'Paste Full'!AK32)</f>
        <v>11</v>
      </c>
      <c r="Z32" s="3">
        <f>IF(ISBLANK('Paste Full'!AL32),"",'Paste Full'!AL32)</f>
        <v>6</v>
      </c>
      <c r="AA32" s="4">
        <f>IF(ISBLANK('Paste Full'!AM32),"",'Paste Full'!AM32)</f>
        <v>2</v>
      </c>
      <c r="AB32" s="4">
        <f>IF(ISBLANK('Paste Full'!AN32),"",'Paste Full'!AN32)</f>
        <v>4</v>
      </c>
      <c r="AC32" s="4">
        <f>IF(ISBLANK('Paste Full'!AO32),"",'Paste Full'!AO32)</f>
        <v>4</v>
      </c>
      <c r="AD32" s="4">
        <f>IF(ISBLANK('Paste Full'!AP32),"",'Paste Full'!AP32)</f>
        <v>3</v>
      </c>
      <c r="AE32" s="4">
        <f>IF(ISBLANK('Paste Full'!AQ32),"",'Paste Full'!AQ32)</f>
        <v>2</v>
      </c>
      <c r="AF32" s="4">
        <f>IF(ISBLANK('Paste Full'!AR32),"",'Paste Full'!AR32)</f>
        <v>3</v>
      </c>
      <c r="AG32" s="4">
        <f>IF(ISBLANK('Paste Full'!AS32),"",'Paste Full'!AS32)</f>
        <v>2</v>
      </c>
      <c r="AH32" s="4">
        <f>IF(ISBLANK('Paste Full'!AV32),"",'Paste Full'!AV32)</f>
        <v>4</v>
      </c>
      <c r="AI32" s="4">
        <f>IF(ISBLANK('Paste Full'!AT32),"",'Paste Full'!AT32)</f>
        <v>3</v>
      </c>
      <c r="AJ32" s="4">
        <f>IF(ISBLANK('Paste Full'!AU32),"",'Paste Full'!AU32)</f>
        <v>1</v>
      </c>
      <c r="AK32" s="4">
        <f>IF(ISBLANK('Paste Full'!AW32),"",'Paste Full'!AW32)</f>
        <v>3</v>
      </c>
      <c r="AL32" s="5">
        <f>IF(ISBLANK('Paste Full'!AX32),"",'Paste Full'!AX32)</f>
        <v>7</v>
      </c>
      <c r="AM32" s="5">
        <f>IF(ISBLANK('Paste Full'!AY32),"",'Paste Full'!AY32)</f>
        <v>5</v>
      </c>
      <c r="AN32" s="5">
        <f>IF(ISBLANK('Paste Full'!AZ32),"",'Paste Full'!AZ32)</f>
        <v>6</v>
      </c>
      <c r="AO32" s="5">
        <f>IF(ISBLANK('Paste Full'!BA32),"",'Paste Full'!BA32)</f>
        <v>14</v>
      </c>
      <c r="AP32" s="5">
        <f>IF(ISBLANK('Paste Full'!BB32),"",'Paste Full'!BB32)</f>
        <v>6</v>
      </c>
      <c r="AQ32" s="5">
        <f>IF(ISBLANK('Paste Full'!BC32),"",'Paste Full'!BC32)</f>
        <v>8</v>
      </c>
      <c r="AR32" s="5">
        <f>IF(ISBLANK('Paste Full'!BD32),"",'Paste Full'!BD32)</f>
        <v>13</v>
      </c>
      <c r="AS32" s="5">
        <f>IF(ISBLANK('Paste Full'!BE32),"",'Paste Full'!BE32)</f>
        <v>12</v>
      </c>
      <c r="AT32" s="5">
        <f>IF(ISBLANK('Paste Full'!BF32),"",'Paste Full'!BF32)</f>
        <v>10</v>
      </c>
      <c r="AU32" s="5">
        <f>IF(ISBLANK('Paste Full'!BG32),"",'Paste Full'!BG32)</f>
        <v>11</v>
      </c>
      <c r="AV32" s="5">
        <f>IF(ISBLANK('Paste Full'!BH32),"",'Paste Full'!BH32)</f>
        <v>4</v>
      </c>
      <c r="AW32" s="5">
        <f>IF(ISBLANK('Paste Full'!BI32),"",'Paste Full'!BI32)</f>
        <v>6</v>
      </c>
      <c r="AX32" s="5">
        <f>IF(ISBLANK('Paste Full'!BJ32),"",'Paste Full'!BJ32)</f>
        <v>9</v>
      </c>
      <c r="AY32" s="5">
        <f>IF(ISBLANK('Paste Full'!BK32),"",'Paste Full'!BK32)</f>
        <v>11</v>
      </c>
      <c r="AZ32" s="6">
        <f>IF(ISBLANK('Paste Full'!BM32),"",'Paste Full'!BM32)</f>
        <v>9</v>
      </c>
      <c r="BA32" s="6">
        <f>IF(ISBLANK('Paste Full'!BN32),"",'Paste Full'!BN32)</f>
        <v>7</v>
      </c>
      <c r="BB32" s="6">
        <f>IF(ISBLANK('Paste Full'!BO32),"",'Paste Full'!BO32)</f>
        <v>5</v>
      </c>
      <c r="BC32" s="6">
        <f>IF(ISBLANK('Paste Full'!BP32),"",'Paste Full'!BP32)</f>
        <v>14</v>
      </c>
      <c r="BD32" s="6">
        <f>IF(ISBLANK('Paste Full'!BR32),"",'Paste Full'!BR32)</f>
        <v>2</v>
      </c>
      <c r="BE32" s="6">
        <f>IF(ISBLANK('Paste Full'!BS32),"",'Paste Full'!BS32)</f>
        <v>6</v>
      </c>
      <c r="BF32" s="6">
        <f>IF(ISBLANK('Paste Full'!BU32),"",'Paste Full'!BU32)</f>
        <v>4</v>
      </c>
      <c r="BG32" s="6">
        <f>IF(ISBLANK('Paste Full'!BV32),"",'Paste Full'!BV32)</f>
        <v>7</v>
      </c>
      <c r="BH32" s="6">
        <f>IF(ISBLANK('Paste Full'!BX32),"",'Paste Full'!BX32)</f>
        <v>6</v>
      </c>
      <c r="BI32" s="6">
        <f>IF(ISBLANK('Paste Full'!BY32),"",'Paste Full'!BY32)</f>
        <v>10</v>
      </c>
      <c r="BJ32" s="13">
        <f>IF(ISBLANK('Paste Full'!BL32),"",'Paste Full'!BL32)</f>
        <v>5</v>
      </c>
      <c r="BK32" s="13">
        <f>IF(ISBLANK('Paste Full'!BQ32),"",'Paste Full'!BQ32)</f>
        <v>3</v>
      </c>
      <c r="BL32" s="13">
        <f>IF(ISBLANK('Paste Full'!BT32),"",'Paste Full'!BT32)</f>
        <v>3</v>
      </c>
      <c r="BM32" s="13">
        <f>IF(ISBLANK('Paste Full'!BW32),"",'Paste Full'!BW32)</f>
        <v>2</v>
      </c>
      <c r="BN32" s="41">
        <f>IF(ISBLANK('Paste Full'!BZ32),"",'Paste Full'!BZ32)</f>
        <v>1</v>
      </c>
      <c r="BO32" s="41">
        <f>IF(ISBLANK('Paste Full'!CA32),"",'Paste Full'!CA32)</f>
        <v>1</v>
      </c>
      <c r="BP32" s="41">
        <f>IF(ISBLANK('Paste Full'!CB32),"",'Paste Full'!CB32)</f>
        <v>1</v>
      </c>
      <c r="BQ32" s="41">
        <f>IF(ISBLANK('Paste Full'!CC32),"",'Paste Full'!CC32)</f>
        <v>1</v>
      </c>
      <c r="BR32" s="41">
        <f>IF(ISBLANK('Paste Full'!CD32),"",'Paste Full'!CD32)</f>
        <v>1</v>
      </c>
      <c r="BS32" s="41">
        <f>IF(ISBLANK('Paste Full'!CE32),"",'Paste Full'!CE32)</f>
        <v>20</v>
      </c>
      <c r="BT32" s="41">
        <f>IF(ISBLANK('Paste Full'!CF32),"",'Paste Full'!CF32)</f>
        <v>1</v>
      </c>
      <c r="BU32" s="41">
        <f>IF(ISBLANK('Paste Full'!CG32),"",'Paste Full'!CG32)</f>
        <v>20</v>
      </c>
      <c r="BV32" s="41">
        <f>IF(ISBLANK('Paste Full'!CH32),"",'Paste Full'!CH32)</f>
        <v>1</v>
      </c>
    </row>
    <row r="33" spans="1:74" x14ac:dyDescent="0.3">
      <c r="A33" t="str">
        <f>IF(ISBLANK('Paste Full'!C33),"",'Paste Full'!C33)</f>
        <v>Chinedu Agu</v>
      </c>
      <c r="B33" t="str">
        <f t="shared" si="0"/>
        <v>AM(C)</v>
      </c>
      <c r="C33" s="2">
        <f>IF(ISBLANK('Paste Full'!H33),"",'Paste Full'!H33)</f>
        <v>21</v>
      </c>
      <c r="D33" s="2">
        <f>IF(ISBLANK('Paste Full'!F33),"",'Paste Full'!F33)</f>
        <v>64</v>
      </c>
      <c r="E33" s="2">
        <f>IF(ISBLANK('Paste Full'!G33),"",'Paste Full'!G33)</f>
        <v>107</v>
      </c>
      <c r="F33" s="21" t="str">
        <f>IF(ISBLANK('Paste Full'!E33),"",'Paste Full'!E33)</f>
        <v>England</v>
      </c>
      <c r="G33" t="str">
        <f>IF(ISBLANK('Paste Full'!CI33),"",'Paste Full'!CI33)</f>
        <v/>
      </c>
      <c r="H33" s="21" t="str">
        <f>IF(ISBLANK('Paste Full'!J33),"",'Paste Full'!J33)</f>
        <v>$373,165</v>
      </c>
      <c r="I33" s="21" t="str">
        <f>IF(ISBLANK('Paste Full'!D33),"",'Paste Full'!D33)</f>
        <v>M/AM/ST C</v>
      </c>
      <c r="J33" s="14">
        <f>AVERAGE(SUMPRODUCT($S33:$BM33,AttWeights!$C$10:$AW$10)/SUM(AttWeights!$C$10:$AW$10),SUMPRODUCT($S33:$BM33,AttWeights!$C$17:$AW$17)/SUM(AttWeights!$C$17:$AW$17))*10</f>
        <v>77.911903738719388</v>
      </c>
      <c r="K33" s="14">
        <f>AVERAGE(SUMPRODUCT($S33:$BM33,AttWeights!$C$7:$AW$7)/SUM(AttWeights!$C$7:$AW$7),SUMPRODUCT($S33:$BM33,AttWeights!$C$15:$AW$15)/SUM(AttWeights!$C$15:$AW$15))*10</f>
        <v>81.075406271121693</v>
      </c>
      <c r="L33" s="14">
        <f>AVERAGE(SUMPRODUCT($S33:$BM33,AttWeights!$C$8:$AW$8)/SUM(AttWeights!$C$8:$AW$8),SUMPRODUCT($S33:$BM33,AttWeights!$C$16:$AW$16)/SUM(AttWeights!$C$16:$AW$16))*10</f>
        <v>81.327737288375914</v>
      </c>
      <c r="M33" s="14">
        <f>AVERAGE(SUMPRODUCT($S33:$BM33,AttWeights!$C$9:$AW$9)/SUM(AttWeights!$C$9:$AW$9),SUMPRODUCT($S33:$BM33,AttWeights!$C$15:$AW$15)/SUM(AttWeights!$C$15:$AW$15))*10</f>
        <v>79.354786598171302</v>
      </c>
      <c r="N33" s="14">
        <f>AVERAGE(SUMPRODUCT($S33:$BM33,AttWeights!$C$6:$AW$6)/SUM(AttWeights!$C$6:$AW$6),SUMPRODUCT($S33:$BM33,AttWeights!$C$14:$AW$14)/SUM(AttWeights!$C$14:$AW$14))*10</f>
        <v>75.87583476949591</v>
      </c>
      <c r="O33" s="14">
        <f>AVERAGE(SUMPRODUCT($S33:$BM33,AttWeights!$C$5:$AW$5)/SUM(AttWeights!$C$5:$AW$5),SUMPRODUCT($S33:$BM33,AttWeights!$C$14:$AW$14)/SUM(AttWeights!$C$14:$AW$14))*10</f>
        <v>73.140915040456932</v>
      </c>
      <c r="P33" s="14">
        <f>AVERAGE(SUMPRODUCT($S33:$BM33,AttWeights!$C$4:$AW$4)/SUM(AttWeights!$C$4:$AW$4),SUMPRODUCT($S33:$BM33,AttWeights!$C$13:$AW$13)/SUM(AttWeights!$C$13:$AW$13))*10</f>
        <v>73.327609890109898</v>
      </c>
      <c r="Q33" s="14">
        <f>AVERAGE(SUMPRODUCT($S33:$BM33,AttWeights!$C$3:$AW$3)/SUM(AttWeights!$C$3:$AW$3),SUMPRODUCT($S33:$BM33,AttWeights!$C$12:$AW$12)/SUM(AttWeights!$C$12:$AW$12))*10</f>
        <v>73.538485607008766</v>
      </c>
      <c r="R33" s="14">
        <f>AVERAGE(SUMPRODUCT($S33:$BM33,AttWeights!$C$2:$AW$2)/SUM(AttWeights!$C$2:$AW$2),SUMPRODUCT($S33:$BM33,AttWeights!$C$11:$AW$11)/SUM(AttWeights!$C$11:$AW$11))*10</f>
        <v>48.951825201825201</v>
      </c>
      <c r="S33" s="3">
        <f>IF(ISBLANK('Paste Full'!AC33),"",'Paste Full'!AC33)</f>
        <v>12</v>
      </c>
      <c r="T33" s="3">
        <f>IF(ISBLANK('Paste Full'!AD33),"",'Paste Full'!AD33)</f>
        <v>10</v>
      </c>
      <c r="U33" s="3" t="str">
        <f>IF(ISBLANK('Paste Full'!AE33),"",'Paste Full'!AE33)</f>
        <v>$7</v>
      </c>
      <c r="V33" s="3">
        <f>IF(ISBLANK('Paste Full'!AF33),"",'Paste Full'!AF33)</f>
        <v>8</v>
      </c>
      <c r="W33" s="3">
        <f>IF(ISBLANK('Paste Full'!AH33),"",'Paste Full'!AH33)</f>
        <v>9</v>
      </c>
      <c r="X33" s="3">
        <f>IF(ISBLANK('Paste Full'!AI33),"",'Paste Full'!AI33)</f>
        <v>9</v>
      </c>
      <c r="Y33" s="3">
        <f>IF(ISBLANK('Paste Full'!AK33),"",'Paste Full'!AK33)</f>
        <v>7</v>
      </c>
      <c r="Z33" s="3">
        <f>IF(ISBLANK('Paste Full'!AL33),"",'Paste Full'!AL33)</f>
        <v>3</v>
      </c>
      <c r="AA33" s="4">
        <f>IF(ISBLANK('Paste Full'!AM33),"",'Paste Full'!AM33)</f>
        <v>1</v>
      </c>
      <c r="AB33" s="4">
        <f>IF(ISBLANK('Paste Full'!AN33),"",'Paste Full'!AN33)</f>
        <v>3</v>
      </c>
      <c r="AC33" s="4">
        <f>IF(ISBLANK('Paste Full'!AO33),"",'Paste Full'!AO33)</f>
        <v>2</v>
      </c>
      <c r="AD33" s="4">
        <f>IF(ISBLANK('Paste Full'!AP33),"",'Paste Full'!AP33)</f>
        <v>2</v>
      </c>
      <c r="AE33" s="4">
        <f>IF(ISBLANK('Paste Full'!AQ33),"",'Paste Full'!AQ33)</f>
        <v>2</v>
      </c>
      <c r="AF33" s="4">
        <f>IF(ISBLANK('Paste Full'!AR33),"",'Paste Full'!AR33)</f>
        <v>1</v>
      </c>
      <c r="AG33" s="4">
        <f>IF(ISBLANK('Paste Full'!AS33),"",'Paste Full'!AS33)</f>
        <v>2</v>
      </c>
      <c r="AH33" s="4">
        <f>IF(ISBLANK('Paste Full'!AV33),"",'Paste Full'!AV33)</f>
        <v>4</v>
      </c>
      <c r="AI33" s="4">
        <f>IF(ISBLANK('Paste Full'!AT33),"",'Paste Full'!AT33)</f>
        <v>1</v>
      </c>
      <c r="AJ33" s="4">
        <f>IF(ISBLANK('Paste Full'!AU33),"",'Paste Full'!AU33)</f>
        <v>1</v>
      </c>
      <c r="AK33" s="4">
        <f>IF(ISBLANK('Paste Full'!AW33),"",'Paste Full'!AW33)</f>
        <v>2</v>
      </c>
      <c r="AL33" s="5">
        <f>IF(ISBLANK('Paste Full'!AX33),"",'Paste Full'!AX33)</f>
        <v>13</v>
      </c>
      <c r="AM33" s="5">
        <f>IF(ISBLANK('Paste Full'!AY33),"",'Paste Full'!AY33)</f>
        <v>12</v>
      </c>
      <c r="AN33" s="5">
        <f>IF(ISBLANK('Paste Full'!AZ33),"",'Paste Full'!AZ33)</f>
        <v>7</v>
      </c>
      <c r="AO33" s="5">
        <f>IF(ISBLANK('Paste Full'!BA33),"",'Paste Full'!BA33)</f>
        <v>10</v>
      </c>
      <c r="AP33" s="5">
        <f>IF(ISBLANK('Paste Full'!BB33),"",'Paste Full'!BB33)</f>
        <v>3</v>
      </c>
      <c r="AQ33" s="5">
        <f>IF(ISBLANK('Paste Full'!BC33),"",'Paste Full'!BC33)</f>
        <v>13</v>
      </c>
      <c r="AR33" s="5">
        <f>IF(ISBLANK('Paste Full'!BD33),"",'Paste Full'!BD33)</f>
        <v>13</v>
      </c>
      <c r="AS33" s="5">
        <f>IF(ISBLANK('Paste Full'!BE33),"",'Paste Full'!BE33)</f>
        <v>10</v>
      </c>
      <c r="AT33" s="5">
        <f>IF(ISBLANK('Paste Full'!BF33),"",'Paste Full'!BF33)</f>
        <v>5</v>
      </c>
      <c r="AU33" s="5">
        <f>IF(ISBLANK('Paste Full'!BG33),"",'Paste Full'!BG33)</f>
        <v>11</v>
      </c>
      <c r="AV33" s="5">
        <f>IF(ISBLANK('Paste Full'!BH33),"",'Paste Full'!BH33)</f>
        <v>5</v>
      </c>
      <c r="AW33" s="5">
        <f>IF(ISBLANK('Paste Full'!BI33),"",'Paste Full'!BI33)</f>
        <v>10</v>
      </c>
      <c r="AX33" s="5">
        <f>IF(ISBLANK('Paste Full'!BJ33),"",'Paste Full'!BJ33)</f>
        <v>13</v>
      </c>
      <c r="AY33" s="5">
        <f>IF(ISBLANK('Paste Full'!BK33),"",'Paste Full'!BK33)</f>
        <v>8</v>
      </c>
      <c r="AZ33" s="6">
        <f>IF(ISBLANK('Paste Full'!BM33),"",'Paste Full'!BM33)</f>
        <v>6</v>
      </c>
      <c r="BA33" s="6">
        <f>IF(ISBLANK('Paste Full'!BN33),"",'Paste Full'!BN33)</f>
        <v>8</v>
      </c>
      <c r="BB33" s="6">
        <f>IF(ISBLANK('Paste Full'!BO33),"",'Paste Full'!BO33)</f>
        <v>12</v>
      </c>
      <c r="BC33" s="6">
        <f>IF(ISBLANK('Paste Full'!BP33),"",'Paste Full'!BP33)</f>
        <v>10</v>
      </c>
      <c r="BD33" s="6">
        <f>IF(ISBLANK('Paste Full'!BR33),"",'Paste Full'!BR33)</f>
        <v>7</v>
      </c>
      <c r="BE33" s="6">
        <f>IF(ISBLANK('Paste Full'!BS33),"",'Paste Full'!BS33)</f>
        <v>6</v>
      </c>
      <c r="BF33" s="6">
        <f>IF(ISBLANK('Paste Full'!BU33),"",'Paste Full'!BU33)</f>
        <v>6</v>
      </c>
      <c r="BG33" s="6">
        <f>IF(ISBLANK('Paste Full'!BV33),"",'Paste Full'!BV33)</f>
        <v>8</v>
      </c>
      <c r="BH33" s="6">
        <f>IF(ISBLANK('Paste Full'!BX33),"",'Paste Full'!BX33)</f>
        <v>4</v>
      </c>
      <c r="BI33" s="6">
        <f>IF(ISBLANK('Paste Full'!BY33),"",'Paste Full'!BY33)</f>
        <v>9</v>
      </c>
      <c r="BJ33" s="13">
        <f>IF(ISBLANK('Paste Full'!BL33),"",'Paste Full'!BL33)</f>
        <v>1</v>
      </c>
      <c r="BK33" s="13">
        <f>IF(ISBLANK('Paste Full'!BQ33),"",'Paste Full'!BQ33)</f>
        <v>3</v>
      </c>
      <c r="BL33" s="13">
        <f>IF(ISBLANK('Paste Full'!BT33),"",'Paste Full'!BT33)</f>
        <v>2</v>
      </c>
      <c r="BM33" s="13">
        <f>IF(ISBLANK('Paste Full'!BW33),"",'Paste Full'!BW33)</f>
        <v>1</v>
      </c>
      <c r="BN33" s="41">
        <f>IF(ISBLANK('Paste Full'!BZ33),"",'Paste Full'!BZ33)</f>
        <v>1</v>
      </c>
      <c r="BO33" s="41">
        <f>IF(ISBLANK('Paste Full'!CA33),"",'Paste Full'!CA33)</f>
        <v>1</v>
      </c>
      <c r="BP33" s="41">
        <f>IF(ISBLANK('Paste Full'!CB33),"",'Paste Full'!CB33)</f>
        <v>1</v>
      </c>
      <c r="BQ33" s="41">
        <f>IF(ISBLANK('Paste Full'!CC33),"",'Paste Full'!CC33)</f>
        <v>1</v>
      </c>
      <c r="BR33" s="41">
        <f>IF(ISBLANK('Paste Full'!CD33),"",'Paste Full'!CD33)</f>
        <v>7</v>
      </c>
      <c r="BS33" s="41">
        <f>IF(ISBLANK('Paste Full'!CE33),"",'Paste Full'!CE33)</f>
        <v>6</v>
      </c>
      <c r="BT33" s="41">
        <f>IF(ISBLANK('Paste Full'!CF33),"",'Paste Full'!CF33)</f>
        <v>20</v>
      </c>
      <c r="BU33" s="41">
        <f>IF(ISBLANK('Paste Full'!CG33),"",'Paste Full'!CG33)</f>
        <v>3</v>
      </c>
      <c r="BV33" s="41">
        <f>IF(ISBLANK('Paste Full'!CH33),"",'Paste Full'!CH33)</f>
        <v>20</v>
      </c>
    </row>
    <row r="34" spans="1:74" x14ac:dyDescent="0.3">
      <c r="A34" t="str">
        <f>IF(ISBLANK('Paste Full'!C34),"",'Paste Full'!C34)</f>
        <v>Connor Austin</v>
      </c>
      <c r="B34" t="str">
        <f t="shared" ref="B34:B65" si="1">INDEX($J$1:$R$1, MATCH(MAX($J34:$R34), $J34:$R34, 0))</f>
        <v>DM(L)</v>
      </c>
      <c r="C34" s="2">
        <f>IF(ISBLANK('Paste Full'!H34),"",'Paste Full'!H34)</f>
        <v>21</v>
      </c>
      <c r="D34" s="2">
        <f>IF(ISBLANK('Paste Full'!F34),"",'Paste Full'!F34)</f>
        <v>60</v>
      </c>
      <c r="E34" s="2">
        <f>IF(ISBLANK('Paste Full'!G34),"",'Paste Full'!G34)</f>
        <v>102</v>
      </c>
      <c r="F34" s="21" t="str">
        <f>IF(ISBLANK('Paste Full'!E34),"",'Paste Full'!E34)</f>
        <v>England</v>
      </c>
      <c r="G34" t="str">
        <f>IF(ISBLANK('Paste Full'!CI34),"",'Paste Full'!CI34)</f>
        <v/>
      </c>
      <c r="H34" s="21" t="str">
        <f>IF(ISBLANK('Paste Full'!J34),"",'Paste Full'!J34)</f>
        <v>$291,103</v>
      </c>
      <c r="I34" s="21" t="str">
        <f>IF(ISBLANK('Paste Full'!D34),"",'Paste Full'!D34)</f>
        <v>DM/M C</v>
      </c>
      <c r="J34" s="14">
        <f>AVERAGE(SUMPRODUCT($S34:$BM34,AttWeights!$C$10:$AW$10)/SUM(AttWeights!$C$10:$AW$10),SUMPRODUCT($S34:$BM34,AttWeights!$C$17:$AW$17)/SUM(AttWeights!$C$17:$AW$17))*10</f>
        <v>70.316860048703631</v>
      </c>
      <c r="K34" s="14">
        <f>AVERAGE(SUMPRODUCT($S34:$BM34,AttWeights!$C$7:$AW$7)/SUM(AttWeights!$C$7:$AW$7),SUMPRODUCT($S34:$BM34,AttWeights!$C$15:$AW$15)/SUM(AttWeights!$C$15:$AW$15))*10</f>
        <v>72.576625819154259</v>
      </c>
      <c r="L34" s="14">
        <f>AVERAGE(SUMPRODUCT($S34:$BM34,AttWeights!$C$8:$AW$8)/SUM(AttWeights!$C$8:$AW$8),SUMPRODUCT($S34:$BM34,AttWeights!$C$16:$AW$16)/SUM(AttWeights!$C$16:$AW$16))*10</f>
        <v>74.594759379519616</v>
      </c>
      <c r="M34" s="14">
        <f>AVERAGE(SUMPRODUCT($S34:$BM34,AttWeights!$C$9:$AW$9)/SUM(AttWeights!$C$9:$AW$9),SUMPRODUCT($S34:$BM34,AttWeights!$C$15:$AW$15)/SUM(AttWeights!$C$15:$AW$15))*10</f>
        <v>72.302187328357732</v>
      </c>
      <c r="N34" s="14">
        <f>AVERAGE(SUMPRODUCT($S34:$BM34,AttWeights!$C$6:$AW$6)/SUM(AttWeights!$C$6:$AW$6),SUMPRODUCT($S34:$BM34,AttWeights!$C$14:$AW$14)/SUM(AttWeights!$C$14:$AW$14))*10</f>
        <v>76.277601249461441</v>
      </c>
      <c r="O34" s="14">
        <f>AVERAGE(SUMPRODUCT($S34:$BM34,AttWeights!$C$5:$AW$5)/SUM(AttWeights!$C$5:$AW$5),SUMPRODUCT($S34:$BM34,AttWeights!$C$14:$AW$14)/SUM(AttWeights!$C$14:$AW$14))*10</f>
        <v>74.696126844359839</v>
      </c>
      <c r="P34" s="14">
        <f>AVERAGE(SUMPRODUCT($S34:$BM34,AttWeights!$C$4:$AW$4)/SUM(AttWeights!$C$4:$AW$4),SUMPRODUCT($S34:$BM34,AttWeights!$C$13:$AW$13)/SUM(AttWeights!$C$13:$AW$13))*10</f>
        <v>75.58722527472527</v>
      </c>
      <c r="Q34" s="14">
        <f>AVERAGE(SUMPRODUCT($S34:$BM34,AttWeights!$C$3:$AW$3)/SUM(AttWeights!$C$3:$AW$3),SUMPRODUCT($S34:$BM34,AttWeights!$C$12:$AW$12)/SUM(AttWeights!$C$12:$AW$12))*10</f>
        <v>75.489674593241546</v>
      </c>
      <c r="R34" s="14">
        <f>AVERAGE(SUMPRODUCT($S34:$BM34,AttWeights!$C$2:$AW$2)/SUM(AttWeights!$C$2:$AW$2),SUMPRODUCT($S34:$BM34,AttWeights!$C$11:$AW$11)/SUM(AttWeights!$C$11:$AW$11))*10</f>
        <v>53.979027729027734</v>
      </c>
      <c r="S34" s="3">
        <f>IF(ISBLANK('Paste Full'!AC34),"",'Paste Full'!AC34)</f>
        <v>6</v>
      </c>
      <c r="T34" s="3">
        <f>IF(ISBLANK('Paste Full'!AD34),"",'Paste Full'!AD34)</f>
        <v>10</v>
      </c>
      <c r="U34" s="3" t="str">
        <f>IF(ISBLANK('Paste Full'!AE34),"",'Paste Full'!AE34)</f>
        <v>$7</v>
      </c>
      <c r="V34" s="3">
        <f>IF(ISBLANK('Paste Full'!AF34),"",'Paste Full'!AF34)</f>
        <v>12</v>
      </c>
      <c r="W34" s="3">
        <f>IF(ISBLANK('Paste Full'!AH34),"",'Paste Full'!AH34)</f>
        <v>13</v>
      </c>
      <c r="X34" s="3">
        <f>IF(ISBLANK('Paste Full'!AI34),"",'Paste Full'!AI34)</f>
        <v>10</v>
      </c>
      <c r="Y34" s="3">
        <f>IF(ISBLANK('Paste Full'!AK34),"",'Paste Full'!AK34)</f>
        <v>9</v>
      </c>
      <c r="Z34" s="3">
        <f>IF(ISBLANK('Paste Full'!AL34),"",'Paste Full'!AL34)</f>
        <v>5</v>
      </c>
      <c r="AA34" s="4">
        <f>IF(ISBLANK('Paste Full'!AM34),"",'Paste Full'!AM34)</f>
        <v>1</v>
      </c>
      <c r="AB34" s="4">
        <f>IF(ISBLANK('Paste Full'!AN34),"",'Paste Full'!AN34)</f>
        <v>3</v>
      </c>
      <c r="AC34" s="4">
        <f>IF(ISBLANK('Paste Full'!AO34),"",'Paste Full'!AO34)</f>
        <v>1</v>
      </c>
      <c r="AD34" s="4">
        <f>IF(ISBLANK('Paste Full'!AP34),"",'Paste Full'!AP34)</f>
        <v>4</v>
      </c>
      <c r="AE34" s="4">
        <f>IF(ISBLANK('Paste Full'!AQ34),"",'Paste Full'!AQ34)</f>
        <v>2</v>
      </c>
      <c r="AF34" s="4">
        <f>IF(ISBLANK('Paste Full'!AR34),"",'Paste Full'!AR34)</f>
        <v>2</v>
      </c>
      <c r="AG34" s="4">
        <f>IF(ISBLANK('Paste Full'!AS34),"",'Paste Full'!AS34)</f>
        <v>4</v>
      </c>
      <c r="AH34" s="4">
        <f>IF(ISBLANK('Paste Full'!AV34),"",'Paste Full'!AV34)</f>
        <v>1</v>
      </c>
      <c r="AI34" s="4">
        <f>IF(ISBLANK('Paste Full'!AT34),"",'Paste Full'!AT34)</f>
        <v>3</v>
      </c>
      <c r="AJ34" s="4">
        <f>IF(ISBLANK('Paste Full'!AU34),"",'Paste Full'!AU34)</f>
        <v>1</v>
      </c>
      <c r="AK34" s="4">
        <f>IF(ISBLANK('Paste Full'!AW34),"",'Paste Full'!AW34)</f>
        <v>3</v>
      </c>
      <c r="AL34" s="5">
        <f>IF(ISBLANK('Paste Full'!AX34),"",'Paste Full'!AX34)</f>
        <v>5</v>
      </c>
      <c r="AM34" s="5">
        <f>IF(ISBLANK('Paste Full'!AY34),"",'Paste Full'!AY34)</f>
        <v>8</v>
      </c>
      <c r="AN34" s="5">
        <f>IF(ISBLANK('Paste Full'!AZ34),"",'Paste Full'!AZ34)</f>
        <v>6</v>
      </c>
      <c r="AO34" s="5">
        <f>IF(ISBLANK('Paste Full'!BA34),"",'Paste Full'!BA34)</f>
        <v>9</v>
      </c>
      <c r="AP34" s="5">
        <f>IF(ISBLANK('Paste Full'!BB34),"",'Paste Full'!BB34)</f>
        <v>10</v>
      </c>
      <c r="AQ34" s="5">
        <f>IF(ISBLANK('Paste Full'!BC34),"",'Paste Full'!BC34)</f>
        <v>13</v>
      </c>
      <c r="AR34" s="5">
        <f>IF(ISBLANK('Paste Full'!BD34),"",'Paste Full'!BD34)</f>
        <v>6</v>
      </c>
      <c r="AS34" s="5">
        <f>IF(ISBLANK('Paste Full'!BE34),"",'Paste Full'!BE34)</f>
        <v>7</v>
      </c>
      <c r="AT34" s="5">
        <f>IF(ISBLANK('Paste Full'!BF34),"",'Paste Full'!BF34)</f>
        <v>5</v>
      </c>
      <c r="AU34" s="5">
        <f>IF(ISBLANK('Paste Full'!BG34),"",'Paste Full'!BG34)</f>
        <v>9</v>
      </c>
      <c r="AV34" s="5">
        <f>IF(ISBLANK('Paste Full'!BH34),"",'Paste Full'!BH34)</f>
        <v>9</v>
      </c>
      <c r="AW34" s="5">
        <f>IF(ISBLANK('Paste Full'!BI34),"",'Paste Full'!BI34)</f>
        <v>6</v>
      </c>
      <c r="AX34" s="5">
        <f>IF(ISBLANK('Paste Full'!BJ34),"",'Paste Full'!BJ34)</f>
        <v>11</v>
      </c>
      <c r="AY34" s="5">
        <f>IF(ISBLANK('Paste Full'!BK34),"",'Paste Full'!BK34)</f>
        <v>10</v>
      </c>
      <c r="AZ34" s="6">
        <f>IF(ISBLANK('Paste Full'!BM34),"",'Paste Full'!BM34)</f>
        <v>3</v>
      </c>
      <c r="BA34" s="6">
        <f>IF(ISBLANK('Paste Full'!BN34),"",'Paste Full'!BN34)</f>
        <v>12</v>
      </c>
      <c r="BB34" s="6">
        <f>IF(ISBLANK('Paste Full'!BO34),"",'Paste Full'!BO34)</f>
        <v>1</v>
      </c>
      <c r="BC34" s="6">
        <f>IF(ISBLANK('Paste Full'!BP34),"",'Paste Full'!BP34)</f>
        <v>10</v>
      </c>
      <c r="BD34" s="6">
        <f>IF(ISBLANK('Paste Full'!BR34),"",'Paste Full'!BR34)</f>
        <v>4</v>
      </c>
      <c r="BE34" s="6">
        <f>IF(ISBLANK('Paste Full'!BS34),"",'Paste Full'!BS34)</f>
        <v>3</v>
      </c>
      <c r="BF34" s="6">
        <f>IF(ISBLANK('Paste Full'!BU34),"",'Paste Full'!BU34)</f>
        <v>7</v>
      </c>
      <c r="BG34" s="6">
        <f>IF(ISBLANK('Paste Full'!BV34),"",'Paste Full'!BV34)</f>
        <v>12</v>
      </c>
      <c r="BH34" s="6">
        <f>IF(ISBLANK('Paste Full'!BX34),"",'Paste Full'!BX34)</f>
        <v>10</v>
      </c>
      <c r="BI34" s="6">
        <f>IF(ISBLANK('Paste Full'!BY34),"",'Paste Full'!BY34)</f>
        <v>9</v>
      </c>
      <c r="BJ34" s="13">
        <f>IF(ISBLANK('Paste Full'!BL34),"",'Paste Full'!BL34)</f>
        <v>3</v>
      </c>
      <c r="BK34" s="13">
        <f>IF(ISBLANK('Paste Full'!BQ34),"",'Paste Full'!BQ34)</f>
        <v>3</v>
      </c>
      <c r="BL34" s="13">
        <f>IF(ISBLANK('Paste Full'!BT34),"",'Paste Full'!BT34)</f>
        <v>1</v>
      </c>
      <c r="BM34" s="13">
        <f>IF(ISBLANK('Paste Full'!BW34),"",'Paste Full'!BW34)</f>
        <v>2</v>
      </c>
      <c r="BN34" s="41">
        <f>IF(ISBLANK('Paste Full'!BZ34),"",'Paste Full'!BZ34)</f>
        <v>1</v>
      </c>
      <c r="BO34" s="41">
        <f>IF(ISBLANK('Paste Full'!CA34),"",'Paste Full'!CA34)</f>
        <v>1</v>
      </c>
      <c r="BP34" s="41">
        <f>IF(ISBLANK('Paste Full'!CB34),"",'Paste Full'!CB34)</f>
        <v>1</v>
      </c>
      <c r="BQ34" s="41">
        <f>IF(ISBLANK('Paste Full'!CC34),"",'Paste Full'!CC34)</f>
        <v>1</v>
      </c>
      <c r="BR34" s="41">
        <f>IF(ISBLANK('Paste Full'!CD34),"",'Paste Full'!CD34)</f>
        <v>19</v>
      </c>
      <c r="BS34" s="41">
        <f>IF(ISBLANK('Paste Full'!CE34),"",'Paste Full'!CE34)</f>
        <v>1</v>
      </c>
      <c r="BT34" s="41">
        <f>IF(ISBLANK('Paste Full'!CF34),"",'Paste Full'!CF34)</f>
        <v>1</v>
      </c>
      <c r="BU34" s="41">
        <f>IF(ISBLANK('Paste Full'!CG34),"",'Paste Full'!CG34)</f>
        <v>1</v>
      </c>
      <c r="BV34" s="41">
        <f>IF(ISBLANK('Paste Full'!CH34),"",'Paste Full'!CH34)</f>
        <v>1</v>
      </c>
    </row>
    <row r="35" spans="1:74" x14ac:dyDescent="0.3">
      <c r="A35" t="str">
        <f>IF(ISBLANK('Paste Full'!C35),"",'Paste Full'!C35)</f>
        <v>Conor Prior</v>
      </c>
      <c r="B35" t="str">
        <f t="shared" si="1"/>
        <v>AM(R)</v>
      </c>
      <c r="C35" s="2">
        <f>IF(ISBLANK('Paste Full'!H35),"",'Paste Full'!H35)</f>
        <v>19</v>
      </c>
      <c r="D35" s="2">
        <f>IF(ISBLANK('Paste Full'!F35),"",'Paste Full'!F35)</f>
        <v>44</v>
      </c>
      <c r="E35" s="2">
        <f>IF(ISBLANK('Paste Full'!G35),"",'Paste Full'!G35)</f>
        <v>110</v>
      </c>
      <c r="F35" s="21" t="str">
        <f>IF(ISBLANK('Paste Full'!E35),"",'Paste Full'!E35)</f>
        <v>England</v>
      </c>
      <c r="G35" t="str">
        <f>IF(ISBLANK('Paste Full'!CI35),"",'Paste Full'!CI35)</f>
        <v/>
      </c>
      <c r="H35" s="21" t="str">
        <f>IF(ISBLANK('Paste Full'!J35),"",'Paste Full'!J35)</f>
        <v>$282,593</v>
      </c>
      <c r="I35" s="21" t="str">
        <f>IF(ISBLANK('Paste Full'!D35),"",'Paste Full'!D35)</f>
        <v>AM/ST RC</v>
      </c>
      <c r="J35" s="14">
        <f>AVERAGE(SUMPRODUCT($S35:$BM35,AttWeights!$C$10:$AW$10)/SUM(AttWeights!$C$10:$AW$10),SUMPRODUCT($S35:$BM35,AttWeights!$C$17:$AW$17)/SUM(AttWeights!$C$17:$AW$17))*10</f>
        <v>63.864632574129779</v>
      </c>
      <c r="K35" s="14">
        <f>AVERAGE(SUMPRODUCT($S35:$BM35,AttWeights!$C$7:$AW$7)/SUM(AttWeights!$C$7:$AW$7),SUMPRODUCT($S35:$BM35,AttWeights!$C$15:$AW$15)/SUM(AttWeights!$C$15:$AW$15))*10</f>
        <v>67.464074759763719</v>
      </c>
      <c r="L35" s="14">
        <f>AVERAGE(SUMPRODUCT($S35:$BM35,AttWeights!$C$8:$AW$8)/SUM(AttWeights!$C$8:$AW$8),SUMPRODUCT($S35:$BM35,AttWeights!$C$16:$AW$16)/SUM(AttWeights!$C$16:$AW$16))*10</f>
        <v>66.509514221705473</v>
      </c>
      <c r="M35" s="14">
        <f>AVERAGE(SUMPRODUCT($S35:$BM35,AttWeights!$C$9:$AW$9)/SUM(AttWeights!$C$9:$AW$9),SUMPRODUCT($S35:$BM35,AttWeights!$C$15:$AW$15)/SUM(AttWeights!$C$15:$AW$15))*10</f>
        <v>70.099350586410779</v>
      </c>
      <c r="N35" s="14">
        <f>AVERAGE(SUMPRODUCT($S35:$BM35,AttWeights!$C$6:$AW$6)/SUM(AttWeights!$C$6:$AW$6),SUMPRODUCT($S35:$BM35,AttWeights!$C$14:$AW$14)/SUM(AttWeights!$C$14:$AW$14))*10</f>
        <v>61.379389271865577</v>
      </c>
      <c r="O35" s="14">
        <f>AVERAGE(SUMPRODUCT($S35:$BM35,AttWeights!$C$5:$AW$5)/SUM(AttWeights!$C$5:$AW$5),SUMPRODUCT($S35:$BM35,AttWeights!$C$14:$AW$14)/SUM(AttWeights!$C$14:$AW$14))*10</f>
        <v>60.739082579723949</v>
      </c>
      <c r="P35" s="14">
        <f>AVERAGE(SUMPRODUCT($S35:$BM35,AttWeights!$C$4:$AW$4)/SUM(AttWeights!$C$4:$AW$4),SUMPRODUCT($S35:$BM35,AttWeights!$C$13:$AW$13)/SUM(AttWeights!$C$13:$AW$13))*10</f>
        <v>56.892170329670328</v>
      </c>
      <c r="Q35" s="14">
        <f>AVERAGE(SUMPRODUCT($S35:$BM35,AttWeights!$C$3:$AW$3)/SUM(AttWeights!$C$3:$AW$3),SUMPRODUCT($S35:$BM35,AttWeights!$C$12:$AW$12)/SUM(AttWeights!$C$12:$AW$12))*10</f>
        <v>62.561013767209005</v>
      </c>
      <c r="R35" s="14">
        <f>AVERAGE(SUMPRODUCT($S35:$BM35,AttWeights!$C$2:$AW$2)/SUM(AttWeights!$C$2:$AW$2),SUMPRODUCT($S35:$BM35,AttWeights!$C$11:$AW$11)/SUM(AttWeights!$C$11:$AW$11))*10</f>
        <v>42.057739557739559</v>
      </c>
      <c r="S35" s="3">
        <f>IF(ISBLANK('Paste Full'!AC35),"",'Paste Full'!AC35)</f>
        <v>13</v>
      </c>
      <c r="T35" s="3">
        <f>IF(ISBLANK('Paste Full'!AD35),"",'Paste Full'!AD35)</f>
        <v>10</v>
      </c>
      <c r="U35" s="3" t="str">
        <f>IF(ISBLANK('Paste Full'!AE35),"",'Paste Full'!AE35)</f>
        <v>$5</v>
      </c>
      <c r="V35" s="3">
        <f>IF(ISBLANK('Paste Full'!AF35),"",'Paste Full'!AF35)</f>
        <v>8</v>
      </c>
      <c r="W35" s="3">
        <f>IF(ISBLANK('Paste Full'!AH35),"",'Paste Full'!AH35)</f>
        <v>13</v>
      </c>
      <c r="X35" s="3">
        <f>IF(ISBLANK('Paste Full'!AI35),"",'Paste Full'!AI35)</f>
        <v>11</v>
      </c>
      <c r="Y35" s="3">
        <f>IF(ISBLANK('Paste Full'!AK35),"",'Paste Full'!AK35)</f>
        <v>10</v>
      </c>
      <c r="Z35" s="3">
        <f>IF(ISBLANK('Paste Full'!AL35),"",'Paste Full'!AL35)</f>
        <v>5</v>
      </c>
      <c r="AA35" s="4">
        <f>IF(ISBLANK('Paste Full'!AM35),"",'Paste Full'!AM35)</f>
        <v>1</v>
      </c>
      <c r="AB35" s="4">
        <f>IF(ISBLANK('Paste Full'!AN35),"",'Paste Full'!AN35)</f>
        <v>2</v>
      </c>
      <c r="AC35" s="4">
        <f>IF(ISBLANK('Paste Full'!AO35),"",'Paste Full'!AO35)</f>
        <v>3</v>
      </c>
      <c r="AD35" s="4">
        <f>IF(ISBLANK('Paste Full'!AP35),"",'Paste Full'!AP35)</f>
        <v>3</v>
      </c>
      <c r="AE35" s="4">
        <f>IF(ISBLANK('Paste Full'!AQ35),"",'Paste Full'!AQ35)</f>
        <v>1</v>
      </c>
      <c r="AF35" s="4">
        <f>IF(ISBLANK('Paste Full'!AR35),"",'Paste Full'!AR35)</f>
        <v>3</v>
      </c>
      <c r="AG35" s="4">
        <f>IF(ISBLANK('Paste Full'!AS35),"",'Paste Full'!AS35)</f>
        <v>4</v>
      </c>
      <c r="AH35" s="4">
        <f>IF(ISBLANK('Paste Full'!AV35),"",'Paste Full'!AV35)</f>
        <v>1</v>
      </c>
      <c r="AI35" s="4">
        <f>IF(ISBLANK('Paste Full'!AT35),"",'Paste Full'!AT35)</f>
        <v>3</v>
      </c>
      <c r="AJ35" s="4">
        <f>IF(ISBLANK('Paste Full'!AU35),"",'Paste Full'!AU35)</f>
        <v>1</v>
      </c>
      <c r="AK35" s="4">
        <f>IF(ISBLANK('Paste Full'!AW35),"",'Paste Full'!AW35)</f>
        <v>1</v>
      </c>
      <c r="AL35" s="5">
        <f>IF(ISBLANK('Paste Full'!AX35),"",'Paste Full'!AX35)</f>
        <v>9</v>
      </c>
      <c r="AM35" s="5">
        <f>IF(ISBLANK('Paste Full'!AY35),"",'Paste Full'!AY35)</f>
        <v>7</v>
      </c>
      <c r="AN35" s="5">
        <f>IF(ISBLANK('Paste Full'!AZ35),"",'Paste Full'!AZ35)</f>
        <v>7</v>
      </c>
      <c r="AO35" s="5">
        <f>IF(ISBLANK('Paste Full'!BA35),"",'Paste Full'!BA35)</f>
        <v>7</v>
      </c>
      <c r="AP35" s="5">
        <f>IF(ISBLANK('Paste Full'!BB35),"",'Paste Full'!BB35)</f>
        <v>3</v>
      </c>
      <c r="AQ35" s="5">
        <f>IF(ISBLANK('Paste Full'!BC35),"",'Paste Full'!BC35)</f>
        <v>6</v>
      </c>
      <c r="AR35" s="5">
        <f>IF(ISBLANK('Paste Full'!BD35),"",'Paste Full'!BD35)</f>
        <v>5</v>
      </c>
      <c r="AS35" s="5">
        <f>IF(ISBLANK('Paste Full'!BE35),"",'Paste Full'!BE35)</f>
        <v>9</v>
      </c>
      <c r="AT35" s="5">
        <f>IF(ISBLANK('Paste Full'!BF35),"",'Paste Full'!BF35)</f>
        <v>10</v>
      </c>
      <c r="AU35" s="5">
        <f>IF(ISBLANK('Paste Full'!BG35),"",'Paste Full'!BG35)</f>
        <v>9</v>
      </c>
      <c r="AV35" s="5">
        <f>IF(ISBLANK('Paste Full'!BH35),"",'Paste Full'!BH35)</f>
        <v>3</v>
      </c>
      <c r="AW35" s="5">
        <f>IF(ISBLANK('Paste Full'!BI35),"",'Paste Full'!BI35)</f>
        <v>13</v>
      </c>
      <c r="AX35" s="5">
        <f>IF(ISBLANK('Paste Full'!BJ35),"",'Paste Full'!BJ35)</f>
        <v>3</v>
      </c>
      <c r="AY35" s="5">
        <f>IF(ISBLANK('Paste Full'!BK35),"",'Paste Full'!BK35)</f>
        <v>7</v>
      </c>
      <c r="AZ35" s="6">
        <f>IF(ISBLANK('Paste Full'!BM35),"",'Paste Full'!BM35)</f>
        <v>3</v>
      </c>
      <c r="BA35" s="6">
        <f>IF(ISBLANK('Paste Full'!BN35),"",'Paste Full'!BN35)</f>
        <v>11</v>
      </c>
      <c r="BB35" s="6">
        <f>IF(ISBLANK('Paste Full'!BO35),"",'Paste Full'!BO35)</f>
        <v>4</v>
      </c>
      <c r="BC35" s="6">
        <f>IF(ISBLANK('Paste Full'!BP35),"",'Paste Full'!BP35)</f>
        <v>7</v>
      </c>
      <c r="BD35" s="6">
        <f>IF(ISBLANK('Paste Full'!BR35),"",'Paste Full'!BR35)</f>
        <v>2</v>
      </c>
      <c r="BE35" s="6">
        <f>IF(ISBLANK('Paste Full'!BS35),"",'Paste Full'!BS35)</f>
        <v>2</v>
      </c>
      <c r="BF35" s="6">
        <f>IF(ISBLANK('Paste Full'!BU35),"",'Paste Full'!BU35)</f>
        <v>2</v>
      </c>
      <c r="BG35" s="6">
        <f>IF(ISBLANK('Paste Full'!BV35),"",'Paste Full'!BV35)</f>
        <v>5</v>
      </c>
      <c r="BH35" s="6">
        <f>IF(ISBLANK('Paste Full'!BX35),"",'Paste Full'!BX35)</f>
        <v>1</v>
      </c>
      <c r="BI35" s="6">
        <f>IF(ISBLANK('Paste Full'!BY35),"",'Paste Full'!BY35)</f>
        <v>8</v>
      </c>
      <c r="BJ35" s="13">
        <f>IF(ISBLANK('Paste Full'!BL35),"",'Paste Full'!BL35)</f>
        <v>1</v>
      </c>
      <c r="BK35" s="13">
        <f>IF(ISBLANK('Paste Full'!BQ35),"",'Paste Full'!BQ35)</f>
        <v>2</v>
      </c>
      <c r="BL35" s="13">
        <f>IF(ISBLANK('Paste Full'!BT35),"",'Paste Full'!BT35)</f>
        <v>2</v>
      </c>
      <c r="BM35" s="13">
        <f>IF(ISBLANK('Paste Full'!BW35),"",'Paste Full'!BW35)</f>
        <v>3</v>
      </c>
      <c r="BN35" s="41">
        <f>IF(ISBLANK('Paste Full'!BZ35),"",'Paste Full'!BZ35)</f>
        <v>1</v>
      </c>
      <c r="BO35" s="41">
        <f>IF(ISBLANK('Paste Full'!CA35),"",'Paste Full'!CA35)</f>
        <v>1</v>
      </c>
      <c r="BP35" s="41">
        <f>IF(ISBLANK('Paste Full'!CB35),"",'Paste Full'!CB35)</f>
        <v>1</v>
      </c>
      <c r="BQ35" s="41">
        <f>IF(ISBLANK('Paste Full'!CC35),"",'Paste Full'!CC35)</f>
        <v>1</v>
      </c>
      <c r="BR35" s="41">
        <f>IF(ISBLANK('Paste Full'!CD35),"",'Paste Full'!CD35)</f>
        <v>1</v>
      </c>
      <c r="BS35" s="41">
        <f>IF(ISBLANK('Paste Full'!CE35),"",'Paste Full'!CE35)</f>
        <v>16</v>
      </c>
      <c r="BT35" s="41">
        <f>IF(ISBLANK('Paste Full'!CF35),"",'Paste Full'!CF35)</f>
        <v>16</v>
      </c>
      <c r="BU35" s="41">
        <f>IF(ISBLANK('Paste Full'!CG35),"",'Paste Full'!CG35)</f>
        <v>6</v>
      </c>
      <c r="BV35" s="41">
        <f>IF(ISBLANK('Paste Full'!CH35),"",'Paste Full'!CH35)</f>
        <v>20</v>
      </c>
    </row>
    <row r="36" spans="1:74" x14ac:dyDescent="0.3">
      <c r="A36" t="str">
        <f>IF(ISBLANK('Paste Full'!C36),"",'Paste Full'!C36)</f>
        <v>Eddie Sampson</v>
      </c>
      <c r="B36" t="str">
        <f t="shared" si="1"/>
        <v>D(C)</v>
      </c>
      <c r="C36" s="2">
        <f>IF(ISBLANK('Paste Full'!H36),"",'Paste Full'!H36)</f>
        <v>17</v>
      </c>
      <c r="D36" s="2">
        <f>IF(ISBLANK('Paste Full'!F36),"",'Paste Full'!F36)</f>
        <v>71</v>
      </c>
      <c r="E36" s="2">
        <f>IF(ISBLANK('Paste Full'!G36),"",'Paste Full'!G36)</f>
        <v>129</v>
      </c>
      <c r="F36" s="21" t="str">
        <f>IF(ISBLANK('Paste Full'!E36),"",'Paste Full'!E36)</f>
        <v>England</v>
      </c>
      <c r="G36" t="str">
        <f>IF(ISBLANK('Paste Full'!CI36),"",'Paste Full'!CI36)</f>
        <v/>
      </c>
      <c r="H36" s="21" t="str">
        <f>IF(ISBLANK('Paste Full'!J36),"",'Paste Full'!J36)</f>
        <v>$443,070</v>
      </c>
      <c r="I36" s="21" t="str">
        <f>IF(ISBLANK('Paste Full'!D36),"",'Paste Full'!D36)</f>
        <v>D C</v>
      </c>
      <c r="J36" s="14">
        <f>AVERAGE(SUMPRODUCT($S36:$BM36,AttWeights!$C$10:$AW$10)/SUM(AttWeights!$C$10:$AW$10),SUMPRODUCT($S36:$BM36,AttWeights!$C$17:$AW$17)/SUM(AttWeights!$C$17:$AW$17))*10</f>
        <v>72.131070047271166</v>
      </c>
      <c r="K36" s="14">
        <f>AVERAGE(SUMPRODUCT($S36:$BM36,AttWeights!$C$7:$AW$7)/SUM(AttWeights!$C$7:$AW$7),SUMPRODUCT($S36:$BM36,AttWeights!$C$15:$AW$15)/SUM(AttWeights!$C$15:$AW$15))*10</f>
        <v>74.879955332216639</v>
      </c>
      <c r="L36" s="14">
        <f>AVERAGE(SUMPRODUCT($S36:$BM36,AttWeights!$C$8:$AW$8)/SUM(AttWeights!$C$8:$AW$8),SUMPRODUCT($S36:$BM36,AttWeights!$C$16:$AW$16)/SUM(AttWeights!$C$16:$AW$16))*10</f>
        <v>75.101664634319263</v>
      </c>
      <c r="M36" s="14">
        <f>AVERAGE(SUMPRODUCT($S36:$BM36,AttWeights!$C$9:$AW$9)/SUM(AttWeights!$C$9:$AW$9),SUMPRODUCT($S36:$BM36,AttWeights!$C$15:$AW$15)/SUM(AttWeights!$C$15:$AW$15))*10</f>
        <v>77.188459177409442</v>
      </c>
      <c r="N36" s="14">
        <f>AVERAGE(SUMPRODUCT($S36:$BM36,AttWeights!$C$6:$AW$6)/SUM(AttWeights!$C$6:$AW$6),SUMPRODUCT($S36:$BM36,AttWeights!$C$14:$AW$14)/SUM(AttWeights!$C$14:$AW$14))*10</f>
        <v>78.520169108143051</v>
      </c>
      <c r="O36" s="14">
        <f>AVERAGE(SUMPRODUCT($S36:$BM36,AttWeights!$C$5:$AW$5)/SUM(AttWeights!$C$5:$AW$5),SUMPRODUCT($S36:$BM36,AttWeights!$C$14:$AW$14)/SUM(AttWeights!$C$14:$AW$14))*10</f>
        <v>81.50954902427415</v>
      </c>
      <c r="P36" s="14">
        <f>AVERAGE(SUMPRODUCT($S36:$BM36,AttWeights!$C$4:$AW$4)/SUM(AttWeights!$C$4:$AW$4),SUMPRODUCT($S36:$BM36,AttWeights!$C$13:$AW$13)/SUM(AttWeights!$C$13:$AW$13))*10</f>
        <v>85.460164835164832</v>
      </c>
      <c r="Q36" s="14">
        <f>AVERAGE(SUMPRODUCT($S36:$BM36,AttWeights!$C$3:$AW$3)/SUM(AttWeights!$C$3:$AW$3),SUMPRODUCT($S36:$BM36,AttWeights!$C$12:$AW$12)/SUM(AttWeights!$C$12:$AW$12))*10</f>
        <v>83.982478097622035</v>
      </c>
      <c r="R36" s="14">
        <f>AVERAGE(SUMPRODUCT($S36:$BM36,AttWeights!$C$2:$AW$2)/SUM(AttWeights!$C$2:$AW$2),SUMPRODUCT($S36:$BM36,AttWeights!$C$11:$AW$11)/SUM(AttWeights!$C$11:$AW$11))*10</f>
        <v>61.742277992277991</v>
      </c>
      <c r="S36" s="3">
        <f>IF(ISBLANK('Paste Full'!AC36),"",'Paste Full'!AC36)</f>
        <v>12</v>
      </c>
      <c r="T36" s="3">
        <f>IF(ISBLANK('Paste Full'!AD36),"",'Paste Full'!AD36)</f>
        <v>10</v>
      </c>
      <c r="U36" s="3" t="str">
        <f>IF(ISBLANK('Paste Full'!AE36),"",'Paste Full'!AE36)</f>
        <v>$12</v>
      </c>
      <c r="V36" s="3">
        <f>IF(ISBLANK('Paste Full'!AF36),"",'Paste Full'!AF36)</f>
        <v>8</v>
      </c>
      <c r="W36" s="3">
        <f>IF(ISBLANK('Paste Full'!AH36),"",'Paste Full'!AH36)</f>
        <v>17</v>
      </c>
      <c r="X36" s="3">
        <f>IF(ISBLANK('Paste Full'!AI36),"",'Paste Full'!AI36)</f>
        <v>10</v>
      </c>
      <c r="Y36" s="3">
        <f>IF(ISBLANK('Paste Full'!AK36),"",'Paste Full'!AK36)</f>
        <v>11</v>
      </c>
      <c r="Z36" s="3">
        <f>IF(ISBLANK('Paste Full'!AL36),"",'Paste Full'!AL36)</f>
        <v>10</v>
      </c>
      <c r="AA36" s="4">
        <f>IF(ISBLANK('Paste Full'!AM36),"",'Paste Full'!AM36)</f>
        <v>1</v>
      </c>
      <c r="AB36" s="4">
        <f>IF(ISBLANK('Paste Full'!AN36),"",'Paste Full'!AN36)</f>
        <v>1</v>
      </c>
      <c r="AC36" s="4">
        <f>IF(ISBLANK('Paste Full'!AO36),"",'Paste Full'!AO36)</f>
        <v>2</v>
      </c>
      <c r="AD36" s="4">
        <f>IF(ISBLANK('Paste Full'!AP36),"",'Paste Full'!AP36)</f>
        <v>3</v>
      </c>
      <c r="AE36" s="4">
        <f>IF(ISBLANK('Paste Full'!AQ36),"",'Paste Full'!AQ36)</f>
        <v>3</v>
      </c>
      <c r="AF36" s="4">
        <f>IF(ISBLANK('Paste Full'!AR36),"",'Paste Full'!AR36)</f>
        <v>3</v>
      </c>
      <c r="AG36" s="4">
        <f>IF(ISBLANK('Paste Full'!AS36),"",'Paste Full'!AS36)</f>
        <v>2</v>
      </c>
      <c r="AH36" s="4">
        <f>IF(ISBLANK('Paste Full'!AV36),"",'Paste Full'!AV36)</f>
        <v>1</v>
      </c>
      <c r="AI36" s="4">
        <f>IF(ISBLANK('Paste Full'!AT36),"",'Paste Full'!AT36)</f>
        <v>3</v>
      </c>
      <c r="AJ36" s="4">
        <f>IF(ISBLANK('Paste Full'!AU36),"",'Paste Full'!AU36)</f>
        <v>3</v>
      </c>
      <c r="AK36" s="4">
        <f>IF(ISBLANK('Paste Full'!AW36),"",'Paste Full'!AW36)</f>
        <v>1</v>
      </c>
      <c r="AL36" s="5">
        <f>IF(ISBLANK('Paste Full'!AX36),"",'Paste Full'!AX36)</f>
        <v>17</v>
      </c>
      <c r="AM36" s="5">
        <f>IF(ISBLANK('Paste Full'!AY36),"",'Paste Full'!AY36)</f>
        <v>12</v>
      </c>
      <c r="AN36" s="5">
        <f>IF(ISBLANK('Paste Full'!AZ36),"",'Paste Full'!AZ36)</f>
        <v>16</v>
      </c>
      <c r="AO36" s="5">
        <f>IF(ISBLANK('Paste Full'!BA36),"",'Paste Full'!BA36)</f>
        <v>3</v>
      </c>
      <c r="AP36" s="5">
        <f>IF(ISBLANK('Paste Full'!BB36),"",'Paste Full'!BB36)</f>
        <v>10</v>
      </c>
      <c r="AQ36" s="5">
        <f>IF(ISBLANK('Paste Full'!BC36),"",'Paste Full'!BC36)</f>
        <v>12</v>
      </c>
      <c r="AR36" s="5">
        <f>IF(ISBLANK('Paste Full'!BD36),"",'Paste Full'!BD36)</f>
        <v>6</v>
      </c>
      <c r="AS36" s="5">
        <f>IF(ISBLANK('Paste Full'!BE36),"",'Paste Full'!BE36)</f>
        <v>5</v>
      </c>
      <c r="AT36" s="5">
        <f>IF(ISBLANK('Paste Full'!BF36),"",'Paste Full'!BF36)</f>
        <v>12</v>
      </c>
      <c r="AU36" s="5">
        <f>IF(ISBLANK('Paste Full'!BG36),"",'Paste Full'!BG36)</f>
        <v>4</v>
      </c>
      <c r="AV36" s="5">
        <f>IF(ISBLANK('Paste Full'!BH36),"",'Paste Full'!BH36)</f>
        <v>13</v>
      </c>
      <c r="AW36" s="5">
        <f>IF(ISBLANK('Paste Full'!BI36),"",'Paste Full'!BI36)</f>
        <v>4</v>
      </c>
      <c r="AX36" s="5">
        <f>IF(ISBLANK('Paste Full'!BJ36),"",'Paste Full'!BJ36)</f>
        <v>3</v>
      </c>
      <c r="AY36" s="5">
        <f>IF(ISBLANK('Paste Full'!BK36),"",'Paste Full'!BK36)</f>
        <v>6</v>
      </c>
      <c r="AZ36" s="6">
        <f>IF(ISBLANK('Paste Full'!BM36),"",'Paste Full'!BM36)</f>
        <v>5</v>
      </c>
      <c r="BA36" s="6">
        <f>IF(ISBLANK('Paste Full'!BN36),"",'Paste Full'!BN36)</f>
        <v>6</v>
      </c>
      <c r="BB36" s="6">
        <f>IF(ISBLANK('Paste Full'!BO36),"",'Paste Full'!BO36)</f>
        <v>1</v>
      </c>
      <c r="BC36" s="6">
        <f>IF(ISBLANK('Paste Full'!BP36),"",'Paste Full'!BP36)</f>
        <v>6</v>
      </c>
      <c r="BD36" s="6">
        <f>IF(ISBLANK('Paste Full'!BR36),"",'Paste Full'!BR36)</f>
        <v>8</v>
      </c>
      <c r="BE36" s="6">
        <f>IF(ISBLANK('Paste Full'!BS36),"",'Paste Full'!BS36)</f>
        <v>1</v>
      </c>
      <c r="BF36" s="6">
        <f>IF(ISBLANK('Paste Full'!BU36),"",'Paste Full'!BU36)</f>
        <v>8</v>
      </c>
      <c r="BG36" s="6">
        <f>IF(ISBLANK('Paste Full'!BV36),"",'Paste Full'!BV36)</f>
        <v>8</v>
      </c>
      <c r="BH36" s="6">
        <f>IF(ISBLANK('Paste Full'!BX36),"",'Paste Full'!BX36)</f>
        <v>7</v>
      </c>
      <c r="BI36" s="6">
        <f>IF(ISBLANK('Paste Full'!BY36),"",'Paste Full'!BY36)</f>
        <v>12</v>
      </c>
      <c r="BJ36" s="13">
        <f>IF(ISBLANK('Paste Full'!BL36),"",'Paste Full'!BL36)</f>
        <v>3</v>
      </c>
      <c r="BK36" s="13">
        <f>IF(ISBLANK('Paste Full'!BQ36),"",'Paste Full'!BQ36)</f>
        <v>3</v>
      </c>
      <c r="BL36" s="13">
        <f>IF(ISBLANK('Paste Full'!BT36),"",'Paste Full'!BT36)</f>
        <v>2</v>
      </c>
      <c r="BM36" s="13">
        <f>IF(ISBLANK('Paste Full'!BW36),"",'Paste Full'!BW36)</f>
        <v>4</v>
      </c>
      <c r="BN36" s="41">
        <f>IF(ISBLANK('Paste Full'!BZ36),"",'Paste Full'!BZ36)</f>
        <v>1</v>
      </c>
      <c r="BO36" s="41">
        <f>IF(ISBLANK('Paste Full'!CA36),"",'Paste Full'!CA36)</f>
        <v>1</v>
      </c>
      <c r="BP36" s="41">
        <f>IF(ISBLANK('Paste Full'!CB36),"",'Paste Full'!CB36)</f>
        <v>20</v>
      </c>
      <c r="BQ36" s="41">
        <f>IF(ISBLANK('Paste Full'!CC36),"",'Paste Full'!CC36)</f>
        <v>1</v>
      </c>
      <c r="BR36" s="41">
        <f>IF(ISBLANK('Paste Full'!CD36),"",'Paste Full'!CD36)</f>
        <v>1</v>
      </c>
      <c r="BS36" s="41">
        <f>IF(ISBLANK('Paste Full'!CE36),"",'Paste Full'!CE36)</f>
        <v>1</v>
      </c>
      <c r="BT36" s="41">
        <f>IF(ISBLANK('Paste Full'!CF36),"",'Paste Full'!CF36)</f>
        <v>1</v>
      </c>
      <c r="BU36" s="41">
        <f>IF(ISBLANK('Paste Full'!CG36),"",'Paste Full'!CG36)</f>
        <v>1</v>
      </c>
      <c r="BV36" s="41">
        <f>IF(ISBLANK('Paste Full'!CH36),"",'Paste Full'!CH36)</f>
        <v>1</v>
      </c>
    </row>
    <row r="37" spans="1:74" x14ac:dyDescent="0.3">
      <c r="A37" t="str">
        <f>IF(ISBLANK('Paste Full'!C37),"",'Paste Full'!C37)</f>
        <v>Eleazar Lokote</v>
      </c>
      <c r="B37" t="str">
        <f t="shared" si="1"/>
        <v>AM(C)</v>
      </c>
      <c r="C37" s="2">
        <f>IF(ISBLANK('Paste Full'!H37),"",'Paste Full'!H37)</f>
        <v>20</v>
      </c>
      <c r="D37" s="2">
        <f>IF(ISBLANK('Paste Full'!F37),"",'Paste Full'!F37)</f>
        <v>70</v>
      </c>
      <c r="E37" s="2">
        <f>IF(ISBLANK('Paste Full'!G37),"",'Paste Full'!G37)</f>
        <v>82</v>
      </c>
      <c r="F37" s="21" t="str">
        <f>IF(ISBLANK('Paste Full'!E37),"",'Paste Full'!E37)</f>
        <v>Malawi,England</v>
      </c>
      <c r="G37" t="str">
        <f>IF(ISBLANK('Paste Full'!CI37),"",'Paste Full'!CI37)</f>
        <v/>
      </c>
      <c r="H37" s="21" t="str">
        <f>IF(ISBLANK('Paste Full'!J37),"",'Paste Full'!J37)</f>
        <v>$24,450</v>
      </c>
      <c r="I37" s="21" t="str">
        <f>IF(ISBLANK('Paste Full'!D37),"",'Paste Full'!D37)</f>
        <v>DM/M C</v>
      </c>
      <c r="J37" s="14">
        <f>AVERAGE(SUMPRODUCT($S37:$BM37,AttWeights!$C$10:$AW$10)/SUM(AttWeights!$C$10:$AW$10),SUMPRODUCT($S37:$BM37,AttWeights!$C$17:$AW$17)/SUM(AttWeights!$C$17:$AW$17))*10</f>
        <v>76.48144964904742</v>
      </c>
      <c r="K37" s="14">
        <f>AVERAGE(SUMPRODUCT($S37:$BM37,AttWeights!$C$7:$AW$7)/SUM(AttWeights!$C$7:$AW$7),SUMPRODUCT($S37:$BM37,AttWeights!$C$15:$AW$15)/SUM(AttWeights!$C$15:$AW$15))*10</f>
        <v>80.78947368421052</v>
      </c>
      <c r="L37" s="14">
        <f>AVERAGE(SUMPRODUCT($S37:$BM37,AttWeights!$C$8:$AW$8)/SUM(AttWeights!$C$8:$AW$8),SUMPRODUCT($S37:$BM37,AttWeights!$C$16:$AW$16)/SUM(AttWeights!$C$16:$AW$16))*10</f>
        <v>81.906389133085668</v>
      </c>
      <c r="M37" s="14">
        <f>AVERAGE(SUMPRODUCT($S37:$BM37,AttWeights!$C$9:$AW$9)/SUM(AttWeights!$C$9:$AW$9),SUMPRODUCT($S37:$BM37,AttWeights!$C$15:$AW$15)/SUM(AttWeights!$C$15:$AW$15))*10</f>
        <v>81.010468159348648</v>
      </c>
      <c r="N37" s="14">
        <f>AVERAGE(SUMPRODUCT($S37:$BM37,AttWeights!$C$6:$AW$6)/SUM(AttWeights!$C$6:$AW$6),SUMPRODUCT($S37:$BM37,AttWeights!$C$14:$AW$14)/SUM(AttWeights!$C$14:$AW$14))*10</f>
        <v>77.732119775958637</v>
      </c>
      <c r="O37" s="14">
        <f>AVERAGE(SUMPRODUCT($S37:$BM37,AttWeights!$C$5:$AW$5)/SUM(AttWeights!$C$5:$AW$5),SUMPRODUCT($S37:$BM37,AttWeights!$C$14:$AW$14)/SUM(AttWeights!$C$14:$AW$14))*10</f>
        <v>75.362327463112806</v>
      </c>
      <c r="P37" s="14">
        <f>AVERAGE(SUMPRODUCT($S37:$BM37,AttWeights!$C$4:$AW$4)/SUM(AttWeights!$C$4:$AW$4),SUMPRODUCT($S37:$BM37,AttWeights!$C$13:$AW$13)/SUM(AttWeights!$C$13:$AW$13))*10</f>
        <v>74.179258241758248</v>
      </c>
      <c r="Q37" s="14">
        <f>AVERAGE(SUMPRODUCT($S37:$BM37,AttWeights!$C$3:$AW$3)/SUM(AttWeights!$C$3:$AW$3),SUMPRODUCT($S37:$BM37,AttWeights!$C$12:$AW$12)/SUM(AttWeights!$C$12:$AW$12))*10</f>
        <v>75.568523153942436</v>
      </c>
      <c r="R37" s="14">
        <f>AVERAGE(SUMPRODUCT($S37:$BM37,AttWeights!$C$2:$AW$2)/SUM(AttWeights!$C$2:$AW$2),SUMPRODUCT($S37:$BM37,AttWeights!$C$11:$AW$11)/SUM(AttWeights!$C$11:$AW$11))*10</f>
        <v>47.552650052650058</v>
      </c>
      <c r="S37" s="3">
        <f>IF(ISBLANK('Paste Full'!AC37),"",'Paste Full'!AC37)</f>
        <v>15</v>
      </c>
      <c r="T37" s="3">
        <f>IF(ISBLANK('Paste Full'!AD37),"",'Paste Full'!AD37)</f>
        <v>12</v>
      </c>
      <c r="U37" s="3" t="str">
        <f>IF(ISBLANK('Paste Full'!AE37),"",'Paste Full'!AE37)</f>
        <v>$11</v>
      </c>
      <c r="V37" s="3">
        <f>IF(ISBLANK('Paste Full'!AF37),"",'Paste Full'!AF37)</f>
        <v>12</v>
      </c>
      <c r="W37" s="3">
        <f>IF(ISBLANK('Paste Full'!AH37),"",'Paste Full'!AH37)</f>
        <v>9</v>
      </c>
      <c r="X37" s="3">
        <f>IF(ISBLANK('Paste Full'!AI37),"",'Paste Full'!AI37)</f>
        <v>12</v>
      </c>
      <c r="Y37" s="3">
        <f>IF(ISBLANK('Paste Full'!AK37),"",'Paste Full'!AK37)</f>
        <v>11</v>
      </c>
      <c r="Z37" s="3">
        <f>IF(ISBLANK('Paste Full'!AL37),"",'Paste Full'!AL37)</f>
        <v>9</v>
      </c>
      <c r="AA37" s="4">
        <f>IF(ISBLANK('Paste Full'!AM37),"",'Paste Full'!AM37)</f>
        <v>2</v>
      </c>
      <c r="AB37" s="4">
        <f>IF(ISBLANK('Paste Full'!AN37),"",'Paste Full'!AN37)</f>
        <v>2</v>
      </c>
      <c r="AC37" s="4">
        <f>IF(ISBLANK('Paste Full'!AO37),"",'Paste Full'!AO37)</f>
        <v>1</v>
      </c>
      <c r="AD37" s="4">
        <f>IF(ISBLANK('Paste Full'!AP37),"",'Paste Full'!AP37)</f>
        <v>2</v>
      </c>
      <c r="AE37" s="4">
        <f>IF(ISBLANK('Paste Full'!AQ37),"",'Paste Full'!AQ37)</f>
        <v>1</v>
      </c>
      <c r="AF37" s="4">
        <f>IF(ISBLANK('Paste Full'!AR37),"",'Paste Full'!AR37)</f>
        <v>3</v>
      </c>
      <c r="AG37" s="4">
        <f>IF(ISBLANK('Paste Full'!AS37),"",'Paste Full'!AS37)</f>
        <v>1</v>
      </c>
      <c r="AH37" s="4">
        <f>IF(ISBLANK('Paste Full'!AV37),"",'Paste Full'!AV37)</f>
        <v>3</v>
      </c>
      <c r="AI37" s="4">
        <f>IF(ISBLANK('Paste Full'!AT37),"",'Paste Full'!AT37)</f>
        <v>1</v>
      </c>
      <c r="AJ37" s="4">
        <f>IF(ISBLANK('Paste Full'!AU37),"",'Paste Full'!AU37)</f>
        <v>2</v>
      </c>
      <c r="AK37" s="4">
        <f>IF(ISBLANK('Paste Full'!AW37),"",'Paste Full'!AW37)</f>
        <v>3</v>
      </c>
      <c r="AL37" s="5">
        <f>IF(ISBLANK('Paste Full'!AX37),"",'Paste Full'!AX37)</f>
        <v>9</v>
      </c>
      <c r="AM37" s="5">
        <f>IF(ISBLANK('Paste Full'!AY37),"",'Paste Full'!AY37)</f>
        <v>7</v>
      </c>
      <c r="AN37" s="5">
        <f>IF(ISBLANK('Paste Full'!AZ37),"",'Paste Full'!AZ37)</f>
        <v>6</v>
      </c>
      <c r="AO37" s="5">
        <f>IF(ISBLANK('Paste Full'!BA37),"",'Paste Full'!BA37)</f>
        <v>7</v>
      </c>
      <c r="AP37" s="5">
        <f>IF(ISBLANK('Paste Full'!BB37),"",'Paste Full'!BB37)</f>
        <v>3</v>
      </c>
      <c r="AQ37" s="5">
        <f>IF(ISBLANK('Paste Full'!BC37),"",'Paste Full'!BC37)</f>
        <v>13</v>
      </c>
      <c r="AR37" s="5">
        <f>IF(ISBLANK('Paste Full'!BD37),"",'Paste Full'!BD37)</f>
        <v>10</v>
      </c>
      <c r="AS37" s="5">
        <f>IF(ISBLANK('Paste Full'!BE37),"",'Paste Full'!BE37)</f>
        <v>6</v>
      </c>
      <c r="AT37" s="5">
        <f>IF(ISBLANK('Paste Full'!BF37),"",'Paste Full'!BF37)</f>
        <v>10</v>
      </c>
      <c r="AU37" s="5">
        <f>IF(ISBLANK('Paste Full'!BG37),"",'Paste Full'!BG37)</f>
        <v>9</v>
      </c>
      <c r="AV37" s="5">
        <f>IF(ISBLANK('Paste Full'!BH37),"",'Paste Full'!BH37)</f>
        <v>4</v>
      </c>
      <c r="AW37" s="5">
        <f>IF(ISBLANK('Paste Full'!BI37),"",'Paste Full'!BI37)</f>
        <v>8</v>
      </c>
      <c r="AX37" s="5">
        <f>IF(ISBLANK('Paste Full'!BJ37),"",'Paste Full'!BJ37)</f>
        <v>10</v>
      </c>
      <c r="AY37" s="5">
        <f>IF(ISBLANK('Paste Full'!BK37),"",'Paste Full'!BK37)</f>
        <v>12</v>
      </c>
      <c r="AZ37" s="6">
        <f>IF(ISBLANK('Paste Full'!BM37),"",'Paste Full'!BM37)</f>
        <v>6</v>
      </c>
      <c r="BA37" s="6">
        <f>IF(ISBLANK('Paste Full'!BN37),"",'Paste Full'!BN37)</f>
        <v>6</v>
      </c>
      <c r="BB37" s="6">
        <f>IF(ISBLANK('Paste Full'!BO37),"",'Paste Full'!BO37)</f>
        <v>7</v>
      </c>
      <c r="BC37" s="6">
        <f>IF(ISBLANK('Paste Full'!BP37),"",'Paste Full'!BP37)</f>
        <v>10</v>
      </c>
      <c r="BD37" s="6">
        <f>IF(ISBLANK('Paste Full'!BR37),"",'Paste Full'!BR37)</f>
        <v>2</v>
      </c>
      <c r="BE37" s="6">
        <f>IF(ISBLANK('Paste Full'!BS37),"",'Paste Full'!BS37)</f>
        <v>7</v>
      </c>
      <c r="BF37" s="6">
        <f>IF(ISBLANK('Paste Full'!BU37),"",'Paste Full'!BU37)</f>
        <v>8</v>
      </c>
      <c r="BG37" s="6">
        <f>IF(ISBLANK('Paste Full'!BV37),"",'Paste Full'!BV37)</f>
        <v>9</v>
      </c>
      <c r="BH37" s="6">
        <f>IF(ISBLANK('Paste Full'!BX37),"",'Paste Full'!BX37)</f>
        <v>3</v>
      </c>
      <c r="BI37" s="6">
        <f>IF(ISBLANK('Paste Full'!BY37),"",'Paste Full'!BY37)</f>
        <v>12</v>
      </c>
      <c r="BJ37" s="13">
        <f>IF(ISBLANK('Paste Full'!BL37),"",'Paste Full'!BL37)</f>
        <v>3</v>
      </c>
      <c r="BK37" s="13">
        <f>IF(ISBLANK('Paste Full'!BQ37),"",'Paste Full'!BQ37)</f>
        <v>4</v>
      </c>
      <c r="BL37" s="13">
        <f>IF(ISBLANK('Paste Full'!BT37),"",'Paste Full'!BT37)</f>
        <v>1</v>
      </c>
      <c r="BM37" s="13">
        <f>IF(ISBLANK('Paste Full'!BW37),"",'Paste Full'!BW37)</f>
        <v>1</v>
      </c>
      <c r="BN37" s="41">
        <f>IF(ISBLANK('Paste Full'!BZ37),"",'Paste Full'!BZ37)</f>
        <v>1</v>
      </c>
      <c r="BO37" s="41">
        <f>IF(ISBLANK('Paste Full'!CA37),"",'Paste Full'!CA37)</f>
        <v>1</v>
      </c>
      <c r="BP37" s="41">
        <f>IF(ISBLANK('Paste Full'!CB37),"",'Paste Full'!CB37)</f>
        <v>2</v>
      </c>
      <c r="BQ37" s="41">
        <f>IF(ISBLANK('Paste Full'!CC37),"",'Paste Full'!CC37)</f>
        <v>1</v>
      </c>
      <c r="BR37" s="41">
        <f>IF(ISBLANK('Paste Full'!CD37),"",'Paste Full'!CD37)</f>
        <v>16</v>
      </c>
      <c r="BS37" s="41">
        <f>IF(ISBLANK('Paste Full'!CE37),"",'Paste Full'!CE37)</f>
        <v>1</v>
      </c>
      <c r="BT37" s="41">
        <f>IF(ISBLANK('Paste Full'!CF37),"",'Paste Full'!CF37)</f>
        <v>1</v>
      </c>
      <c r="BU37" s="41">
        <f>IF(ISBLANK('Paste Full'!CG37),"",'Paste Full'!CG37)</f>
        <v>1</v>
      </c>
      <c r="BV37" s="41">
        <f>IF(ISBLANK('Paste Full'!CH37),"",'Paste Full'!CH37)</f>
        <v>1</v>
      </c>
    </row>
    <row r="38" spans="1:74" x14ac:dyDescent="0.3">
      <c r="A38" t="str">
        <f>IF(ISBLANK('Paste Full'!C38),"",'Paste Full'!C38)</f>
        <v>Erdal Peker</v>
      </c>
      <c r="B38" t="str">
        <f t="shared" si="1"/>
        <v>AM(C)</v>
      </c>
      <c r="C38" s="2">
        <f>IF(ISBLANK('Paste Full'!H38),"",'Paste Full'!H38)</f>
        <v>19</v>
      </c>
      <c r="D38" s="2">
        <f>IF(ISBLANK('Paste Full'!F38),"",'Paste Full'!F38)</f>
        <v>76</v>
      </c>
      <c r="E38" s="2">
        <f>IF(ISBLANK('Paste Full'!G38),"",'Paste Full'!G38)</f>
        <v>98</v>
      </c>
      <c r="F38" s="21" t="str">
        <f>IF(ISBLANK('Paste Full'!E38),"",'Paste Full'!E38)</f>
        <v>England,Turkey</v>
      </c>
      <c r="G38" t="str">
        <f>IF(ISBLANK('Paste Full'!CI38),"",'Paste Full'!CI38)</f>
        <v>Gosport Borough</v>
      </c>
      <c r="H38" s="21" t="str">
        <f>IF(ISBLANK('Paste Full'!J38),"",'Paste Full'!J38)</f>
        <v>$49,001</v>
      </c>
      <c r="I38" s="21" t="str">
        <f>IF(ISBLANK('Paste Full'!D38),"",'Paste Full'!D38)</f>
        <v>M/AM R</v>
      </c>
      <c r="J38" s="14">
        <f>AVERAGE(SUMPRODUCT($S38:$BM38,AttWeights!$C$10:$AW$10)/SUM(AttWeights!$C$10:$AW$10),SUMPRODUCT($S38:$BM38,AttWeights!$C$17:$AW$17)/SUM(AttWeights!$C$17:$AW$17))*10</f>
        <v>70.613522417991689</v>
      </c>
      <c r="K38" s="14">
        <f>AVERAGE(SUMPRODUCT($S38:$BM38,AttWeights!$C$7:$AW$7)/SUM(AttWeights!$C$7:$AW$7),SUMPRODUCT($S38:$BM38,AttWeights!$C$15:$AW$15)/SUM(AttWeights!$C$15:$AW$15))*10</f>
        <v>75.913779423432956</v>
      </c>
      <c r="L38" s="14">
        <f>AVERAGE(SUMPRODUCT($S38:$BM38,AttWeights!$C$8:$AW$8)/SUM(AttWeights!$C$8:$AW$8),SUMPRODUCT($S38:$BM38,AttWeights!$C$16:$AW$16)/SUM(AttWeights!$C$16:$AW$16))*10</f>
        <v>76.569350310523774</v>
      </c>
      <c r="M38" s="14">
        <f>AVERAGE(SUMPRODUCT($S38:$BM38,AttWeights!$C$9:$AW$9)/SUM(AttWeights!$C$9:$AW$9),SUMPRODUCT($S38:$BM38,AttWeights!$C$15:$AW$15)/SUM(AttWeights!$C$15:$AW$15))*10</f>
        <v>76.177667926722876</v>
      </c>
      <c r="N38" s="14">
        <f>AVERAGE(SUMPRODUCT($S38:$BM38,AttWeights!$C$6:$AW$6)/SUM(AttWeights!$C$6:$AW$6),SUMPRODUCT($S38:$BM38,AttWeights!$C$14:$AW$14)/SUM(AttWeights!$C$14:$AW$14))*10</f>
        <v>69.092390133563114</v>
      </c>
      <c r="O38" s="14">
        <f>AVERAGE(SUMPRODUCT($S38:$BM38,AttWeights!$C$5:$AW$5)/SUM(AttWeights!$C$5:$AW$5),SUMPRODUCT($S38:$BM38,AttWeights!$C$14:$AW$14)/SUM(AttWeights!$C$14:$AW$14))*10</f>
        <v>65.957728462636837</v>
      </c>
      <c r="P38" s="14">
        <f>AVERAGE(SUMPRODUCT($S38:$BM38,AttWeights!$C$4:$AW$4)/SUM(AttWeights!$C$4:$AW$4),SUMPRODUCT($S38:$BM38,AttWeights!$C$13:$AW$13)/SUM(AttWeights!$C$13:$AW$13))*10</f>
        <v>62.204670329670328</v>
      </c>
      <c r="Q38" s="14">
        <f>AVERAGE(SUMPRODUCT($S38:$BM38,AttWeights!$C$3:$AW$3)/SUM(AttWeights!$C$3:$AW$3),SUMPRODUCT($S38:$BM38,AttWeights!$C$12:$AW$12)/SUM(AttWeights!$C$12:$AW$12))*10</f>
        <v>65.949311639549435</v>
      </c>
      <c r="R38" s="14">
        <f>AVERAGE(SUMPRODUCT($S38:$BM38,AttWeights!$C$2:$AW$2)/SUM(AttWeights!$C$2:$AW$2),SUMPRODUCT($S38:$BM38,AttWeights!$C$11:$AW$11)/SUM(AttWeights!$C$11:$AW$11))*10</f>
        <v>46.165321165321167</v>
      </c>
      <c r="S38" s="3">
        <f>IF(ISBLANK('Paste Full'!AC38),"",'Paste Full'!AC38)</f>
        <v>16</v>
      </c>
      <c r="T38" s="3">
        <f>IF(ISBLANK('Paste Full'!AD38),"",'Paste Full'!AD38)</f>
        <v>13</v>
      </c>
      <c r="U38" s="3" t="str">
        <f>IF(ISBLANK('Paste Full'!AE38),"",'Paste Full'!AE38)</f>
        <v>$13</v>
      </c>
      <c r="V38" s="3">
        <f>IF(ISBLANK('Paste Full'!AF38),"",'Paste Full'!AF38)</f>
        <v>3</v>
      </c>
      <c r="W38" s="3">
        <f>IF(ISBLANK('Paste Full'!AH38),"",'Paste Full'!AH38)</f>
        <v>13</v>
      </c>
      <c r="X38" s="3">
        <f>IF(ISBLANK('Paste Full'!AI38),"",'Paste Full'!AI38)</f>
        <v>15</v>
      </c>
      <c r="Y38" s="3">
        <f>IF(ISBLANK('Paste Full'!AK38),"",'Paste Full'!AK38)</f>
        <v>11</v>
      </c>
      <c r="Z38" s="3">
        <f>IF(ISBLANK('Paste Full'!AL38),"",'Paste Full'!AL38)</f>
        <v>3</v>
      </c>
      <c r="AA38" s="4">
        <f>IF(ISBLANK('Paste Full'!AM38),"",'Paste Full'!AM38)</f>
        <v>3</v>
      </c>
      <c r="AB38" s="4">
        <f>IF(ISBLANK('Paste Full'!AN38),"",'Paste Full'!AN38)</f>
        <v>3</v>
      </c>
      <c r="AC38" s="4">
        <f>IF(ISBLANK('Paste Full'!AO38),"",'Paste Full'!AO38)</f>
        <v>2</v>
      </c>
      <c r="AD38" s="4">
        <f>IF(ISBLANK('Paste Full'!AP38),"",'Paste Full'!AP38)</f>
        <v>2</v>
      </c>
      <c r="AE38" s="4">
        <f>IF(ISBLANK('Paste Full'!AQ38),"",'Paste Full'!AQ38)</f>
        <v>3</v>
      </c>
      <c r="AF38" s="4">
        <f>IF(ISBLANK('Paste Full'!AR38),"",'Paste Full'!AR38)</f>
        <v>3</v>
      </c>
      <c r="AG38" s="4">
        <f>IF(ISBLANK('Paste Full'!AS38),"",'Paste Full'!AS38)</f>
        <v>1</v>
      </c>
      <c r="AH38" s="4">
        <f>IF(ISBLANK('Paste Full'!AV38),"",'Paste Full'!AV38)</f>
        <v>2</v>
      </c>
      <c r="AI38" s="4">
        <f>IF(ISBLANK('Paste Full'!AT38),"",'Paste Full'!AT38)</f>
        <v>1</v>
      </c>
      <c r="AJ38" s="4">
        <f>IF(ISBLANK('Paste Full'!AU38),"",'Paste Full'!AU38)</f>
        <v>1</v>
      </c>
      <c r="AK38" s="4">
        <f>IF(ISBLANK('Paste Full'!AW38),"",'Paste Full'!AW38)</f>
        <v>1</v>
      </c>
      <c r="AL38" s="5">
        <f>IF(ISBLANK('Paste Full'!AX38),"",'Paste Full'!AX38)</f>
        <v>9</v>
      </c>
      <c r="AM38" s="5">
        <f>IF(ISBLANK('Paste Full'!AY38),"",'Paste Full'!AY38)</f>
        <v>8</v>
      </c>
      <c r="AN38" s="5">
        <f>IF(ISBLANK('Paste Full'!AZ38),"",'Paste Full'!AZ38)</f>
        <v>9</v>
      </c>
      <c r="AO38" s="5">
        <f>IF(ISBLANK('Paste Full'!BA38),"",'Paste Full'!BA38)</f>
        <v>7</v>
      </c>
      <c r="AP38" s="5">
        <f>IF(ISBLANK('Paste Full'!BB38),"",'Paste Full'!BB38)</f>
        <v>3</v>
      </c>
      <c r="AQ38" s="5">
        <f>IF(ISBLANK('Paste Full'!BC38),"",'Paste Full'!BC38)</f>
        <v>8</v>
      </c>
      <c r="AR38" s="5">
        <f>IF(ISBLANK('Paste Full'!BD38),"",'Paste Full'!BD38)</f>
        <v>9</v>
      </c>
      <c r="AS38" s="5">
        <f>IF(ISBLANK('Paste Full'!BE38),"",'Paste Full'!BE38)</f>
        <v>13</v>
      </c>
      <c r="AT38" s="5">
        <f>IF(ISBLANK('Paste Full'!BF38),"",'Paste Full'!BF38)</f>
        <v>9</v>
      </c>
      <c r="AU38" s="5">
        <f>IF(ISBLANK('Paste Full'!BG38),"",'Paste Full'!BG38)</f>
        <v>9</v>
      </c>
      <c r="AV38" s="5">
        <f>IF(ISBLANK('Paste Full'!BH38),"",'Paste Full'!BH38)</f>
        <v>1</v>
      </c>
      <c r="AW38" s="5">
        <f>IF(ISBLANK('Paste Full'!BI38),"",'Paste Full'!BI38)</f>
        <v>3</v>
      </c>
      <c r="AX38" s="5">
        <f>IF(ISBLANK('Paste Full'!BJ38),"",'Paste Full'!BJ38)</f>
        <v>8</v>
      </c>
      <c r="AY38" s="5">
        <f>IF(ISBLANK('Paste Full'!BK38),"",'Paste Full'!BK38)</f>
        <v>7</v>
      </c>
      <c r="AZ38" s="6">
        <f>IF(ISBLANK('Paste Full'!BM38),"",'Paste Full'!BM38)</f>
        <v>8</v>
      </c>
      <c r="BA38" s="6">
        <f>IF(ISBLANK('Paste Full'!BN38),"",'Paste Full'!BN38)</f>
        <v>5</v>
      </c>
      <c r="BB38" s="6">
        <f>IF(ISBLANK('Paste Full'!BO38),"",'Paste Full'!BO38)</f>
        <v>6</v>
      </c>
      <c r="BC38" s="6">
        <f>IF(ISBLANK('Paste Full'!BP38),"",'Paste Full'!BP38)</f>
        <v>13</v>
      </c>
      <c r="BD38" s="6">
        <f>IF(ISBLANK('Paste Full'!BR38),"",'Paste Full'!BR38)</f>
        <v>1</v>
      </c>
      <c r="BE38" s="6">
        <f>IF(ISBLANK('Paste Full'!BS38),"",'Paste Full'!BS38)</f>
        <v>2</v>
      </c>
      <c r="BF38" s="6">
        <f>IF(ISBLANK('Paste Full'!BU38),"",'Paste Full'!BU38)</f>
        <v>5</v>
      </c>
      <c r="BG38" s="6">
        <f>IF(ISBLANK('Paste Full'!BV38),"",'Paste Full'!BV38)</f>
        <v>7</v>
      </c>
      <c r="BH38" s="6">
        <f>IF(ISBLANK('Paste Full'!BX38),"",'Paste Full'!BX38)</f>
        <v>1</v>
      </c>
      <c r="BI38" s="6">
        <f>IF(ISBLANK('Paste Full'!BY38),"",'Paste Full'!BY38)</f>
        <v>11</v>
      </c>
      <c r="BJ38" s="13">
        <f>IF(ISBLANK('Paste Full'!BL38),"",'Paste Full'!BL38)</f>
        <v>3</v>
      </c>
      <c r="BK38" s="13">
        <f>IF(ISBLANK('Paste Full'!BQ38),"",'Paste Full'!BQ38)</f>
        <v>1</v>
      </c>
      <c r="BL38" s="13">
        <f>IF(ISBLANK('Paste Full'!BT38),"",'Paste Full'!BT38)</f>
        <v>3</v>
      </c>
      <c r="BM38" s="13">
        <f>IF(ISBLANK('Paste Full'!BW38),"",'Paste Full'!BW38)</f>
        <v>2</v>
      </c>
      <c r="BN38" s="41">
        <f>IF(ISBLANK('Paste Full'!BZ38),"",'Paste Full'!BZ38)</f>
        <v>1</v>
      </c>
      <c r="BO38" s="41">
        <f>IF(ISBLANK('Paste Full'!CA38),"",'Paste Full'!CA38)</f>
        <v>1</v>
      </c>
      <c r="BP38" s="41">
        <f>IF(ISBLANK('Paste Full'!CB38),"",'Paste Full'!CB38)</f>
        <v>1</v>
      </c>
      <c r="BQ38" s="41">
        <f>IF(ISBLANK('Paste Full'!CC38),"",'Paste Full'!CC38)</f>
        <v>1</v>
      </c>
      <c r="BR38" s="41">
        <f>IF(ISBLANK('Paste Full'!CD38),"",'Paste Full'!CD38)</f>
        <v>1</v>
      </c>
      <c r="BS38" s="41">
        <f>IF(ISBLANK('Paste Full'!CE38),"",'Paste Full'!CE38)</f>
        <v>20</v>
      </c>
      <c r="BT38" s="41">
        <f>IF(ISBLANK('Paste Full'!CF38),"",'Paste Full'!CF38)</f>
        <v>10</v>
      </c>
      <c r="BU38" s="41">
        <f>IF(ISBLANK('Paste Full'!CG38),"",'Paste Full'!CG38)</f>
        <v>1</v>
      </c>
      <c r="BV38" s="41">
        <f>IF(ISBLANK('Paste Full'!CH38),"",'Paste Full'!CH38)</f>
        <v>1</v>
      </c>
    </row>
    <row r="39" spans="1:74" x14ac:dyDescent="0.3">
      <c r="A39" t="str">
        <f>IF(ISBLANK('Paste Full'!C39),"",'Paste Full'!C39)</f>
        <v>Henry Gregory</v>
      </c>
      <c r="B39" t="str">
        <f t="shared" si="1"/>
        <v>AM(R)</v>
      </c>
      <c r="C39" s="2">
        <f>IF(ISBLANK('Paste Full'!H39),"",'Paste Full'!H39)</f>
        <v>18</v>
      </c>
      <c r="D39" s="2">
        <f>IF(ISBLANK('Paste Full'!F39),"",'Paste Full'!F39)</f>
        <v>77</v>
      </c>
      <c r="E39" s="2">
        <f>IF(ISBLANK('Paste Full'!G39),"",'Paste Full'!G39)</f>
        <v>90</v>
      </c>
      <c r="F39" s="21" t="str">
        <f>IF(ISBLANK('Paste Full'!E39),"",'Paste Full'!E39)</f>
        <v>England</v>
      </c>
      <c r="G39" t="str">
        <f>IF(ISBLANK('Paste Full'!CI39),"",'Paste Full'!CI39)</f>
        <v>Havant &amp; Waterlooville</v>
      </c>
      <c r="H39" s="21" t="str">
        <f>IF(ISBLANK('Paste Full'!J39),"",'Paste Full'!J39)</f>
        <v>$152,305</v>
      </c>
      <c r="I39" s="21" t="str">
        <f>IF(ISBLANK('Paste Full'!D39),"",'Paste Full'!D39)</f>
        <v>M/AM L</v>
      </c>
      <c r="J39" s="14">
        <f>AVERAGE(SUMPRODUCT($S39:$BM39,AttWeights!$C$10:$AW$10)/SUM(AttWeights!$C$10:$AW$10),SUMPRODUCT($S39:$BM39,AttWeights!$C$17:$AW$17)/SUM(AttWeights!$C$17:$AW$17))*10</f>
        <v>76.323019624695604</v>
      </c>
      <c r="K39" s="14">
        <f>AVERAGE(SUMPRODUCT($S39:$BM39,AttWeights!$C$7:$AW$7)/SUM(AttWeights!$C$7:$AW$7),SUMPRODUCT($S39:$BM39,AttWeights!$C$15:$AW$15)/SUM(AttWeights!$C$15:$AW$15))*10</f>
        <v>80.646801257750752</v>
      </c>
      <c r="L39" s="14">
        <f>AVERAGE(SUMPRODUCT($S39:$BM39,AttWeights!$C$8:$AW$8)/SUM(AttWeights!$C$8:$AW$8),SUMPRODUCT($S39:$BM39,AttWeights!$C$16:$AW$16)/SUM(AttWeights!$C$16:$AW$16))*10</f>
        <v>81.15716189773984</v>
      </c>
      <c r="M39" s="14">
        <f>AVERAGE(SUMPRODUCT($S39:$BM39,AttWeights!$C$9:$AW$9)/SUM(AttWeights!$C$9:$AW$9),SUMPRODUCT($S39:$BM39,AttWeights!$C$15:$AW$15)/SUM(AttWeights!$C$15:$AW$15))*10</f>
        <v>82.223191496235998</v>
      </c>
      <c r="N39" s="14">
        <f>AVERAGE(SUMPRODUCT($S39:$BM39,AttWeights!$C$6:$AW$6)/SUM(AttWeights!$C$6:$AW$6),SUMPRODUCT($S39:$BM39,AttWeights!$C$14:$AW$14)/SUM(AttWeights!$C$14:$AW$14))*10</f>
        <v>74.714697328737614</v>
      </c>
      <c r="O39" s="14">
        <f>AVERAGE(SUMPRODUCT($S39:$BM39,AttWeights!$C$5:$AW$5)/SUM(AttWeights!$C$5:$AW$5),SUMPRODUCT($S39:$BM39,AttWeights!$C$14:$AW$14)/SUM(AttWeights!$C$14:$AW$14))*10</f>
        <v>72.486464778676819</v>
      </c>
      <c r="P39" s="14">
        <f>AVERAGE(SUMPRODUCT($S39:$BM39,AttWeights!$C$4:$AW$4)/SUM(AttWeights!$C$4:$AW$4),SUMPRODUCT($S39:$BM39,AttWeights!$C$13:$AW$13)/SUM(AttWeights!$C$13:$AW$13))*10</f>
        <v>70.446428571428584</v>
      </c>
      <c r="Q39" s="14">
        <f>AVERAGE(SUMPRODUCT($S39:$BM39,AttWeights!$C$3:$AW$3)/SUM(AttWeights!$C$3:$AW$3),SUMPRODUCT($S39:$BM39,AttWeights!$C$12:$AW$12)/SUM(AttWeights!$C$12:$AW$12))*10</f>
        <v>74.04349186483104</v>
      </c>
      <c r="R39" s="14">
        <f>AVERAGE(SUMPRODUCT($S39:$BM39,AttWeights!$C$2:$AW$2)/SUM(AttWeights!$C$2:$AW$2),SUMPRODUCT($S39:$BM39,AttWeights!$C$11:$AW$11)/SUM(AttWeights!$C$11:$AW$11))*10</f>
        <v>50.463759213759218</v>
      </c>
      <c r="S39" s="3">
        <f>IF(ISBLANK('Paste Full'!AC39),"",'Paste Full'!AC39)</f>
        <v>14</v>
      </c>
      <c r="T39" s="3">
        <f>IF(ISBLANK('Paste Full'!AD39),"",'Paste Full'!AD39)</f>
        <v>14</v>
      </c>
      <c r="U39" s="3" t="str">
        <f>IF(ISBLANK('Paste Full'!AE39),"",'Paste Full'!AE39)</f>
        <v>$9</v>
      </c>
      <c r="V39" s="3">
        <f>IF(ISBLANK('Paste Full'!AF39),"",'Paste Full'!AF39)</f>
        <v>2</v>
      </c>
      <c r="W39" s="3">
        <f>IF(ISBLANK('Paste Full'!AH39),"",'Paste Full'!AH39)</f>
        <v>15</v>
      </c>
      <c r="X39" s="3">
        <f>IF(ISBLANK('Paste Full'!AI39),"",'Paste Full'!AI39)</f>
        <v>13</v>
      </c>
      <c r="Y39" s="3">
        <f>IF(ISBLANK('Paste Full'!AK39),"",'Paste Full'!AK39)</f>
        <v>13</v>
      </c>
      <c r="Z39" s="3">
        <f>IF(ISBLANK('Paste Full'!AL39),"",'Paste Full'!AL39)</f>
        <v>6</v>
      </c>
      <c r="AA39" s="4">
        <f>IF(ISBLANK('Paste Full'!AM39),"",'Paste Full'!AM39)</f>
        <v>3</v>
      </c>
      <c r="AB39" s="4">
        <f>IF(ISBLANK('Paste Full'!AN39),"",'Paste Full'!AN39)</f>
        <v>2</v>
      </c>
      <c r="AC39" s="4">
        <f>IF(ISBLANK('Paste Full'!AO39),"",'Paste Full'!AO39)</f>
        <v>3</v>
      </c>
      <c r="AD39" s="4">
        <f>IF(ISBLANK('Paste Full'!AP39),"",'Paste Full'!AP39)</f>
        <v>2</v>
      </c>
      <c r="AE39" s="4">
        <f>IF(ISBLANK('Paste Full'!AQ39),"",'Paste Full'!AQ39)</f>
        <v>2</v>
      </c>
      <c r="AF39" s="4">
        <f>IF(ISBLANK('Paste Full'!AR39),"",'Paste Full'!AR39)</f>
        <v>3</v>
      </c>
      <c r="AG39" s="4">
        <f>IF(ISBLANK('Paste Full'!AS39),"",'Paste Full'!AS39)</f>
        <v>1</v>
      </c>
      <c r="AH39" s="4">
        <f>IF(ISBLANK('Paste Full'!AV39),"",'Paste Full'!AV39)</f>
        <v>1</v>
      </c>
      <c r="AI39" s="4">
        <f>IF(ISBLANK('Paste Full'!AT39),"",'Paste Full'!AT39)</f>
        <v>2</v>
      </c>
      <c r="AJ39" s="4">
        <f>IF(ISBLANK('Paste Full'!AU39),"",'Paste Full'!AU39)</f>
        <v>2</v>
      </c>
      <c r="AK39" s="4">
        <f>IF(ISBLANK('Paste Full'!AW39),"",'Paste Full'!AW39)</f>
        <v>4</v>
      </c>
      <c r="AL39" s="5">
        <f>IF(ISBLANK('Paste Full'!AX39),"",'Paste Full'!AX39)</f>
        <v>11</v>
      </c>
      <c r="AM39" s="5">
        <f>IF(ISBLANK('Paste Full'!AY39),"",'Paste Full'!AY39)</f>
        <v>8</v>
      </c>
      <c r="AN39" s="5">
        <f>IF(ISBLANK('Paste Full'!AZ39),"",'Paste Full'!AZ39)</f>
        <v>8</v>
      </c>
      <c r="AO39" s="5">
        <f>IF(ISBLANK('Paste Full'!BA39),"",'Paste Full'!BA39)</f>
        <v>8</v>
      </c>
      <c r="AP39" s="5">
        <f>IF(ISBLANK('Paste Full'!BB39),"",'Paste Full'!BB39)</f>
        <v>6</v>
      </c>
      <c r="AQ39" s="5">
        <f>IF(ISBLANK('Paste Full'!BC39),"",'Paste Full'!BC39)</f>
        <v>7</v>
      </c>
      <c r="AR39" s="5">
        <f>IF(ISBLANK('Paste Full'!BD39),"",'Paste Full'!BD39)</f>
        <v>8</v>
      </c>
      <c r="AS39" s="5">
        <f>IF(ISBLANK('Paste Full'!BE39),"",'Paste Full'!BE39)</f>
        <v>14</v>
      </c>
      <c r="AT39" s="5">
        <f>IF(ISBLANK('Paste Full'!BF39),"",'Paste Full'!BF39)</f>
        <v>7</v>
      </c>
      <c r="AU39" s="5">
        <f>IF(ISBLANK('Paste Full'!BG39),"",'Paste Full'!BG39)</f>
        <v>9</v>
      </c>
      <c r="AV39" s="5">
        <f>IF(ISBLANK('Paste Full'!BH39),"",'Paste Full'!BH39)</f>
        <v>3</v>
      </c>
      <c r="AW39" s="5">
        <f>IF(ISBLANK('Paste Full'!BI39),"",'Paste Full'!BI39)</f>
        <v>7</v>
      </c>
      <c r="AX39" s="5">
        <f>IF(ISBLANK('Paste Full'!BJ39),"",'Paste Full'!BJ39)</f>
        <v>7</v>
      </c>
      <c r="AY39" s="5">
        <f>IF(ISBLANK('Paste Full'!BK39),"",'Paste Full'!BK39)</f>
        <v>8</v>
      </c>
      <c r="AZ39" s="6">
        <f>IF(ISBLANK('Paste Full'!BM39),"",'Paste Full'!BM39)</f>
        <v>10</v>
      </c>
      <c r="BA39" s="6">
        <f>IF(ISBLANK('Paste Full'!BN39),"",'Paste Full'!BN39)</f>
        <v>9</v>
      </c>
      <c r="BB39" s="6">
        <f>IF(ISBLANK('Paste Full'!BO39),"",'Paste Full'!BO39)</f>
        <v>5</v>
      </c>
      <c r="BC39" s="6">
        <f>IF(ISBLANK('Paste Full'!BP39),"",'Paste Full'!BP39)</f>
        <v>9</v>
      </c>
      <c r="BD39" s="6">
        <f>IF(ISBLANK('Paste Full'!BR39),"",'Paste Full'!BR39)</f>
        <v>9</v>
      </c>
      <c r="BE39" s="6">
        <f>IF(ISBLANK('Paste Full'!BS39),"",'Paste Full'!BS39)</f>
        <v>3</v>
      </c>
      <c r="BF39" s="6">
        <f>IF(ISBLANK('Paste Full'!BU39),"",'Paste Full'!BU39)</f>
        <v>7</v>
      </c>
      <c r="BG39" s="6">
        <f>IF(ISBLANK('Paste Full'!BV39),"",'Paste Full'!BV39)</f>
        <v>6</v>
      </c>
      <c r="BH39" s="6">
        <f>IF(ISBLANK('Paste Full'!BX39),"",'Paste Full'!BX39)</f>
        <v>1</v>
      </c>
      <c r="BI39" s="6">
        <f>IF(ISBLANK('Paste Full'!BY39),"",'Paste Full'!BY39)</f>
        <v>14</v>
      </c>
      <c r="BJ39" s="13">
        <f>IF(ISBLANK('Paste Full'!BL39),"",'Paste Full'!BL39)</f>
        <v>4</v>
      </c>
      <c r="BK39" s="13">
        <f>IF(ISBLANK('Paste Full'!BQ39),"",'Paste Full'!BQ39)</f>
        <v>7</v>
      </c>
      <c r="BL39" s="13">
        <f>IF(ISBLANK('Paste Full'!BT39),"",'Paste Full'!BT39)</f>
        <v>1</v>
      </c>
      <c r="BM39" s="13">
        <f>IF(ISBLANK('Paste Full'!BW39),"",'Paste Full'!BW39)</f>
        <v>4</v>
      </c>
      <c r="BN39" s="41">
        <f>IF(ISBLANK('Paste Full'!BZ39),"",'Paste Full'!BZ39)</f>
        <v>1</v>
      </c>
      <c r="BO39" s="41">
        <f>IF(ISBLANK('Paste Full'!CA39),"",'Paste Full'!CA39)</f>
        <v>2</v>
      </c>
      <c r="BP39" s="41">
        <f>IF(ISBLANK('Paste Full'!CB39),"",'Paste Full'!CB39)</f>
        <v>1</v>
      </c>
      <c r="BQ39" s="41">
        <f>IF(ISBLANK('Paste Full'!CC39),"",'Paste Full'!CC39)</f>
        <v>2</v>
      </c>
      <c r="BR39" s="41">
        <f>IF(ISBLANK('Paste Full'!CD39),"",'Paste Full'!CD39)</f>
        <v>1</v>
      </c>
      <c r="BS39" s="41">
        <f>IF(ISBLANK('Paste Full'!CE39),"",'Paste Full'!CE39)</f>
        <v>1</v>
      </c>
      <c r="BT39" s="41">
        <f>IF(ISBLANK('Paste Full'!CF39),"",'Paste Full'!CF39)</f>
        <v>1</v>
      </c>
      <c r="BU39" s="41">
        <f>IF(ISBLANK('Paste Full'!CG39),"",'Paste Full'!CG39)</f>
        <v>20</v>
      </c>
      <c r="BV39" s="41">
        <f>IF(ISBLANK('Paste Full'!CH39),"",'Paste Full'!CH39)</f>
        <v>1</v>
      </c>
    </row>
    <row r="40" spans="1:74" x14ac:dyDescent="0.3">
      <c r="A40" t="str">
        <f>IF(ISBLANK('Paste Full'!C40),"",'Paste Full'!C40)</f>
        <v>Ian Webster</v>
      </c>
      <c r="B40" t="str">
        <f t="shared" si="1"/>
        <v>AM(R)</v>
      </c>
      <c r="C40" s="2">
        <f>IF(ISBLANK('Paste Full'!H40),"",'Paste Full'!H40)</f>
        <v>17</v>
      </c>
      <c r="D40" s="2">
        <f>IF(ISBLANK('Paste Full'!F40),"",'Paste Full'!F40)</f>
        <v>53</v>
      </c>
      <c r="E40" s="2">
        <f>IF(ISBLANK('Paste Full'!G40),"",'Paste Full'!G40)</f>
        <v>90</v>
      </c>
      <c r="F40" s="21" t="str">
        <f>IF(ISBLANK('Paste Full'!E40),"",'Paste Full'!E40)</f>
        <v>England,Republic of Ireland</v>
      </c>
      <c r="G40" t="str">
        <f>IF(ISBLANK('Paste Full'!CI40),"",'Paste Full'!CI40)</f>
        <v>Buckland Athletic</v>
      </c>
      <c r="H40" s="21" t="str">
        <f>IF(ISBLANK('Paste Full'!J40),"",'Paste Full'!J40)</f>
        <v>$35,763</v>
      </c>
      <c r="I40" s="21" t="str">
        <f>IF(ISBLANK('Paste Full'!D40),"",'Paste Full'!D40)</f>
        <v>M/AM R</v>
      </c>
      <c r="J40" s="14">
        <f>AVERAGE(SUMPRODUCT($S40:$BM40,AttWeights!$C$10:$AW$10)/SUM(AttWeights!$C$10:$AW$10),SUMPRODUCT($S40:$BM40,AttWeights!$C$17:$AW$17)/SUM(AttWeights!$C$17:$AW$17))*10</f>
        <v>66.645466265577994</v>
      </c>
      <c r="K40" s="14">
        <f>AVERAGE(SUMPRODUCT($S40:$BM40,AttWeights!$C$7:$AW$7)/SUM(AttWeights!$C$7:$AW$7),SUMPRODUCT($S40:$BM40,AttWeights!$C$15:$AW$15)/SUM(AttWeights!$C$15:$AW$15))*10</f>
        <v>72.940727026947613</v>
      </c>
      <c r="L40" s="14">
        <f>AVERAGE(SUMPRODUCT($S40:$BM40,AttWeights!$C$8:$AW$8)/SUM(AttWeights!$C$8:$AW$8),SUMPRODUCT($S40:$BM40,AttWeights!$C$16:$AW$16)/SUM(AttWeights!$C$16:$AW$16))*10</f>
        <v>73.355925474293173</v>
      </c>
      <c r="M40" s="14">
        <f>AVERAGE(SUMPRODUCT($S40:$BM40,AttWeights!$C$9:$AW$9)/SUM(AttWeights!$C$9:$AW$9),SUMPRODUCT($S40:$BM40,AttWeights!$C$15:$AW$15)/SUM(AttWeights!$C$15:$AW$15))*10</f>
        <v>75.373332040967981</v>
      </c>
      <c r="N40" s="14">
        <f>AVERAGE(SUMPRODUCT($S40:$BM40,AttWeights!$C$6:$AW$6)/SUM(AttWeights!$C$6:$AW$6),SUMPRODUCT($S40:$BM40,AttWeights!$C$14:$AW$14)/SUM(AttWeights!$C$14:$AW$14))*10</f>
        <v>66.685157259801812</v>
      </c>
      <c r="O40" s="14">
        <f>AVERAGE(SUMPRODUCT($S40:$BM40,AttWeights!$C$5:$AW$5)/SUM(AttWeights!$C$5:$AW$5),SUMPRODUCT($S40:$BM40,AttWeights!$C$14:$AW$14)/SUM(AttWeights!$C$14:$AW$14))*10</f>
        <v>65.745478343645885</v>
      </c>
      <c r="P40" s="14">
        <f>AVERAGE(SUMPRODUCT($S40:$BM40,AttWeights!$C$4:$AW$4)/SUM(AttWeights!$C$4:$AW$4),SUMPRODUCT($S40:$BM40,AttWeights!$C$13:$AW$13)/SUM(AttWeights!$C$13:$AW$13))*10</f>
        <v>59.144917582417584</v>
      </c>
      <c r="Q40" s="14">
        <f>AVERAGE(SUMPRODUCT($S40:$BM40,AttWeights!$C$3:$AW$3)/SUM(AttWeights!$C$3:$AW$3),SUMPRODUCT($S40:$BM40,AttWeights!$C$12:$AW$12)/SUM(AttWeights!$C$12:$AW$12))*10</f>
        <v>66.607321652065082</v>
      </c>
      <c r="R40" s="14">
        <f>AVERAGE(SUMPRODUCT($S40:$BM40,AttWeights!$C$2:$AW$2)/SUM(AttWeights!$C$2:$AW$2),SUMPRODUCT($S40:$BM40,AttWeights!$C$11:$AW$11)/SUM(AttWeights!$C$11:$AW$11))*10</f>
        <v>44.711740961740958</v>
      </c>
      <c r="S40" s="3">
        <f>IF(ISBLANK('Paste Full'!AC40),"",'Paste Full'!AC40)</f>
        <v>13</v>
      </c>
      <c r="T40" s="3">
        <f>IF(ISBLANK('Paste Full'!AD40),"",'Paste Full'!AD40)</f>
        <v>10</v>
      </c>
      <c r="U40" s="3" t="str">
        <f>IF(ISBLANK('Paste Full'!AE40),"",'Paste Full'!AE40)</f>
        <v>$9</v>
      </c>
      <c r="V40" s="3">
        <f>IF(ISBLANK('Paste Full'!AF40),"",'Paste Full'!AF40)</f>
        <v>4</v>
      </c>
      <c r="W40" s="3">
        <f>IF(ISBLANK('Paste Full'!AH40),"",'Paste Full'!AH40)</f>
        <v>15</v>
      </c>
      <c r="X40" s="3">
        <f>IF(ISBLANK('Paste Full'!AI40),"",'Paste Full'!AI40)</f>
        <v>11</v>
      </c>
      <c r="Y40" s="3">
        <f>IF(ISBLANK('Paste Full'!AK40),"",'Paste Full'!AK40)</f>
        <v>7</v>
      </c>
      <c r="Z40" s="3">
        <f>IF(ISBLANK('Paste Full'!AL40),"",'Paste Full'!AL40)</f>
        <v>5</v>
      </c>
      <c r="AA40" s="4">
        <f>IF(ISBLANK('Paste Full'!AM40),"",'Paste Full'!AM40)</f>
        <v>2</v>
      </c>
      <c r="AB40" s="4">
        <f>IF(ISBLANK('Paste Full'!AN40),"",'Paste Full'!AN40)</f>
        <v>3</v>
      </c>
      <c r="AC40" s="4">
        <f>IF(ISBLANK('Paste Full'!AO40),"",'Paste Full'!AO40)</f>
        <v>3</v>
      </c>
      <c r="AD40" s="4">
        <f>IF(ISBLANK('Paste Full'!AP40),"",'Paste Full'!AP40)</f>
        <v>2</v>
      </c>
      <c r="AE40" s="4">
        <f>IF(ISBLANK('Paste Full'!AQ40),"",'Paste Full'!AQ40)</f>
        <v>2</v>
      </c>
      <c r="AF40" s="4">
        <f>IF(ISBLANK('Paste Full'!AR40),"",'Paste Full'!AR40)</f>
        <v>1</v>
      </c>
      <c r="AG40" s="4">
        <f>IF(ISBLANK('Paste Full'!AS40),"",'Paste Full'!AS40)</f>
        <v>1</v>
      </c>
      <c r="AH40" s="4">
        <f>IF(ISBLANK('Paste Full'!AV40),"",'Paste Full'!AV40)</f>
        <v>3</v>
      </c>
      <c r="AI40" s="4">
        <f>IF(ISBLANK('Paste Full'!AT40),"",'Paste Full'!AT40)</f>
        <v>1</v>
      </c>
      <c r="AJ40" s="4">
        <f>IF(ISBLANK('Paste Full'!AU40),"",'Paste Full'!AU40)</f>
        <v>1</v>
      </c>
      <c r="AK40" s="4">
        <f>IF(ISBLANK('Paste Full'!AW40),"",'Paste Full'!AW40)</f>
        <v>2</v>
      </c>
      <c r="AL40" s="5">
        <f>IF(ISBLANK('Paste Full'!AX40),"",'Paste Full'!AX40)</f>
        <v>10</v>
      </c>
      <c r="AM40" s="5">
        <f>IF(ISBLANK('Paste Full'!AY40),"",'Paste Full'!AY40)</f>
        <v>8</v>
      </c>
      <c r="AN40" s="5">
        <f>IF(ISBLANK('Paste Full'!AZ40),"",'Paste Full'!AZ40)</f>
        <v>7</v>
      </c>
      <c r="AO40" s="5">
        <f>IF(ISBLANK('Paste Full'!BA40),"",'Paste Full'!BA40)</f>
        <v>6</v>
      </c>
      <c r="AP40" s="5">
        <f>IF(ISBLANK('Paste Full'!BB40),"",'Paste Full'!BB40)</f>
        <v>3</v>
      </c>
      <c r="AQ40" s="5">
        <f>IF(ISBLANK('Paste Full'!BC40),"",'Paste Full'!BC40)</f>
        <v>7</v>
      </c>
      <c r="AR40" s="5">
        <f>IF(ISBLANK('Paste Full'!BD40),"",'Paste Full'!BD40)</f>
        <v>3</v>
      </c>
      <c r="AS40" s="5">
        <f>IF(ISBLANK('Paste Full'!BE40),"",'Paste Full'!BE40)</f>
        <v>12</v>
      </c>
      <c r="AT40" s="5">
        <f>IF(ISBLANK('Paste Full'!BF40),"",'Paste Full'!BF40)</f>
        <v>15</v>
      </c>
      <c r="AU40" s="5">
        <f>IF(ISBLANK('Paste Full'!BG40),"",'Paste Full'!BG40)</f>
        <v>8</v>
      </c>
      <c r="AV40" s="5">
        <f>IF(ISBLANK('Paste Full'!BH40),"",'Paste Full'!BH40)</f>
        <v>4</v>
      </c>
      <c r="AW40" s="5">
        <f>IF(ISBLANK('Paste Full'!BI40),"",'Paste Full'!BI40)</f>
        <v>12</v>
      </c>
      <c r="AX40" s="5">
        <f>IF(ISBLANK('Paste Full'!BJ40),"",'Paste Full'!BJ40)</f>
        <v>6</v>
      </c>
      <c r="AY40" s="5">
        <f>IF(ISBLANK('Paste Full'!BK40),"",'Paste Full'!BK40)</f>
        <v>9</v>
      </c>
      <c r="AZ40" s="6">
        <f>IF(ISBLANK('Paste Full'!BM40),"",'Paste Full'!BM40)</f>
        <v>11</v>
      </c>
      <c r="BA40" s="6">
        <f>IF(ISBLANK('Paste Full'!BN40),"",'Paste Full'!BN40)</f>
        <v>9</v>
      </c>
      <c r="BB40" s="6">
        <f>IF(ISBLANK('Paste Full'!BO40),"",'Paste Full'!BO40)</f>
        <v>6</v>
      </c>
      <c r="BC40" s="6">
        <f>IF(ISBLANK('Paste Full'!BP40),"",'Paste Full'!BP40)</f>
        <v>10</v>
      </c>
      <c r="BD40" s="6">
        <f>IF(ISBLANK('Paste Full'!BR40),"",'Paste Full'!BR40)</f>
        <v>1</v>
      </c>
      <c r="BE40" s="6">
        <f>IF(ISBLANK('Paste Full'!BS40),"",'Paste Full'!BS40)</f>
        <v>4</v>
      </c>
      <c r="BF40" s="6">
        <f>IF(ISBLANK('Paste Full'!BU40),"",'Paste Full'!BU40)</f>
        <v>3</v>
      </c>
      <c r="BG40" s="6">
        <f>IF(ISBLANK('Paste Full'!BV40),"",'Paste Full'!BV40)</f>
        <v>7</v>
      </c>
      <c r="BH40" s="6">
        <f>IF(ISBLANK('Paste Full'!BX40),"",'Paste Full'!BX40)</f>
        <v>2</v>
      </c>
      <c r="BI40" s="6">
        <f>IF(ISBLANK('Paste Full'!BY40),"",'Paste Full'!BY40)</f>
        <v>7</v>
      </c>
      <c r="BJ40" s="13">
        <f>IF(ISBLANK('Paste Full'!BL40),"",'Paste Full'!BL40)</f>
        <v>6</v>
      </c>
      <c r="BK40" s="13">
        <f>IF(ISBLANK('Paste Full'!BQ40),"",'Paste Full'!BQ40)</f>
        <v>3</v>
      </c>
      <c r="BL40" s="13">
        <f>IF(ISBLANK('Paste Full'!BT40),"",'Paste Full'!BT40)</f>
        <v>3</v>
      </c>
      <c r="BM40" s="13">
        <f>IF(ISBLANK('Paste Full'!BW40),"",'Paste Full'!BW40)</f>
        <v>6</v>
      </c>
      <c r="BN40" s="41">
        <f>IF(ISBLANK('Paste Full'!BZ40),"",'Paste Full'!BZ40)</f>
        <v>1</v>
      </c>
      <c r="BO40" s="41">
        <f>IF(ISBLANK('Paste Full'!CA40),"",'Paste Full'!CA40)</f>
        <v>3</v>
      </c>
      <c r="BP40" s="41">
        <f>IF(ISBLANK('Paste Full'!CB40),"",'Paste Full'!CB40)</f>
        <v>1</v>
      </c>
      <c r="BQ40" s="41">
        <f>IF(ISBLANK('Paste Full'!CC40),"",'Paste Full'!CC40)</f>
        <v>1</v>
      </c>
      <c r="BR40" s="41">
        <f>IF(ISBLANK('Paste Full'!CD40),"",'Paste Full'!CD40)</f>
        <v>1</v>
      </c>
      <c r="BS40" s="41">
        <f>IF(ISBLANK('Paste Full'!CE40),"",'Paste Full'!CE40)</f>
        <v>16</v>
      </c>
      <c r="BT40" s="41">
        <f>IF(ISBLANK('Paste Full'!CF40),"",'Paste Full'!CF40)</f>
        <v>1</v>
      </c>
      <c r="BU40" s="41">
        <f>IF(ISBLANK('Paste Full'!CG40),"",'Paste Full'!CG40)</f>
        <v>1</v>
      </c>
      <c r="BV40" s="41">
        <f>IF(ISBLANK('Paste Full'!CH40),"",'Paste Full'!CH40)</f>
        <v>1</v>
      </c>
    </row>
    <row r="41" spans="1:74" x14ac:dyDescent="0.3">
      <c r="A41" t="str">
        <f>IF(ISBLANK('Paste Full'!C41),"",'Paste Full'!C41)</f>
        <v>Jay Brown</v>
      </c>
      <c r="B41" t="str">
        <f t="shared" si="1"/>
        <v>DM(L)</v>
      </c>
      <c r="C41" s="2">
        <f>IF(ISBLANK('Paste Full'!H41),"",'Paste Full'!H41)</f>
        <v>20</v>
      </c>
      <c r="D41" s="2">
        <f>IF(ISBLANK('Paste Full'!F41),"",'Paste Full'!F41)</f>
        <v>63</v>
      </c>
      <c r="E41" s="2">
        <f>IF(ISBLANK('Paste Full'!G41),"",'Paste Full'!G41)</f>
        <v>105</v>
      </c>
      <c r="F41" s="21" t="str">
        <f>IF(ISBLANK('Paste Full'!E41),"",'Paste Full'!E41)</f>
        <v>England</v>
      </c>
      <c r="G41" t="str">
        <f>IF(ISBLANK('Paste Full'!CI41),"",'Paste Full'!CI41)</f>
        <v/>
      </c>
      <c r="H41" s="21" t="str">
        <f>IF(ISBLANK('Paste Full'!J41),"",'Paste Full'!J41)</f>
        <v>$345,811</v>
      </c>
      <c r="I41" s="21" t="str">
        <f>IF(ISBLANK('Paste Full'!D41),"",'Paste Full'!D41)</f>
        <v>DM/M C</v>
      </c>
      <c r="J41" s="14">
        <f>AVERAGE(SUMPRODUCT($S41:$BM41,AttWeights!$C$10:$AW$10)/SUM(AttWeights!$C$10:$AW$10),SUMPRODUCT($S41:$BM41,AttWeights!$C$17:$AW$17)/SUM(AttWeights!$C$17:$AW$17))*10</f>
        <v>69.570118894141245</v>
      </c>
      <c r="K41" s="14">
        <f>AVERAGE(SUMPRODUCT($S41:$BM41,AttWeights!$C$7:$AW$7)/SUM(AttWeights!$C$7:$AW$7),SUMPRODUCT($S41:$BM41,AttWeights!$C$15:$AW$15)/SUM(AttWeights!$C$15:$AW$15))*10</f>
        <v>73.852743248405773</v>
      </c>
      <c r="L41" s="14">
        <f>AVERAGE(SUMPRODUCT($S41:$BM41,AttWeights!$C$8:$AW$8)/SUM(AttWeights!$C$8:$AW$8),SUMPRODUCT($S41:$BM41,AttWeights!$C$16:$AW$16)/SUM(AttWeights!$C$16:$AW$16))*10</f>
        <v>76.014519467997616</v>
      </c>
      <c r="M41" s="14">
        <f>AVERAGE(SUMPRODUCT($S41:$BM41,AttWeights!$C$9:$AW$9)/SUM(AttWeights!$C$9:$AW$9),SUMPRODUCT($S41:$BM41,AttWeights!$C$15:$AW$15)/SUM(AttWeights!$C$15:$AW$15))*10</f>
        <v>74.352201867467926</v>
      </c>
      <c r="N41" s="14">
        <f>AVERAGE(SUMPRODUCT($S41:$BM41,AttWeights!$C$6:$AW$6)/SUM(AttWeights!$C$6:$AW$6),SUMPRODUCT($S41:$BM41,AttWeights!$C$14:$AW$14)/SUM(AttWeights!$C$14:$AW$14))*10</f>
        <v>78.049062903920714</v>
      </c>
      <c r="O41" s="14">
        <f>AVERAGE(SUMPRODUCT($S41:$BM41,AttWeights!$C$5:$AW$5)/SUM(AttWeights!$C$5:$AW$5),SUMPRODUCT($S41:$BM41,AttWeights!$C$14:$AW$14)/SUM(AttWeights!$C$14:$AW$14))*10</f>
        <v>76.903557829604949</v>
      </c>
      <c r="P41" s="14">
        <f>AVERAGE(SUMPRODUCT($S41:$BM41,AttWeights!$C$4:$AW$4)/SUM(AttWeights!$C$4:$AW$4),SUMPRODUCT($S41:$BM41,AttWeights!$C$13:$AW$13)/SUM(AttWeights!$C$13:$AW$13))*10</f>
        <v>71.050824175824175</v>
      </c>
      <c r="Q41" s="14">
        <f>AVERAGE(SUMPRODUCT($S41:$BM41,AttWeights!$C$3:$AW$3)/SUM(AttWeights!$C$3:$AW$3),SUMPRODUCT($S41:$BM41,AttWeights!$C$12:$AW$12)/SUM(AttWeights!$C$12:$AW$12))*10</f>
        <v>74.199311639549435</v>
      </c>
      <c r="R41" s="14">
        <f>AVERAGE(SUMPRODUCT($S41:$BM41,AttWeights!$C$2:$AW$2)/SUM(AttWeights!$C$2:$AW$2),SUMPRODUCT($S41:$BM41,AttWeights!$C$11:$AW$11)/SUM(AttWeights!$C$11:$AW$11))*10</f>
        <v>57.096788346788344</v>
      </c>
      <c r="S41" s="3">
        <f>IF(ISBLANK('Paste Full'!AC41),"",'Paste Full'!AC41)</f>
        <v>10</v>
      </c>
      <c r="T41" s="3">
        <f>IF(ISBLANK('Paste Full'!AD41),"",'Paste Full'!AD41)</f>
        <v>13</v>
      </c>
      <c r="U41" s="3" t="str">
        <f>IF(ISBLANK('Paste Full'!AE41),"",'Paste Full'!AE41)</f>
        <v>$8</v>
      </c>
      <c r="V41" s="3">
        <f>IF(ISBLANK('Paste Full'!AF41),"",'Paste Full'!AF41)</f>
        <v>3</v>
      </c>
      <c r="W41" s="3">
        <f>IF(ISBLANK('Paste Full'!AH41),"",'Paste Full'!AH41)</f>
        <v>11</v>
      </c>
      <c r="X41" s="3">
        <f>IF(ISBLANK('Paste Full'!AI41),"",'Paste Full'!AI41)</f>
        <v>11</v>
      </c>
      <c r="Y41" s="3">
        <f>IF(ISBLANK('Paste Full'!AK41),"",'Paste Full'!AK41)</f>
        <v>9</v>
      </c>
      <c r="Z41" s="3">
        <f>IF(ISBLANK('Paste Full'!AL41),"",'Paste Full'!AL41)</f>
        <v>8</v>
      </c>
      <c r="AA41" s="4">
        <f>IF(ISBLANK('Paste Full'!AM41),"",'Paste Full'!AM41)</f>
        <v>3</v>
      </c>
      <c r="AB41" s="4">
        <f>IF(ISBLANK('Paste Full'!AN41),"",'Paste Full'!AN41)</f>
        <v>3</v>
      </c>
      <c r="AC41" s="4">
        <f>IF(ISBLANK('Paste Full'!AO41),"",'Paste Full'!AO41)</f>
        <v>3</v>
      </c>
      <c r="AD41" s="4">
        <f>IF(ISBLANK('Paste Full'!AP41),"",'Paste Full'!AP41)</f>
        <v>3</v>
      </c>
      <c r="AE41" s="4">
        <f>IF(ISBLANK('Paste Full'!AQ41),"",'Paste Full'!AQ41)</f>
        <v>1</v>
      </c>
      <c r="AF41" s="4">
        <f>IF(ISBLANK('Paste Full'!AR41),"",'Paste Full'!AR41)</f>
        <v>4</v>
      </c>
      <c r="AG41" s="4">
        <f>IF(ISBLANK('Paste Full'!AS41),"",'Paste Full'!AS41)</f>
        <v>4</v>
      </c>
      <c r="AH41" s="4">
        <f>IF(ISBLANK('Paste Full'!AV41),"",'Paste Full'!AV41)</f>
        <v>2</v>
      </c>
      <c r="AI41" s="4">
        <f>IF(ISBLANK('Paste Full'!AT41),"",'Paste Full'!AT41)</f>
        <v>3</v>
      </c>
      <c r="AJ41" s="4">
        <f>IF(ISBLANK('Paste Full'!AU41),"",'Paste Full'!AU41)</f>
        <v>3</v>
      </c>
      <c r="AK41" s="4">
        <f>IF(ISBLANK('Paste Full'!AW41),"",'Paste Full'!AW41)</f>
        <v>2</v>
      </c>
      <c r="AL41" s="5">
        <f>IF(ISBLANK('Paste Full'!AX41),"",'Paste Full'!AX41)</f>
        <v>9</v>
      </c>
      <c r="AM41" s="5">
        <f>IF(ISBLANK('Paste Full'!AY41),"",'Paste Full'!AY41)</f>
        <v>6</v>
      </c>
      <c r="AN41" s="5">
        <f>IF(ISBLANK('Paste Full'!AZ41),"",'Paste Full'!AZ41)</f>
        <v>4</v>
      </c>
      <c r="AO41" s="5">
        <f>IF(ISBLANK('Paste Full'!BA41),"",'Paste Full'!BA41)</f>
        <v>3</v>
      </c>
      <c r="AP41" s="5">
        <f>IF(ISBLANK('Paste Full'!BB41),"",'Paste Full'!BB41)</f>
        <v>9</v>
      </c>
      <c r="AQ41" s="5">
        <f>IF(ISBLANK('Paste Full'!BC41),"",'Paste Full'!BC41)</f>
        <v>13</v>
      </c>
      <c r="AR41" s="5">
        <f>IF(ISBLANK('Paste Full'!BD41),"",'Paste Full'!BD41)</f>
        <v>15</v>
      </c>
      <c r="AS41" s="5">
        <f>IF(ISBLANK('Paste Full'!BE41),"",'Paste Full'!BE41)</f>
        <v>7</v>
      </c>
      <c r="AT41" s="5">
        <f>IF(ISBLANK('Paste Full'!BF41),"",'Paste Full'!BF41)</f>
        <v>3</v>
      </c>
      <c r="AU41" s="5">
        <f>IF(ISBLANK('Paste Full'!BG41),"",'Paste Full'!BG41)</f>
        <v>7</v>
      </c>
      <c r="AV41" s="5">
        <f>IF(ISBLANK('Paste Full'!BH41),"",'Paste Full'!BH41)</f>
        <v>7</v>
      </c>
      <c r="AW41" s="5">
        <f>IF(ISBLANK('Paste Full'!BI41),"",'Paste Full'!BI41)</f>
        <v>7</v>
      </c>
      <c r="AX41" s="5">
        <f>IF(ISBLANK('Paste Full'!BJ41),"",'Paste Full'!BJ41)</f>
        <v>12</v>
      </c>
      <c r="AY41" s="5">
        <f>IF(ISBLANK('Paste Full'!BK41),"",'Paste Full'!BK41)</f>
        <v>10</v>
      </c>
      <c r="AZ41" s="6">
        <f>IF(ISBLANK('Paste Full'!BM41),"",'Paste Full'!BM41)</f>
        <v>1</v>
      </c>
      <c r="BA41" s="6">
        <f>IF(ISBLANK('Paste Full'!BN41),"",'Paste Full'!BN41)</f>
        <v>3</v>
      </c>
      <c r="BB41" s="6">
        <f>IF(ISBLANK('Paste Full'!BO41),"",'Paste Full'!BO41)</f>
        <v>2</v>
      </c>
      <c r="BC41" s="6">
        <f>IF(ISBLANK('Paste Full'!BP41),"",'Paste Full'!BP41)</f>
        <v>13</v>
      </c>
      <c r="BD41" s="6">
        <f>IF(ISBLANK('Paste Full'!BR41),"",'Paste Full'!BR41)</f>
        <v>3</v>
      </c>
      <c r="BE41" s="6">
        <f>IF(ISBLANK('Paste Full'!BS41),"",'Paste Full'!BS41)</f>
        <v>6</v>
      </c>
      <c r="BF41" s="6">
        <f>IF(ISBLANK('Paste Full'!BU41),"",'Paste Full'!BU41)</f>
        <v>6</v>
      </c>
      <c r="BG41" s="6">
        <f>IF(ISBLANK('Paste Full'!BV41),"",'Paste Full'!BV41)</f>
        <v>12</v>
      </c>
      <c r="BH41" s="6">
        <f>IF(ISBLANK('Paste Full'!BX41),"",'Paste Full'!BX41)</f>
        <v>9</v>
      </c>
      <c r="BI41" s="6">
        <f>IF(ISBLANK('Paste Full'!BY41),"",'Paste Full'!BY41)</f>
        <v>9</v>
      </c>
      <c r="BJ41" s="13">
        <f>IF(ISBLANK('Paste Full'!BL41),"",'Paste Full'!BL41)</f>
        <v>1</v>
      </c>
      <c r="BK41" s="13">
        <f>IF(ISBLANK('Paste Full'!BQ41),"",'Paste Full'!BQ41)</f>
        <v>3</v>
      </c>
      <c r="BL41" s="13">
        <f>IF(ISBLANK('Paste Full'!BT41),"",'Paste Full'!BT41)</f>
        <v>1</v>
      </c>
      <c r="BM41" s="13">
        <f>IF(ISBLANK('Paste Full'!BW41),"",'Paste Full'!BW41)</f>
        <v>3</v>
      </c>
      <c r="BN41" s="41">
        <f>IF(ISBLANK('Paste Full'!BZ41),"",'Paste Full'!BZ41)</f>
        <v>1</v>
      </c>
      <c r="BO41" s="41">
        <f>IF(ISBLANK('Paste Full'!CA41),"",'Paste Full'!CA41)</f>
        <v>1</v>
      </c>
      <c r="BP41" s="41">
        <f>IF(ISBLANK('Paste Full'!CB41),"",'Paste Full'!CB41)</f>
        <v>1</v>
      </c>
      <c r="BQ41" s="41">
        <f>IF(ISBLANK('Paste Full'!CC41),"",'Paste Full'!CC41)</f>
        <v>1</v>
      </c>
      <c r="BR41" s="41">
        <f>IF(ISBLANK('Paste Full'!CD41),"",'Paste Full'!CD41)</f>
        <v>20</v>
      </c>
      <c r="BS41" s="41">
        <f>IF(ISBLANK('Paste Full'!CE41),"",'Paste Full'!CE41)</f>
        <v>1</v>
      </c>
      <c r="BT41" s="41">
        <f>IF(ISBLANK('Paste Full'!CF41),"",'Paste Full'!CF41)</f>
        <v>14</v>
      </c>
      <c r="BU41" s="41">
        <f>IF(ISBLANK('Paste Full'!CG41),"",'Paste Full'!CG41)</f>
        <v>1</v>
      </c>
      <c r="BV41" s="41">
        <f>IF(ISBLANK('Paste Full'!CH41),"",'Paste Full'!CH41)</f>
        <v>1</v>
      </c>
    </row>
    <row r="42" spans="1:74" x14ac:dyDescent="0.3">
      <c r="A42" t="str">
        <f>IF(ISBLANK('Paste Full'!C42),"",'Paste Full'!C42)</f>
        <v>Jayden Nunes-Wickham</v>
      </c>
      <c r="B42" t="str">
        <f t="shared" si="1"/>
        <v>AM(L)</v>
      </c>
      <c r="C42" s="2">
        <f>IF(ISBLANK('Paste Full'!H42),"",'Paste Full'!H42)</f>
        <v>20</v>
      </c>
      <c r="D42" s="2">
        <f>IF(ISBLANK('Paste Full'!F42),"",'Paste Full'!F42)</f>
        <v>72</v>
      </c>
      <c r="E42" s="2">
        <f>IF(ISBLANK('Paste Full'!G42),"",'Paste Full'!G42)</f>
        <v>102</v>
      </c>
      <c r="F42" s="21" t="str">
        <f>IF(ISBLANK('Paste Full'!E42),"",'Paste Full'!E42)</f>
        <v>England</v>
      </c>
      <c r="G42" t="str">
        <f>IF(ISBLANK('Paste Full'!CI42),"",'Paste Full'!CI42)</f>
        <v/>
      </c>
      <c r="H42" s="21" t="str">
        <f>IF(ISBLANK('Paste Full'!J42),"",'Paste Full'!J42)</f>
        <v>$56,566</v>
      </c>
      <c r="I42" s="21" t="str">
        <f>IF(ISBLANK('Paste Full'!D42),"",'Paste Full'!D42)</f>
        <v xml:space="preserve">ST </v>
      </c>
      <c r="J42" s="14">
        <f>AVERAGE(SUMPRODUCT($S42:$BM42,AttWeights!$C$10:$AW$10)/SUM(AttWeights!$C$10:$AW$10),SUMPRODUCT($S42:$BM42,AttWeights!$C$17:$AW$17)/SUM(AttWeights!$C$17:$AW$17))*10</f>
        <v>78.997421572840565</v>
      </c>
      <c r="K42" s="14">
        <f>AVERAGE(SUMPRODUCT($S42:$BM42,AttWeights!$C$7:$AW$7)/SUM(AttWeights!$C$7:$AW$7),SUMPRODUCT($S42:$BM42,AttWeights!$C$15:$AW$15)/SUM(AttWeights!$C$15:$AW$15))*10</f>
        <v>79.224484998089864</v>
      </c>
      <c r="L42" s="14">
        <f>AVERAGE(SUMPRODUCT($S42:$BM42,AttWeights!$C$8:$AW$8)/SUM(AttWeights!$C$8:$AW$8),SUMPRODUCT($S42:$BM42,AttWeights!$C$16:$AW$16)/SUM(AttWeights!$C$16:$AW$16))*10</f>
        <v>77.4629214757678</v>
      </c>
      <c r="M42" s="14">
        <f>AVERAGE(SUMPRODUCT($S42:$BM42,AttWeights!$C$9:$AW$9)/SUM(AttWeights!$C$9:$AW$9),SUMPRODUCT($S42:$BM42,AttWeights!$C$15:$AW$15)/SUM(AttWeights!$C$15:$AW$15))*10</f>
        <v>77.23692287809763</v>
      </c>
      <c r="N42" s="14">
        <f>AVERAGE(SUMPRODUCT($S42:$BM42,AttWeights!$C$6:$AW$6)/SUM(AttWeights!$C$6:$AW$6),SUMPRODUCT($S42:$BM42,AttWeights!$C$14:$AW$14)/SUM(AttWeights!$C$14:$AW$14))*10</f>
        <v>67.737640025850936</v>
      </c>
      <c r="O42" s="14">
        <f>AVERAGE(SUMPRODUCT($S42:$BM42,AttWeights!$C$5:$AW$5)/SUM(AttWeights!$C$5:$AW$5),SUMPRODUCT($S42:$BM42,AttWeights!$C$14:$AW$14)/SUM(AttWeights!$C$14:$AW$14))*10</f>
        <v>65.507050214183721</v>
      </c>
      <c r="P42" s="14">
        <f>AVERAGE(SUMPRODUCT($S42:$BM42,AttWeights!$C$4:$AW$4)/SUM(AttWeights!$C$4:$AW$4),SUMPRODUCT($S42:$BM42,AttWeights!$C$13:$AW$13)/SUM(AttWeights!$C$13:$AW$13))*10</f>
        <v>66.699862637362642</v>
      </c>
      <c r="Q42" s="14">
        <f>AVERAGE(SUMPRODUCT($S42:$BM42,AttWeights!$C$3:$AW$3)/SUM(AttWeights!$C$3:$AW$3),SUMPRODUCT($S42:$BM42,AttWeights!$C$12:$AW$12)/SUM(AttWeights!$C$12:$AW$12))*10</f>
        <v>63.521589486858581</v>
      </c>
      <c r="R42" s="14">
        <f>AVERAGE(SUMPRODUCT($S42:$BM42,AttWeights!$C$2:$AW$2)/SUM(AttWeights!$C$2:$AW$2),SUMPRODUCT($S42:$BM42,AttWeights!$C$11:$AW$11)/SUM(AttWeights!$C$11:$AW$11))*10</f>
        <v>47.291593541593535</v>
      </c>
      <c r="S42" s="3">
        <f>IF(ISBLANK('Paste Full'!AC42),"",'Paste Full'!AC42)</f>
        <v>15</v>
      </c>
      <c r="T42" s="3">
        <f>IF(ISBLANK('Paste Full'!AD42),"",'Paste Full'!AD42)</f>
        <v>13</v>
      </c>
      <c r="U42" s="3" t="str">
        <f>IF(ISBLANK('Paste Full'!AE42),"",'Paste Full'!AE42)</f>
        <v>$9</v>
      </c>
      <c r="V42" s="3">
        <f>IF(ISBLANK('Paste Full'!AF42),"",'Paste Full'!AF42)</f>
        <v>6</v>
      </c>
      <c r="W42" s="3">
        <f>IF(ISBLANK('Paste Full'!AH42),"",'Paste Full'!AH42)</f>
        <v>16</v>
      </c>
      <c r="X42" s="3">
        <f>IF(ISBLANK('Paste Full'!AI42),"",'Paste Full'!AI42)</f>
        <v>13</v>
      </c>
      <c r="Y42" s="3">
        <f>IF(ISBLANK('Paste Full'!AK42),"",'Paste Full'!AK42)</f>
        <v>10</v>
      </c>
      <c r="Z42" s="3">
        <f>IF(ISBLANK('Paste Full'!AL42),"",'Paste Full'!AL42)</f>
        <v>7</v>
      </c>
      <c r="AA42" s="4">
        <f>IF(ISBLANK('Paste Full'!AM42),"",'Paste Full'!AM42)</f>
        <v>2</v>
      </c>
      <c r="AB42" s="4">
        <f>IF(ISBLANK('Paste Full'!AN42),"",'Paste Full'!AN42)</f>
        <v>3</v>
      </c>
      <c r="AC42" s="4">
        <f>IF(ISBLANK('Paste Full'!AO42),"",'Paste Full'!AO42)</f>
        <v>2</v>
      </c>
      <c r="AD42" s="4">
        <f>IF(ISBLANK('Paste Full'!AP42),"",'Paste Full'!AP42)</f>
        <v>1</v>
      </c>
      <c r="AE42" s="4">
        <f>IF(ISBLANK('Paste Full'!AQ42),"",'Paste Full'!AQ42)</f>
        <v>4</v>
      </c>
      <c r="AF42" s="4">
        <f>IF(ISBLANK('Paste Full'!AR42),"",'Paste Full'!AR42)</f>
        <v>2</v>
      </c>
      <c r="AG42" s="4">
        <f>IF(ISBLANK('Paste Full'!AS42),"",'Paste Full'!AS42)</f>
        <v>3</v>
      </c>
      <c r="AH42" s="4">
        <f>IF(ISBLANK('Paste Full'!AV42),"",'Paste Full'!AV42)</f>
        <v>2</v>
      </c>
      <c r="AI42" s="4">
        <f>IF(ISBLANK('Paste Full'!AT42),"",'Paste Full'!AT42)</f>
        <v>3</v>
      </c>
      <c r="AJ42" s="4">
        <f>IF(ISBLANK('Paste Full'!AU42),"",'Paste Full'!AU42)</f>
        <v>1</v>
      </c>
      <c r="AK42" s="4">
        <f>IF(ISBLANK('Paste Full'!AW42),"",'Paste Full'!AW42)</f>
        <v>2</v>
      </c>
      <c r="AL42" s="5">
        <f>IF(ISBLANK('Paste Full'!AX42),"",'Paste Full'!AX42)</f>
        <v>12</v>
      </c>
      <c r="AM42" s="5">
        <f>IF(ISBLANK('Paste Full'!AY42),"",'Paste Full'!AY42)</f>
        <v>8</v>
      </c>
      <c r="AN42" s="5">
        <f>IF(ISBLANK('Paste Full'!AZ42),"",'Paste Full'!AZ42)</f>
        <v>7</v>
      </c>
      <c r="AO42" s="5">
        <f>IF(ISBLANK('Paste Full'!BA42),"",'Paste Full'!BA42)</f>
        <v>13</v>
      </c>
      <c r="AP42" s="5">
        <f>IF(ISBLANK('Paste Full'!BB42),"",'Paste Full'!BB42)</f>
        <v>1</v>
      </c>
      <c r="AQ42" s="5">
        <f>IF(ISBLANK('Paste Full'!BC42),"",'Paste Full'!BC42)</f>
        <v>7</v>
      </c>
      <c r="AR42" s="5">
        <f>IF(ISBLANK('Paste Full'!BD42),"",'Paste Full'!BD42)</f>
        <v>15</v>
      </c>
      <c r="AS42" s="5">
        <f>IF(ISBLANK('Paste Full'!BE42),"",'Paste Full'!BE42)</f>
        <v>14</v>
      </c>
      <c r="AT42" s="5">
        <f>IF(ISBLANK('Paste Full'!BF42),"",'Paste Full'!BF42)</f>
        <v>8</v>
      </c>
      <c r="AU42" s="5">
        <f>IF(ISBLANK('Paste Full'!BG42),"",'Paste Full'!BG42)</f>
        <v>13</v>
      </c>
      <c r="AV42" s="5">
        <f>IF(ISBLANK('Paste Full'!BH42),"",'Paste Full'!BH42)</f>
        <v>1</v>
      </c>
      <c r="AW42" s="5">
        <f>IF(ISBLANK('Paste Full'!BI42),"",'Paste Full'!BI42)</f>
        <v>4</v>
      </c>
      <c r="AX42" s="5">
        <f>IF(ISBLANK('Paste Full'!BJ42),"",'Paste Full'!BJ42)</f>
        <v>6</v>
      </c>
      <c r="AY42" s="5">
        <f>IF(ISBLANK('Paste Full'!BK42),"",'Paste Full'!BK42)</f>
        <v>4</v>
      </c>
      <c r="AZ42" s="6">
        <f>IF(ISBLANK('Paste Full'!BM42),"",'Paste Full'!BM42)</f>
        <v>5</v>
      </c>
      <c r="BA42" s="6">
        <f>IF(ISBLANK('Paste Full'!BN42),"",'Paste Full'!BN42)</f>
        <v>13</v>
      </c>
      <c r="BB42" s="6">
        <f>IF(ISBLANK('Paste Full'!BO42),"",'Paste Full'!BO42)</f>
        <v>12</v>
      </c>
      <c r="BC42" s="6">
        <f>IF(ISBLANK('Paste Full'!BP42),"",'Paste Full'!BP42)</f>
        <v>11</v>
      </c>
      <c r="BD42" s="6">
        <f>IF(ISBLANK('Paste Full'!BR42),"",'Paste Full'!BR42)</f>
        <v>6</v>
      </c>
      <c r="BE42" s="6">
        <f>IF(ISBLANK('Paste Full'!BS42),"",'Paste Full'!BS42)</f>
        <v>4</v>
      </c>
      <c r="BF42" s="6">
        <f>IF(ISBLANK('Paste Full'!BU42),"",'Paste Full'!BU42)</f>
        <v>1</v>
      </c>
      <c r="BG42" s="6">
        <f>IF(ISBLANK('Paste Full'!BV42),"",'Paste Full'!BV42)</f>
        <v>5</v>
      </c>
      <c r="BH42" s="6">
        <f>IF(ISBLANK('Paste Full'!BX42),"",'Paste Full'!BX42)</f>
        <v>1</v>
      </c>
      <c r="BI42" s="6">
        <f>IF(ISBLANK('Paste Full'!BY42),"",'Paste Full'!BY42)</f>
        <v>7</v>
      </c>
      <c r="BJ42" s="13">
        <f>IF(ISBLANK('Paste Full'!BL42),"",'Paste Full'!BL42)</f>
        <v>1</v>
      </c>
      <c r="BK42" s="13">
        <f>IF(ISBLANK('Paste Full'!BQ42),"",'Paste Full'!BQ42)</f>
        <v>1</v>
      </c>
      <c r="BL42" s="13">
        <f>IF(ISBLANK('Paste Full'!BT42),"",'Paste Full'!BT42)</f>
        <v>1</v>
      </c>
      <c r="BM42" s="13">
        <f>IF(ISBLANK('Paste Full'!BW42),"",'Paste Full'!BW42)</f>
        <v>3</v>
      </c>
      <c r="BN42" s="41">
        <f>IF(ISBLANK('Paste Full'!BZ42),"",'Paste Full'!BZ42)</f>
        <v>1</v>
      </c>
      <c r="BO42" s="41">
        <f>IF(ISBLANK('Paste Full'!CA42),"",'Paste Full'!CA42)</f>
        <v>1</v>
      </c>
      <c r="BP42" s="41">
        <f>IF(ISBLANK('Paste Full'!CB42),"",'Paste Full'!CB42)</f>
        <v>1</v>
      </c>
      <c r="BQ42" s="41">
        <f>IF(ISBLANK('Paste Full'!CC42),"",'Paste Full'!CC42)</f>
        <v>1</v>
      </c>
      <c r="BR42" s="41">
        <f>IF(ISBLANK('Paste Full'!CD42),"",'Paste Full'!CD42)</f>
        <v>1</v>
      </c>
      <c r="BS42" s="41">
        <f>IF(ISBLANK('Paste Full'!CE42),"",'Paste Full'!CE42)</f>
        <v>1</v>
      </c>
      <c r="BT42" s="41">
        <f>IF(ISBLANK('Paste Full'!CF42),"",'Paste Full'!CF42)</f>
        <v>1</v>
      </c>
      <c r="BU42" s="41">
        <f>IF(ISBLANK('Paste Full'!CG42),"",'Paste Full'!CG42)</f>
        <v>1</v>
      </c>
      <c r="BV42" s="41">
        <f>IF(ISBLANK('Paste Full'!CH42),"",'Paste Full'!CH42)</f>
        <v>20</v>
      </c>
    </row>
    <row r="43" spans="1:74" x14ac:dyDescent="0.3">
      <c r="A43" t="str">
        <f>IF(ISBLANK('Paste Full'!C43),"",'Paste Full'!C43)</f>
        <v>Jess Blewitt</v>
      </c>
      <c r="B43" t="str">
        <f t="shared" si="1"/>
        <v>D(R/L)</v>
      </c>
      <c r="C43" s="2">
        <f>IF(ISBLANK('Paste Full'!H43),"",'Paste Full'!H43)</f>
        <v>19</v>
      </c>
      <c r="D43" s="2">
        <f>IF(ISBLANK('Paste Full'!F43),"",'Paste Full'!F43)</f>
        <v>50</v>
      </c>
      <c r="E43" s="2">
        <f>IF(ISBLANK('Paste Full'!G43),"",'Paste Full'!G43)</f>
        <v>104</v>
      </c>
      <c r="F43" s="21" t="str">
        <f>IF(ISBLANK('Paste Full'!E43),"",'Paste Full'!E43)</f>
        <v>England</v>
      </c>
      <c r="G43" t="str">
        <f>IF(ISBLANK('Paste Full'!CI43),"",'Paste Full'!CI43)</f>
        <v/>
      </c>
      <c r="H43" s="21" t="str">
        <f>IF(ISBLANK('Paste Full'!J43),"",'Paste Full'!J43)</f>
        <v>$49,001</v>
      </c>
      <c r="I43" s="21" t="str">
        <f>IF(ISBLANK('Paste Full'!D43),"",'Paste Full'!D43)</f>
        <v>D R</v>
      </c>
      <c r="J43" s="14">
        <f>AVERAGE(SUMPRODUCT($S43:$BM43,AttWeights!$C$10:$AW$10)/SUM(AttWeights!$C$10:$AW$10),SUMPRODUCT($S43:$BM43,AttWeights!$C$17:$AW$17)/SUM(AttWeights!$C$17:$AW$17))*10</f>
        <v>64.026786993267436</v>
      </c>
      <c r="K43" s="14">
        <f>AVERAGE(SUMPRODUCT($S43:$BM43,AttWeights!$C$7:$AW$7)/SUM(AttWeights!$C$7:$AW$7),SUMPRODUCT($S43:$BM43,AttWeights!$C$15:$AW$15)/SUM(AttWeights!$C$15:$AW$15))*10</f>
        <v>72.452613946927613</v>
      </c>
      <c r="L43" s="14">
        <f>AVERAGE(SUMPRODUCT($S43:$BM43,AttWeights!$C$8:$AW$8)/SUM(AttWeights!$C$8:$AW$8),SUMPRODUCT($S43:$BM43,AttWeights!$C$16:$AW$16)/SUM(AttWeights!$C$16:$AW$16))*10</f>
        <v>73.945920653376064</v>
      </c>
      <c r="M43" s="14">
        <f>AVERAGE(SUMPRODUCT($S43:$BM43,AttWeights!$C$9:$AW$9)/SUM(AttWeights!$C$9:$AW$9),SUMPRODUCT($S43:$BM43,AttWeights!$C$15:$AW$15)/SUM(AttWeights!$C$15:$AW$15))*10</f>
        <v>74.384511001260051</v>
      </c>
      <c r="N43" s="14">
        <f>AVERAGE(SUMPRODUCT($S43:$BM43,AttWeights!$C$6:$AW$6)/SUM(AttWeights!$C$6:$AW$6),SUMPRODUCT($S43:$BM43,AttWeights!$C$14:$AW$14)/SUM(AttWeights!$C$14:$AW$14))*10</f>
        <v>72.424466824644554</v>
      </c>
      <c r="O43" s="14">
        <f>AVERAGE(SUMPRODUCT($S43:$BM43,AttWeights!$C$5:$AW$5)/SUM(AttWeights!$C$5:$AW$5),SUMPRODUCT($S43:$BM43,AttWeights!$C$14:$AW$14)/SUM(AttWeights!$C$14:$AW$14))*10</f>
        <v>73.810536649214654</v>
      </c>
      <c r="P43" s="14">
        <f>AVERAGE(SUMPRODUCT($S43:$BM43,AttWeights!$C$4:$AW$4)/SUM(AttWeights!$C$4:$AW$4),SUMPRODUCT($S43:$BM43,AttWeights!$C$13:$AW$13)/SUM(AttWeights!$C$13:$AW$13))*10</f>
        <v>73.289835164835168</v>
      </c>
      <c r="Q43" s="14">
        <f>AVERAGE(SUMPRODUCT($S43:$BM43,AttWeights!$C$3:$AW$3)/SUM(AttWeights!$C$3:$AW$3),SUMPRODUCT($S43:$BM43,AttWeights!$C$12:$AW$12)/SUM(AttWeights!$C$12:$AW$12))*10</f>
        <v>77.654881101376716</v>
      </c>
      <c r="R43" s="14">
        <f>AVERAGE(SUMPRODUCT($S43:$BM43,AttWeights!$C$2:$AW$2)/SUM(AttWeights!$C$2:$AW$2),SUMPRODUCT($S43:$BM43,AttWeights!$C$11:$AW$11)/SUM(AttWeights!$C$11:$AW$11))*10</f>
        <v>52.806247806247804</v>
      </c>
      <c r="S43" s="3">
        <f>IF(ISBLANK('Paste Full'!AC43),"",'Paste Full'!AC43)</f>
        <v>10</v>
      </c>
      <c r="T43" s="3">
        <f>IF(ISBLANK('Paste Full'!AD43),"",'Paste Full'!AD43)</f>
        <v>7</v>
      </c>
      <c r="U43" s="3" t="str">
        <f>IF(ISBLANK('Paste Full'!AE43),"",'Paste Full'!AE43)</f>
        <v>$14</v>
      </c>
      <c r="V43" s="3">
        <f>IF(ISBLANK('Paste Full'!AF43),"",'Paste Full'!AF43)</f>
        <v>8</v>
      </c>
      <c r="W43" s="3">
        <f>IF(ISBLANK('Paste Full'!AH43),"",'Paste Full'!AH43)</f>
        <v>8</v>
      </c>
      <c r="X43" s="3">
        <f>IF(ISBLANK('Paste Full'!AI43),"",'Paste Full'!AI43)</f>
        <v>7</v>
      </c>
      <c r="Y43" s="3">
        <f>IF(ISBLANK('Paste Full'!AK43),"",'Paste Full'!AK43)</f>
        <v>15</v>
      </c>
      <c r="Z43" s="3">
        <f>IF(ISBLANK('Paste Full'!AL43),"",'Paste Full'!AL43)</f>
        <v>4</v>
      </c>
      <c r="AA43" s="4">
        <f>IF(ISBLANK('Paste Full'!AM43),"",'Paste Full'!AM43)</f>
        <v>2</v>
      </c>
      <c r="AB43" s="4">
        <f>IF(ISBLANK('Paste Full'!AN43),"",'Paste Full'!AN43)</f>
        <v>3</v>
      </c>
      <c r="AC43" s="4">
        <f>IF(ISBLANK('Paste Full'!AO43),"",'Paste Full'!AO43)</f>
        <v>1</v>
      </c>
      <c r="AD43" s="4">
        <f>IF(ISBLANK('Paste Full'!AP43),"",'Paste Full'!AP43)</f>
        <v>3</v>
      </c>
      <c r="AE43" s="4">
        <f>IF(ISBLANK('Paste Full'!AQ43),"",'Paste Full'!AQ43)</f>
        <v>3</v>
      </c>
      <c r="AF43" s="4">
        <f>IF(ISBLANK('Paste Full'!AR43),"",'Paste Full'!AR43)</f>
        <v>1</v>
      </c>
      <c r="AG43" s="4">
        <f>IF(ISBLANK('Paste Full'!AS43),"",'Paste Full'!AS43)</f>
        <v>1</v>
      </c>
      <c r="AH43" s="4">
        <f>IF(ISBLANK('Paste Full'!AV43),"",'Paste Full'!AV43)</f>
        <v>1</v>
      </c>
      <c r="AI43" s="4">
        <f>IF(ISBLANK('Paste Full'!AT43),"",'Paste Full'!AT43)</f>
        <v>1</v>
      </c>
      <c r="AJ43" s="4">
        <f>IF(ISBLANK('Paste Full'!AU43),"",'Paste Full'!AU43)</f>
        <v>3</v>
      </c>
      <c r="AK43" s="4">
        <f>IF(ISBLANK('Paste Full'!AW43),"",'Paste Full'!AW43)</f>
        <v>1</v>
      </c>
      <c r="AL43" s="5">
        <f>IF(ISBLANK('Paste Full'!AX43),"",'Paste Full'!AX43)</f>
        <v>15</v>
      </c>
      <c r="AM43" s="5">
        <f>IF(ISBLANK('Paste Full'!AY43),"",'Paste Full'!AY43)</f>
        <v>7</v>
      </c>
      <c r="AN43" s="5">
        <f>IF(ISBLANK('Paste Full'!AZ43),"",'Paste Full'!AZ43)</f>
        <v>15</v>
      </c>
      <c r="AO43" s="5">
        <f>IF(ISBLANK('Paste Full'!BA43),"",'Paste Full'!BA43)</f>
        <v>4</v>
      </c>
      <c r="AP43" s="5">
        <f>IF(ISBLANK('Paste Full'!BB43),"",'Paste Full'!BB43)</f>
        <v>8</v>
      </c>
      <c r="AQ43" s="5">
        <f>IF(ISBLANK('Paste Full'!BC43),"",'Paste Full'!BC43)</f>
        <v>10</v>
      </c>
      <c r="AR43" s="5">
        <f>IF(ISBLANK('Paste Full'!BD43),"",'Paste Full'!BD43)</f>
        <v>15</v>
      </c>
      <c r="AS43" s="5">
        <f>IF(ISBLANK('Paste Full'!BE43),"",'Paste Full'!BE43)</f>
        <v>7</v>
      </c>
      <c r="AT43" s="5">
        <f>IF(ISBLANK('Paste Full'!BF43),"",'Paste Full'!BF43)</f>
        <v>11</v>
      </c>
      <c r="AU43" s="5">
        <f>IF(ISBLANK('Paste Full'!BG43),"",'Paste Full'!BG43)</f>
        <v>7</v>
      </c>
      <c r="AV43" s="5">
        <f>IF(ISBLANK('Paste Full'!BH43),"",'Paste Full'!BH43)</f>
        <v>10</v>
      </c>
      <c r="AW43" s="5">
        <f>IF(ISBLANK('Paste Full'!BI43),"",'Paste Full'!BI43)</f>
        <v>4</v>
      </c>
      <c r="AX43" s="5">
        <f>IF(ISBLANK('Paste Full'!BJ43),"",'Paste Full'!BJ43)</f>
        <v>5</v>
      </c>
      <c r="AY43" s="5">
        <f>IF(ISBLANK('Paste Full'!BK43),"",'Paste Full'!BK43)</f>
        <v>9</v>
      </c>
      <c r="AZ43" s="6">
        <f>IF(ISBLANK('Paste Full'!BM43),"",'Paste Full'!BM43)</f>
        <v>11</v>
      </c>
      <c r="BA43" s="6">
        <f>IF(ISBLANK('Paste Full'!BN43),"",'Paste Full'!BN43)</f>
        <v>7</v>
      </c>
      <c r="BB43" s="6">
        <f>IF(ISBLANK('Paste Full'!BO43),"",'Paste Full'!BO43)</f>
        <v>2</v>
      </c>
      <c r="BC43" s="6">
        <f>IF(ISBLANK('Paste Full'!BP43),"",'Paste Full'!BP43)</f>
        <v>6</v>
      </c>
      <c r="BD43" s="6">
        <f>IF(ISBLANK('Paste Full'!BR43),"",'Paste Full'!BR43)</f>
        <v>4</v>
      </c>
      <c r="BE43" s="6">
        <f>IF(ISBLANK('Paste Full'!BS43),"",'Paste Full'!BS43)</f>
        <v>2</v>
      </c>
      <c r="BF43" s="6">
        <f>IF(ISBLANK('Paste Full'!BU43),"",'Paste Full'!BU43)</f>
        <v>9</v>
      </c>
      <c r="BG43" s="6">
        <f>IF(ISBLANK('Paste Full'!BV43),"",'Paste Full'!BV43)</f>
        <v>8</v>
      </c>
      <c r="BH43" s="6">
        <f>IF(ISBLANK('Paste Full'!BX43),"",'Paste Full'!BX43)</f>
        <v>8</v>
      </c>
      <c r="BI43" s="6">
        <f>IF(ISBLANK('Paste Full'!BY43),"",'Paste Full'!BY43)</f>
        <v>8</v>
      </c>
      <c r="BJ43" s="13">
        <f>IF(ISBLANK('Paste Full'!BL43),"",'Paste Full'!BL43)</f>
        <v>3</v>
      </c>
      <c r="BK43" s="13">
        <f>IF(ISBLANK('Paste Full'!BQ43),"",'Paste Full'!BQ43)</f>
        <v>2</v>
      </c>
      <c r="BL43" s="13">
        <f>IF(ISBLANK('Paste Full'!BT43),"",'Paste Full'!BT43)</f>
        <v>1</v>
      </c>
      <c r="BM43" s="13">
        <f>IF(ISBLANK('Paste Full'!BW43),"",'Paste Full'!BW43)</f>
        <v>1</v>
      </c>
      <c r="BN43" s="41">
        <f>IF(ISBLANK('Paste Full'!BZ43),"",'Paste Full'!BZ43)</f>
        <v>1</v>
      </c>
      <c r="BO43" s="41">
        <f>IF(ISBLANK('Paste Full'!CA43),"",'Paste Full'!CA43)</f>
        <v>20</v>
      </c>
      <c r="BP43" s="41">
        <f>IF(ISBLANK('Paste Full'!CB43),"",'Paste Full'!CB43)</f>
        <v>1</v>
      </c>
      <c r="BQ43" s="41">
        <f>IF(ISBLANK('Paste Full'!CC43),"",'Paste Full'!CC43)</f>
        <v>5</v>
      </c>
      <c r="BR43" s="41">
        <f>IF(ISBLANK('Paste Full'!CD43),"",'Paste Full'!CD43)</f>
        <v>1</v>
      </c>
      <c r="BS43" s="41">
        <f>IF(ISBLANK('Paste Full'!CE43),"",'Paste Full'!CE43)</f>
        <v>1</v>
      </c>
      <c r="BT43" s="41">
        <f>IF(ISBLANK('Paste Full'!CF43),"",'Paste Full'!CF43)</f>
        <v>1</v>
      </c>
      <c r="BU43" s="41">
        <f>IF(ISBLANK('Paste Full'!CG43),"",'Paste Full'!CG43)</f>
        <v>1</v>
      </c>
      <c r="BV43" s="41">
        <f>IF(ISBLANK('Paste Full'!CH43),"",'Paste Full'!CH43)</f>
        <v>1</v>
      </c>
    </row>
    <row r="44" spans="1:74" x14ac:dyDescent="0.3">
      <c r="A44" t="str">
        <f>IF(ISBLANK('Paste Full'!C44),"",'Paste Full'!C44)</f>
        <v>José Carlos</v>
      </c>
      <c r="B44" t="str">
        <f t="shared" si="1"/>
        <v>D(R/L)</v>
      </c>
      <c r="C44" s="2">
        <f>IF(ISBLANK('Paste Full'!H44),"",'Paste Full'!H44)</f>
        <v>20</v>
      </c>
      <c r="D44" s="2">
        <f>IF(ISBLANK('Paste Full'!F44),"",'Paste Full'!F44)</f>
        <v>84</v>
      </c>
      <c r="E44" s="2">
        <f>IF(ISBLANK('Paste Full'!G44),"",'Paste Full'!G44)</f>
        <v>99</v>
      </c>
      <c r="F44" s="21" t="str">
        <f>IF(ISBLANK('Paste Full'!E44),"",'Paste Full'!E44)</f>
        <v>Brazil,Portugal</v>
      </c>
      <c r="G44" t="str">
        <f>IF(ISBLANK('Paste Full'!CI44),"",'Paste Full'!CI44)</f>
        <v>Clube Desportivo da Cova da Piedade</v>
      </c>
      <c r="H44" s="21" t="str">
        <f>IF(ISBLANK('Paste Full'!J44),"",'Paste Full'!J44)</f>
        <v>$72,429</v>
      </c>
      <c r="I44" s="21" t="str">
        <f>IF(ISBLANK('Paste Full'!D44),"",'Paste Full'!D44)</f>
        <v>D RL</v>
      </c>
      <c r="J44" s="14">
        <f>AVERAGE(SUMPRODUCT($S44:$BM44,AttWeights!$C$10:$AW$10)/SUM(AttWeights!$C$10:$AW$10),SUMPRODUCT($S44:$BM44,AttWeights!$C$17:$AW$17)/SUM(AttWeights!$C$17:$AW$17))*10</f>
        <v>82.698037530439763</v>
      </c>
      <c r="K44" s="14">
        <f>AVERAGE(SUMPRODUCT($S44:$BM44,AttWeights!$C$7:$AW$7)/SUM(AttWeights!$C$7:$AW$7),SUMPRODUCT($S44:$BM44,AttWeights!$C$15:$AW$15)/SUM(AttWeights!$C$15:$AW$15))*10</f>
        <v>90.218049310881895</v>
      </c>
      <c r="L44" s="14">
        <f>AVERAGE(SUMPRODUCT($S44:$BM44,AttWeights!$C$8:$AW$8)/SUM(AttWeights!$C$8:$AW$8),SUMPRODUCT($S44:$BM44,AttWeights!$C$16:$AW$16)/SUM(AttWeights!$C$16:$AW$16))*10</f>
        <v>91.376371834500745</v>
      </c>
      <c r="M44" s="14">
        <f>AVERAGE(SUMPRODUCT($S44:$BM44,AttWeights!$C$9:$AW$9)/SUM(AttWeights!$C$9:$AW$9),SUMPRODUCT($S44:$BM44,AttWeights!$C$15:$AW$15)/SUM(AttWeights!$C$15:$AW$15))*10</f>
        <v>91.107718652062943</v>
      </c>
      <c r="N44" s="14">
        <f>AVERAGE(SUMPRODUCT($S44:$BM44,AttWeights!$C$6:$AW$6)/SUM(AttWeights!$C$6:$AW$6),SUMPRODUCT($S44:$BM44,AttWeights!$C$14:$AW$14)/SUM(AttWeights!$C$14:$AW$14))*10</f>
        <v>90.360431925894019</v>
      </c>
      <c r="O44" s="14">
        <f>AVERAGE(SUMPRODUCT($S44:$BM44,AttWeights!$C$5:$AW$5)/SUM(AttWeights!$C$5:$AW$5),SUMPRODUCT($S44:$BM44,AttWeights!$C$14:$AW$14)/SUM(AttWeights!$C$14:$AW$14))*10</f>
        <v>89.430182056163716</v>
      </c>
      <c r="P44" s="14">
        <f>AVERAGE(SUMPRODUCT($S44:$BM44,AttWeights!$C$4:$AW$4)/SUM(AttWeights!$C$4:$AW$4),SUMPRODUCT($S44:$BM44,AttWeights!$C$13:$AW$13)/SUM(AttWeights!$C$13:$AW$13))*10</f>
        <v>85.099587912087912</v>
      </c>
      <c r="Q44" s="14">
        <f>AVERAGE(SUMPRODUCT($S44:$BM44,AttWeights!$C$3:$AW$3)/SUM(AttWeights!$C$3:$AW$3),SUMPRODUCT($S44:$BM44,AttWeights!$C$12:$AW$12)/SUM(AttWeights!$C$12:$AW$12))*10</f>
        <v>92.26408010012517</v>
      </c>
      <c r="R44" s="14">
        <f>AVERAGE(SUMPRODUCT($S44:$BM44,AttWeights!$C$2:$AW$2)/SUM(AttWeights!$C$2:$AW$2),SUMPRODUCT($S44:$BM44,AttWeights!$C$11:$AW$11)/SUM(AttWeights!$C$11:$AW$11))*10</f>
        <v>65.841962091962088</v>
      </c>
      <c r="S44" s="3">
        <f>IF(ISBLANK('Paste Full'!AC44),"",'Paste Full'!AC44)</f>
        <v>13</v>
      </c>
      <c r="T44" s="3">
        <f>IF(ISBLANK('Paste Full'!AD44),"",'Paste Full'!AD44)</f>
        <v>10</v>
      </c>
      <c r="U44" s="3" t="str">
        <f>IF(ISBLANK('Paste Full'!AE44),"",'Paste Full'!AE44)</f>
        <v>$10</v>
      </c>
      <c r="V44" s="3">
        <f>IF(ISBLANK('Paste Full'!AF44),"",'Paste Full'!AF44)</f>
        <v>2</v>
      </c>
      <c r="W44" s="3">
        <f>IF(ISBLANK('Paste Full'!AH44),"",'Paste Full'!AH44)</f>
        <v>11</v>
      </c>
      <c r="X44" s="3">
        <f>IF(ISBLANK('Paste Full'!AI44),"",'Paste Full'!AI44)</f>
        <v>10</v>
      </c>
      <c r="Y44" s="3">
        <f>IF(ISBLANK('Paste Full'!AK44),"",'Paste Full'!AK44)</f>
        <v>15</v>
      </c>
      <c r="Z44" s="3">
        <f>IF(ISBLANK('Paste Full'!AL44),"",'Paste Full'!AL44)</f>
        <v>5</v>
      </c>
      <c r="AA44" s="4">
        <f>IF(ISBLANK('Paste Full'!AM44),"",'Paste Full'!AM44)</f>
        <v>3</v>
      </c>
      <c r="AB44" s="4">
        <f>IF(ISBLANK('Paste Full'!AN44),"",'Paste Full'!AN44)</f>
        <v>1</v>
      </c>
      <c r="AC44" s="4">
        <f>IF(ISBLANK('Paste Full'!AO44),"",'Paste Full'!AO44)</f>
        <v>2</v>
      </c>
      <c r="AD44" s="4">
        <f>IF(ISBLANK('Paste Full'!AP44),"",'Paste Full'!AP44)</f>
        <v>2</v>
      </c>
      <c r="AE44" s="4">
        <f>IF(ISBLANK('Paste Full'!AQ44),"",'Paste Full'!AQ44)</f>
        <v>3</v>
      </c>
      <c r="AF44" s="4">
        <f>IF(ISBLANK('Paste Full'!AR44),"",'Paste Full'!AR44)</f>
        <v>2</v>
      </c>
      <c r="AG44" s="4">
        <f>IF(ISBLANK('Paste Full'!AS44),"",'Paste Full'!AS44)</f>
        <v>4</v>
      </c>
      <c r="AH44" s="4">
        <f>IF(ISBLANK('Paste Full'!AV44),"",'Paste Full'!AV44)</f>
        <v>4</v>
      </c>
      <c r="AI44" s="4">
        <f>IF(ISBLANK('Paste Full'!AT44),"",'Paste Full'!AT44)</f>
        <v>3</v>
      </c>
      <c r="AJ44" s="4">
        <f>IF(ISBLANK('Paste Full'!AU44),"",'Paste Full'!AU44)</f>
        <v>2</v>
      </c>
      <c r="AK44" s="4">
        <f>IF(ISBLANK('Paste Full'!AW44),"",'Paste Full'!AW44)</f>
        <v>3</v>
      </c>
      <c r="AL44" s="5">
        <f>IF(ISBLANK('Paste Full'!AX44),"",'Paste Full'!AX44)</f>
        <v>14</v>
      </c>
      <c r="AM44" s="5">
        <f>IF(ISBLANK('Paste Full'!AY44),"",'Paste Full'!AY44)</f>
        <v>11</v>
      </c>
      <c r="AN44" s="5">
        <f>IF(ISBLANK('Paste Full'!AZ44),"",'Paste Full'!AZ44)</f>
        <v>18</v>
      </c>
      <c r="AO44" s="5">
        <f>IF(ISBLANK('Paste Full'!BA44),"",'Paste Full'!BA44)</f>
        <v>8</v>
      </c>
      <c r="AP44" s="5">
        <f>IF(ISBLANK('Paste Full'!BB44),"",'Paste Full'!BB44)</f>
        <v>10</v>
      </c>
      <c r="AQ44" s="5">
        <f>IF(ISBLANK('Paste Full'!BC44),"",'Paste Full'!BC44)</f>
        <v>14</v>
      </c>
      <c r="AR44" s="5">
        <f>IF(ISBLANK('Paste Full'!BD44),"",'Paste Full'!BD44)</f>
        <v>10</v>
      </c>
      <c r="AS44" s="5">
        <f>IF(ISBLANK('Paste Full'!BE44),"",'Paste Full'!BE44)</f>
        <v>7</v>
      </c>
      <c r="AT44" s="5">
        <f>IF(ISBLANK('Paste Full'!BF44),"",'Paste Full'!BF44)</f>
        <v>9</v>
      </c>
      <c r="AU44" s="5">
        <f>IF(ISBLANK('Paste Full'!BG44),"",'Paste Full'!BG44)</f>
        <v>9</v>
      </c>
      <c r="AV44" s="5">
        <f>IF(ISBLANK('Paste Full'!BH44),"",'Paste Full'!BH44)</f>
        <v>12</v>
      </c>
      <c r="AW44" s="5">
        <f>IF(ISBLANK('Paste Full'!BI44),"",'Paste Full'!BI44)</f>
        <v>9</v>
      </c>
      <c r="AX44" s="5">
        <f>IF(ISBLANK('Paste Full'!BJ44),"",'Paste Full'!BJ44)</f>
        <v>12</v>
      </c>
      <c r="AY44" s="5">
        <f>IF(ISBLANK('Paste Full'!BK44),"",'Paste Full'!BK44)</f>
        <v>7</v>
      </c>
      <c r="AZ44" s="6">
        <f>IF(ISBLANK('Paste Full'!BM44),"",'Paste Full'!BM44)</f>
        <v>10</v>
      </c>
      <c r="BA44" s="6">
        <f>IF(ISBLANK('Paste Full'!BN44),"",'Paste Full'!BN44)</f>
        <v>10</v>
      </c>
      <c r="BB44" s="6">
        <f>IF(ISBLANK('Paste Full'!BO44),"",'Paste Full'!BO44)</f>
        <v>4</v>
      </c>
      <c r="BC44" s="6">
        <f>IF(ISBLANK('Paste Full'!BP44),"",'Paste Full'!BP44)</f>
        <v>11</v>
      </c>
      <c r="BD44" s="6">
        <f>IF(ISBLANK('Paste Full'!BR44),"",'Paste Full'!BR44)</f>
        <v>3</v>
      </c>
      <c r="BE44" s="6">
        <f>IF(ISBLANK('Paste Full'!BS44),"",'Paste Full'!BS44)</f>
        <v>4</v>
      </c>
      <c r="BF44" s="6">
        <f>IF(ISBLANK('Paste Full'!BU44),"",'Paste Full'!BU44)</f>
        <v>10</v>
      </c>
      <c r="BG44" s="6">
        <f>IF(ISBLANK('Paste Full'!BV44),"",'Paste Full'!BV44)</f>
        <v>8</v>
      </c>
      <c r="BH44" s="6">
        <f>IF(ISBLANK('Paste Full'!BX44),"",'Paste Full'!BX44)</f>
        <v>5</v>
      </c>
      <c r="BI44" s="6">
        <f>IF(ISBLANK('Paste Full'!BY44),"",'Paste Full'!BY44)</f>
        <v>13</v>
      </c>
      <c r="BJ44" s="13">
        <f>IF(ISBLANK('Paste Full'!BL44),"",'Paste Full'!BL44)</f>
        <v>3</v>
      </c>
      <c r="BK44" s="13">
        <f>IF(ISBLANK('Paste Full'!BQ44),"",'Paste Full'!BQ44)</f>
        <v>2</v>
      </c>
      <c r="BL44" s="13">
        <f>IF(ISBLANK('Paste Full'!BT44),"",'Paste Full'!BT44)</f>
        <v>3</v>
      </c>
      <c r="BM44" s="13">
        <f>IF(ISBLANK('Paste Full'!BW44),"",'Paste Full'!BW44)</f>
        <v>4</v>
      </c>
      <c r="BN44" s="41">
        <f>IF(ISBLANK('Paste Full'!BZ44),"",'Paste Full'!BZ44)</f>
        <v>1</v>
      </c>
      <c r="BO44" s="41">
        <f>IF(ISBLANK('Paste Full'!CA44),"",'Paste Full'!CA44)</f>
        <v>20</v>
      </c>
      <c r="BP44" s="41">
        <f>IF(ISBLANK('Paste Full'!CB44),"",'Paste Full'!CB44)</f>
        <v>1</v>
      </c>
      <c r="BQ44" s="41">
        <f>IF(ISBLANK('Paste Full'!CC44),"",'Paste Full'!CC44)</f>
        <v>15</v>
      </c>
      <c r="BR44" s="41">
        <f>IF(ISBLANK('Paste Full'!CD44),"",'Paste Full'!CD44)</f>
        <v>1</v>
      </c>
      <c r="BS44" s="41">
        <f>IF(ISBLANK('Paste Full'!CE44),"",'Paste Full'!CE44)</f>
        <v>1</v>
      </c>
      <c r="BT44" s="41">
        <f>IF(ISBLANK('Paste Full'!CF44),"",'Paste Full'!CF44)</f>
        <v>1</v>
      </c>
      <c r="BU44" s="41">
        <f>IF(ISBLANK('Paste Full'!CG44),"",'Paste Full'!CG44)</f>
        <v>1</v>
      </c>
      <c r="BV44" s="41">
        <f>IF(ISBLANK('Paste Full'!CH44),"",'Paste Full'!CH44)</f>
        <v>1</v>
      </c>
    </row>
    <row r="45" spans="1:74" x14ac:dyDescent="0.3">
      <c r="A45" t="str">
        <f>IF(ISBLANK('Paste Full'!C45),"",'Paste Full'!C45)</f>
        <v>Joseph Green</v>
      </c>
      <c r="B45" t="str">
        <f t="shared" si="1"/>
        <v>AM(R)</v>
      </c>
      <c r="C45" s="2">
        <f>IF(ISBLANK('Paste Full'!H45),"",'Paste Full'!H45)</f>
        <v>19</v>
      </c>
      <c r="D45" s="2">
        <f>IF(ISBLANK('Paste Full'!F45),"",'Paste Full'!F45)</f>
        <v>63</v>
      </c>
      <c r="E45" s="2">
        <f>IF(ISBLANK('Paste Full'!G45),"",'Paste Full'!G45)</f>
        <v>110</v>
      </c>
      <c r="F45" s="21" t="str">
        <f>IF(ISBLANK('Paste Full'!E45),"",'Paste Full'!E45)</f>
        <v>England,New Zealand</v>
      </c>
      <c r="G45" t="str">
        <f>IF(ISBLANK('Paste Full'!CI45),"",'Paste Full'!CI45)</f>
        <v/>
      </c>
      <c r="H45" s="21" t="str">
        <f>IF(ISBLANK('Paste Full'!J45),"",'Paste Full'!J45)</f>
        <v>$362,831</v>
      </c>
      <c r="I45" s="21" t="str">
        <f>IF(ISBLANK('Paste Full'!D45),"",'Paste Full'!D45)</f>
        <v>M/AM LC</v>
      </c>
      <c r="J45" s="14">
        <f>AVERAGE(SUMPRODUCT($S45:$BM45,AttWeights!$C$10:$AW$10)/SUM(AttWeights!$C$10:$AW$10),SUMPRODUCT($S45:$BM45,AttWeights!$C$17:$AW$17)/SUM(AttWeights!$C$17:$AW$17))*10</f>
        <v>71.320584443489466</v>
      </c>
      <c r="K45" s="14">
        <f>AVERAGE(SUMPRODUCT($S45:$BM45,AttWeights!$C$7:$AW$7)/SUM(AttWeights!$C$7:$AW$7),SUMPRODUCT($S45:$BM45,AttWeights!$C$15:$AW$15)/SUM(AttWeights!$C$15:$AW$15))*10</f>
        <v>75.646213523759144</v>
      </c>
      <c r="L45" s="14">
        <f>AVERAGE(SUMPRODUCT($S45:$BM45,AttWeights!$C$8:$AW$8)/SUM(AttWeights!$C$8:$AW$8),SUMPRODUCT($S45:$BM45,AttWeights!$C$16:$AW$16)/SUM(AttWeights!$C$16:$AW$16))*10</f>
        <v>75.488755919802628</v>
      </c>
      <c r="M45" s="14">
        <f>AVERAGE(SUMPRODUCT($S45:$BM45,AttWeights!$C$9:$AW$9)/SUM(AttWeights!$C$9:$AW$9),SUMPRODUCT($S45:$BM45,AttWeights!$C$15:$AW$15)/SUM(AttWeights!$C$15:$AW$15))*10</f>
        <v>79.32635456043424</v>
      </c>
      <c r="N45" s="14">
        <f>AVERAGE(SUMPRODUCT($S45:$BM45,AttWeights!$C$6:$AW$6)/SUM(AttWeights!$C$6:$AW$6),SUMPRODUCT($S45:$BM45,AttWeights!$C$14:$AW$14)/SUM(AttWeights!$C$14:$AW$14))*10</f>
        <v>70.934133993968118</v>
      </c>
      <c r="O45" s="14">
        <f>AVERAGE(SUMPRODUCT($S45:$BM45,AttWeights!$C$5:$AW$5)/SUM(AttWeights!$C$5:$AW$5),SUMPRODUCT($S45:$BM45,AttWeights!$C$14:$AW$14)/SUM(AttWeights!$C$14:$AW$14))*10</f>
        <v>69.828950499762016</v>
      </c>
      <c r="P45" s="14">
        <f>AVERAGE(SUMPRODUCT($S45:$BM45,AttWeights!$C$4:$AW$4)/SUM(AttWeights!$C$4:$AW$4),SUMPRODUCT($S45:$BM45,AttWeights!$C$13:$AW$13)/SUM(AttWeights!$C$13:$AW$13))*10</f>
        <v>63.571428571428577</v>
      </c>
      <c r="Q45" s="14">
        <f>AVERAGE(SUMPRODUCT($S45:$BM45,AttWeights!$C$3:$AW$3)/SUM(AttWeights!$C$3:$AW$3),SUMPRODUCT($S45:$BM45,AttWeights!$C$12:$AW$12)/SUM(AttWeights!$C$12:$AW$12))*10</f>
        <v>70.767209011264086</v>
      </c>
      <c r="R45" s="14">
        <f>AVERAGE(SUMPRODUCT($S45:$BM45,AttWeights!$C$2:$AW$2)/SUM(AttWeights!$C$2:$AW$2),SUMPRODUCT($S45:$BM45,AttWeights!$C$11:$AW$11)/SUM(AttWeights!$C$11:$AW$11))*10</f>
        <v>51.78878553878554</v>
      </c>
      <c r="S45" s="3">
        <f>IF(ISBLANK('Paste Full'!AC45),"",'Paste Full'!AC45)</f>
        <v>13</v>
      </c>
      <c r="T45" s="3">
        <f>IF(ISBLANK('Paste Full'!AD45),"",'Paste Full'!AD45)</f>
        <v>15</v>
      </c>
      <c r="U45" s="3" t="str">
        <f>IF(ISBLANK('Paste Full'!AE45),"",'Paste Full'!AE45)</f>
        <v>$7</v>
      </c>
      <c r="V45" s="3">
        <f>IF(ISBLANK('Paste Full'!AF45),"",'Paste Full'!AF45)</f>
        <v>4</v>
      </c>
      <c r="W45" s="3">
        <f>IF(ISBLANK('Paste Full'!AH45),"",'Paste Full'!AH45)</f>
        <v>11</v>
      </c>
      <c r="X45" s="3">
        <f>IF(ISBLANK('Paste Full'!AI45),"",'Paste Full'!AI45)</f>
        <v>14</v>
      </c>
      <c r="Y45" s="3">
        <f>IF(ISBLANK('Paste Full'!AK45),"",'Paste Full'!AK45)</f>
        <v>13</v>
      </c>
      <c r="Z45" s="3">
        <f>IF(ISBLANK('Paste Full'!AL45),"",'Paste Full'!AL45)</f>
        <v>7</v>
      </c>
      <c r="AA45" s="4">
        <f>IF(ISBLANK('Paste Full'!AM45),"",'Paste Full'!AM45)</f>
        <v>3</v>
      </c>
      <c r="AB45" s="4">
        <f>IF(ISBLANK('Paste Full'!AN45),"",'Paste Full'!AN45)</f>
        <v>3</v>
      </c>
      <c r="AC45" s="4">
        <f>IF(ISBLANK('Paste Full'!AO45),"",'Paste Full'!AO45)</f>
        <v>4</v>
      </c>
      <c r="AD45" s="4">
        <f>IF(ISBLANK('Paste Full'!AP45),"",'Paste Full'!AP45)</f>
        <v>1</v>
      </c>
      <c r="AE45" s="4">
        <f>IF(ISBLANK('Paste Full'!AQ45),"",'Paste Full'!AQ45)</f>
        <v>3</v>
      </c>
      <c r="AF45" s="4">
        <f>IF(ISBLANK('Paste Full'!AR45),"",'Paste Full'!AR45)</f>
        <v>3</v>
      </c>
      <c r="AG45" s="4">
        <f>IF(ISBLANK('Paste Full'!AS45),"",'Paste Full'!AS45)</f>
        <v>1</v>
      </c>
      <c r="AH45" s="4">
        <f>IF(ISBLANK('Paste Full'!AV45),"",'Paste Full'!AV45)</f>
        <v>3</v>
      </c>
      <c r="AI45" s="4">
        <f>IF(ISBLANK('Paste Full'!AT45),"",'Paste Full'!AT45)</f>
        <v>3</v>
      </c>
      <c r="AJ45" s="4">
        <f>IF(ISBLANK('Paste Full'!AU45),"",'Paste Full'!AU45)</f>
        <v>1</v>
      </c>
      <c r="AK45" s="4">
        <f>IF(ISBLANK('Paste Full'!AW45),"",'Paste Full'!AW45)</f>
        <v>3</v>
      </c>
      <c r="AL45" s="5">
        <f>IF(ISBLANK('Paste Full'!AX45),"",'Paste Full'!AX45)</f>
        <v>8</v>
      </c>
      <c r="AM45" s="5">
        <f>IF(ISBLANK('Paste Full'!AY45),"",'Paste Full'!AY45)</f>
        <v>7</v>
      </c>
      <c r="AN45" s="5">
        <f>IF(ISBLANK('Paste Full'!AZ45),"",'Paste Full'!AZ45)</f>
        <v>7</v>
      </c>
      <c r="AO45" s="5">
        <f>IF(ISBLANK('Paste Full'!BA45),"",'Paste Full'!BA45)</f>
        <v>5</v>
      </c>
      <c r="AP45" s="5">
        <f>IF(ISBLANK('Paste Full'!BB45),"",'Paste Full'!BB45)</f>
        <v>6</v>
      </c>
      <c r="AQ45" s="5">
        <f>IF(ISBLANK('Paste Full'!BC45),"",'Paste Full'!BC45)</f>
        <v>4</v>
      </c>
      <c r="AR45" s="5">
        <f>IF(ISBLANK('Paste Full'!BD45),"",'Paste Full'!BD45)</f>
        <v>12</v>
      </c>
      <c r="AS45" s="5">
        <f>IF(ISBLANK('Paste Full'!BE45),"",'Paste Full'!BE45)</f>
        <v>13</v>
      </c>
      <c r="AT45" s="5">
        <f>IF(ISBLANK('Paste Full'!BF45),"",'Paste Full'!BF45)</f>
        <v>9</v>
      </c>
      <c r="AU45" s="5">
        <f>IF(ISBLANK('Paste Full'!BG45),"",'Paste Full'!BG45)</f>
        <v>9</v>
      </c>
      <c r="AV45" s="5">
        <f>IF(ISBLANK('Paste Full'!BH45),"",'Paste Full'!BH45)</f>
        <v>3</v>
      </c>
      <c r="AW45" s="5">
        <f>IF(ISBLANK('Paste Full'!BI45),"",'Paste Full'!BI45)</f>
        <v>12</v>
      </c>
      <c r="AX45" s="5">
        <f>IF(ISBLANK('Paste Full'!BJ45),"",'Paste Full'!BJ45)</f>
        <v>4</v>
      </c>
      <c r="AY45" s="5">
        <f>IF(ISBLANK('Paste Full'!BK45),"",'Paste Full'!BK45)</f>
        <v>8</v>
      </c>
      <c r="AZ45" s="6">
        <f>IF(ISBLANK('Paste Full'!BM45),"",'Paste Full'!BM45)</f>
        <v>7</v>
      </c>
      <c r="BA45" s="6">
        <f>IF(ISBLANK('Paste Full'!BN45),"",'Paste Full'!BN45)</f>
        <v>6</v>
      </c>
      <c r="BB45" s="6">
        <f>IF(ISBLANK('Paste Full'!BO45),"",'Paste Full'!BO45)</f>
        <v>5</v>
      </c>
      <c r="BC45" s="6">
        <f>IF(ISBLANK('Paste Full'!BP45),"",'Paste Full'!BP45)</f>
        <v>8</v>
      </c>
      <c r="BD45" s="6">
        <f>IF(ISBLANK('Paste Full'!BR45),"",'Paste Full'!BR45)</f>
        <v>4</v>
      </c>
      <c r="BE45" s="6">
        <f>IF(ISBLANK('Paste Full'!BS45),"",'Paste Full'!BS45)</f>
        <v>1</v>
      </c>
      <c r="BF45" s="6">
        <f>IF(ISBLANK('Paste Full'!BU45),"",'Paste Full'!BU45)</f>
        <v>4</v>
      </c>
      <c r="BG45" s="6">
        <f>IF(ISBLANK('Paste Full'!BV45),"",'Paste Full'!BV45)</f>
        <v>7</v>
      </c>
      <c r="BH45" s="6">
        <f>IF(ISBLANK('Paste Full'!BX45),"",'Paste Full'!BX45)</f>
        <v>1</v>
      </c>
      <c r="BI45" s="6">
        <f>IF(ISBLANK('Paste Full'!BY45),"",'Paste Full'!BY45)</f>
        <v>12</v>
      </c>
      <c r="BJ45" s="13">
        <f>IF(ISBLANK('Paste Full'!BL45),"",'Paste Full'!BL45)</f>
        <v>4</v>
      </c>
      <c r="BK45" s="13">
        <f>IF(ISBLANK('Paste Full'!BQ45),"",'Paste Full'!BQ45)</f>
        <v>1</v>
      </c>
      <c r="BL45" s="13">
        <f>IF(ISBLANK('Paste Full'!BT45),"",'Paste Full'!BT45)</f>
        <v>1</v>
      </c>
      <c r="BM45" s="13">
        <f>IF(ISBLANK('Paste Full'!BW45),"",'Paste Full'!BW45)</f>
        <v>1</v>
      </c>
      <c r="BN45" s="41">
        <f>IF(ISBLANK('Paste Full'!BZ45),"",'Paste Full'!BZ45)</f>
        <v>1</v>
      </c>
      <c r="BO45" s="41">
        <f>IF(ISBLANK('Paste Full'!CA45),"",'Paste Full'!CA45)</f>
        <v>1</v>
      </c>
      <c r="BP45" s="41">
        <f>IF(ISBLANK('Paste Full'!CB45),"",'Paste Full'!CB45)</f>
        <v>1</v>
      </c>
      <c r="BQ45" s="41">
        <f>IF(ISBLANK('Paste Full'!CC45),"",'Paste Full'!CC45)</f>
        <v>1</v>
      </c>
      <c r="BR45" s="41">
        <f>IF(ISBLANK('Paste Full'!CD45),"",'Paste Full'!CD45)</f>
        <v>1</v>
      </c>
      <c r="BS45" s="41">
        <f>IF(ISBLANK('Paste Full'!CE45),"",'Paste Full'!CE45)</f>
        <v>1</v>
      </c>
      <c r="BT45" s="41">
        <f>IF(ISBLANK('Paste Full'!CF45),"",'Paste Full'!CF45)</f>
        <v>15</v>
      </c>
      <c r="BU45" s="41">
        <f>IF(ISBLANK('Paste Full'!CG45),"",'Paste Full'!CG45)</f>
        <v>20</v>
      </c>
      <c r="BV45" s="41">
        <f>IF(ISBLANK('Paste Full'!CH45),"",'Paste Full'!CH45)</f>
        <v>1</v>
      </c>
    </row>
    <row r="46" spans="1:74" x14ac:dyDescent="0.3">
      <c r="A46" t="str">
        <f>IF(ISBLANK('Paste Full'!C46),"",'Paste Full'!C46)</f>
        <v>Jowan Purnell</v>
      </c>
      <c r="B46" t="str">
        <f t="shared" si="1"/>
        <v>DM(L)</v>
      </c>
      <c r="C46" s="2">
        <f>IF(ISBLANK('Paste Full'!H46),"",'Paste Full'!H46)</f>
        <v>18</v>
      </c>
      <c r="D46" s="2">
        <f>IF(ISBLANK('Paste Full'!F46),"",'Paste Full'!F46)</f>
        <v>66</v>
      </c>
      <c r="E46" s="2">
        <f>IF(ISBLANK('Paste Full'!G46),"",'Paste Full'!G46)</f>
        <v>95</v>
      </c>
      <c r="F46" s="21" t="str">
        <f>IF(ISBLANK('Paste Full'!E46),"",'Paste Full'!E46)</f>
        <v>England,Northern Ireland</v>
      </c>
      <c r="G46" t="str">
        <f>IF(ISBLANK('Paste Full'!CI46),"",'Paste Full'!CI46)</f>
        <v>Farnborough</v>
      </c>
      <c r="H46" s="21" t="str">
        <f>IF(ISBLANK('Paste Full'!J46),"",'Paste Full'!J46)</f>
        <v>$169,731</v>
      </c>
      <c r="I46" s="21" t="str">
        <f>IF(ISBLANK('Paste Full'!D46),"",'Paste Full'!D46)</f>
        <v>DM/M/AM C</v>
      </c>
      <c r="J46" s="14">
        <f>AVERAGE(SUMPRODUCT($S46:$BM46,AttWeights!$C$10:$AW$10)/SUM(AttWeights!$C$10:$AW$10),SUMPRODUCT($S46:$BM46,AttWeights!$C$17:$AW$17)/SUM(AttWeights!$C$17:$AW$17))*10</f>
        <v>68.612662942271882</v>
      </c>
      <c r="K46" s="14">
        <f>AVERAGE(SUMPRODUCT($S46:$BM46,AttWeights!$C$7:$AW$7)/SUM(AttWeights!$C$7:$AW$7),SUMPRODUCT($S46:$BM46,AttWeights!$C$15:$AW$15)/SUM(AttWeights!$C$15:$AW$15))*10</f>
        <v>74.208175379823089</v>
      </c>
      <c r="L46" s="14">
        <f>AVERAGE(SUMPRODUCT($S46:$BM46,AttWeights!$C$8:$AW$8)/SUM(AttWeights!$C$8:$AW$8),SUMPRODUCT($S46:$BM46,AttWeights!$C$16:$AW$16)/SUM(AttWeights!$C$16:$AW$16))*10</f>
        <v>76.380200209851679</v>
      </c>
      <c r="M46" s="14">
        <f>AVERAGE(SUMPRODUCT($S46:$BM46,AttWeights!$C$9:$AW$9)/SUM(AttWeights!$C$9:$AW$9),SUMPRODUCT($S46:$BM46,AttWeights!$C$15:$AW$15)/SUM(AttWeights!$C$15:$AW$15))*10</f>
        <v>73.755775257665334</v>
      </c>
      <c r="N46" s="14">
        <f>AVERAGE(SUMPRODUCT($S46:$BM46,AttWeights!$C$6:$AW$6)/SUM(AttWeights!$C$6:$AW$6),SUMPRODUCT($S46:$BM46,AttWeights!$C$14:$AW$14)/SUM(AttWeights!$C$14:$AW$14))*10</f>
        <v>76.704006893580342</v>
      </c>
      <c r="O46" s="14">
        <f>AVERAGE(SUMPRODUCT($S46:$BM46,AttWeights!$C$5:$AW$5)/SUM(AttWeights!$C$5:$AW$5),SUMPRODUCT($S46:$BM46,AttWeights!$C$14:$AW$14)/SUM(AttWeights!$C$14:$AW$14))*10</f>
        <v>75.649690623512612</v>
      </c>
      <c r="P46" s="14">
        <f>AVERAGE(SUMPRODUCT($S46:$BM46,AttWeights!$C$4:$AW$4)/SUM(AttWeights!$C$4:$AW$4),SUMPRODUCT($S46:$BM46,AttWeights!$C$13:$AW$13)/SUM(AttWeights!$C$13:$AW$13))*10</f>
        <v>72.118818681318686</v>
      </c>
      <c r="Q46" s="14">
        <f>AVERAGE(SUMPRODUCT($S46:$BM46,AttWeights!$C$3:$AW$3)/SUM(AttWeights!$C$3:$AW$3),SUMPRODUCT($S46:$BM46,AttWeights!$C$12:$AW$12)/SUM(AttWeights!$C$12:$AW$12))*10</f>
        <v>74.364518147684606</v>
      </c>
      <c r="R46" s="14">
        <f>AVERAGE(SUMPRODUCT($S46:$BM46,AttWeights!$C$2:$AW$2)/SUM(AttWeights!$C$2:$AW$2),SUMPRODUCT($S46:$BM46,AttWeights!$C$11:$AW$11)/SUM(AttWeights!$C$11:$AW$11))*10</f>
        <v>53.647771147771152</v>
      </c>
      <c r="S46" s="3">
        <f>IF(ISBLANK('Paste Full'!AC46),"",'Paste Full'!AC46)</f>
        <v>8</v>
      </c>
      <c r="T46" s="3">
        <f>IF(ISBLANK('Paste Full'!AD46),"",'Paste Full'!AD46)</f>
        <v>10</v>
      </c>
      <c r="U46" s="3" t="str">
        <f>IF(ISBLANK('Paste Full'!AE46),"",'Paste Full'!AE46)</f>
        <v>$11</v>
      </c>
      <c r="V46" s="3">
        <f>IF(ISBLANK('Paste Full'!AF46),"",'Paste Full'!AF46)</f>
        <v>8</v>
      </c>
      <c r="W46" s="3">
        <f>IF(ISBLANK('Paste Full'!AH46),"",'Paste Full'!AH46)</f>
        <v>4</v>
      </c>
      <c r="X46" s="3">
        <f>IF(ISBLANK('Paste Full'!AI46),"",'Paste Full'!AI46)</f>
        <v>8</v>
      </c>
      <c r="Y46" s="3">
        <f>IF(ISBLANK('Paste Full'!AK46),"",'Paste Full'!AK46)</f>
        <v>13</v>
      </c>
      <c r="Z46" s="3">
        <f>IF(ISBLANK('Paste Full'!AL46),"",'Paste Full'!AL46)</f>
        <v>5</v>
      </c>
      <c r="AA46" s="4">
        <f>IF(ISBLANK('Paste Full'!AM46),"",'Paste Full'!AM46)</f>
        <v>1</v>
      </c>
      <c r="AB46" s="4">
        <f>IF(ISBLANK('Paste Full'!AN46),"",'Paste Full'!AN46)</f>
        <v>4</v>
      </c>
      <c r="AC46" s="4">
        <f>IF(ISBLANK('Paste Full'!AO46),"",'Paste Full'!AO46)</f>
        <v>3</v>
      </c>
      <c r="AD46" s="4">
        <f>IF(ISBLANK('Paste Full'!AP46),"",'Paste Full'!AP46)</f>
        <v>3</v>
      </c>
      <c r="AE46" s="4">
        <f>IF(ISBLANK('Paste Full'!AQ46),"",'Paste Full'!AQ46)</f>
        <v>1</v>
      </c>
      <c r="AF46" s="4">
        <f>IF(ISBLANK('Paste Full'!AR46),"",'Paste Full'!AR46)</f>
        <v>2</v>
      </c>
      <c r="AG46" s="4">
        <f>IF(ISBLANK('Paste Full'!AS46),"",'Paste Full'!AS46)</f>
        <v>2</v>
      </c>
      <c r="AH46" s="4">
        <f>IF(ISBLANK('Paste Full'!AV46),"",'Paste Full'!AV46)</f>
        <v>1</v>
      </c>
      <c r="AI46" s="4">
        <f>IF(ISBLANK('Paste Full'!AT46),"",'Paste Full'!AT46)</f>
        <v>2</v>
      </c>
      <c r="AJ46" s="4">
        <f>IF(ISBLANK('Paste Full'!AU46),"",'Paste Full'!AU46)</f>
        <v>1</v>
      </c>
      <c r="AK46" s="4">
        <f>IF(ISBLANK('Paste Full'!AW46),"",'Paste Full'!AW46)</f>
        <v>3</v>
      </c>
      <c r="AL46" s="5">
        <f>IF(ISBLANK('Paste Full'!AX46),"",'Paste Full'!AX46)</f>
        <v>12</v>
      </c>
      <c r="AM46" s="5">
        <f>IF(ISBLANK('Paste Full'!AY46),"",'Paste Full'!AY46)</f>
        <v>7</v>
      </c>
      <c r="AN46" s="5">
        <f>IF(ISBLANK('Paste Full'!AZ46),"",'Paste Full'!AZ46)</f>
        <v>6</v>
      </c>
      <c r="AO46" s="5">
        <f>IF(ISBLANK('Paste Full'!BA46),"",'Paste Full'!BA46)</f>
        <v>8</v>
      </c>
      <c r="AP46" s="5">
        <f>IF(ISBLANK('Paste Full'!BB46),"",'Paste Full'!BB46)</f>
        <v>8</v>
      </c>
      <c r="AQ46" s="5">
        <f>IF(ISBLANK('Paste Full'!BC46),"",'Paste Full'!BC46)</f>
        <v>13</v>
      </c>
      <c r="AR46" s="5">
        <f>IF(ISBLANK('Paste Full'!BD46),"",'Paste Full'!BD46)</f>
        <v>4</v>
      </c>
      <c r="AS46" s="5">
        <f>IF(ISBLANK('Paste Full'!BE46),"",'Paste Full'!BE46)</f>
        <v>9</v>
      </c>
      <c r="AT46" s="5">
        <f>IF(ISBLANK('Paste Full'!BF46),"",'Paste Full'!BF46)</f>
        <v>8</v>
      </c>
      <c r="AU46" s="5">
        <f>IF(ISBLANK('Paste Full'!BG46),"",'Paste Full'!BG46)</f>
        <v>10</v>
      </c>
      <c r="AV46" s="5">
        <f>IF(ISBLANK('Paste Full'!BH46),"",'Paste Full'!BH46)</f>
        <v>11</v>
      </c>
      <c r="AW46" s="5">
        <f>IF(ISBLANK('Paste Full'!BI46),"",'Paste Full'!BI46)</f>
        <v>8</v>
      </c>
      <c r="AX46" s="5">
        <f>IF(ISBLANK('Paste Full'!BJ46),"",'Paste Full'!BJ46)</f>
        <v>11</v>
      </c>
      <c r="AY46" s="5">
        <f>IF(ISBLANK('Paste Full'!BK46),"",'Paste Full'!BK46)</f>
        <v>6</v>
      </c>
      <c r="AZ46" s="6">
        <f>IF(ISBLANK('Paste Full'!BM46),"",'Paste Full'!BM46)</f>
        <v>5</v>
      </c>
      <c r="BA46" s="6">
        <f>IF(ISBLANK('Paste Full'!BN46),"",'Paste Full'!BN46)</f>
        <v>5</v>
      </c>
      <c r="BB46" s="6">
        <f>IF(ISBLANK('Paste Full'!BO46),"",'Paste Full'!BO46)</f>
        <v>4</v>
      </c>
      <c r="BC46" s="6">
        <f>IF(ISBLANK('Paste Full'!BP46),"",'Paste Full'!BP46)</f>
        <v>11</v>
      </c>
      <c r="BD46" s="6">
        <f>IF(ISBLANK('Paste Full'!BR46),"",'Paste Full'!BR46)</f>
        <v>1</v>
      </c>
      <c r="BE46" s="6">
        <f>IF(ISBLANK('Paste Full'!BS46),"",'Paste Full'!BS46)</f>
        <v>5</v>
      </c>
      <c r="BF46" s="6">
        <f>IF(ISBLANK('Paste Full'!BU46),"",'Paste Full'!BU46)</f>
        <v>9</v>
      </c>
      <c r="BG46" s="6">
        <f>IF(ISBLANK('Paste Full'!BV46),"",'Paste Full'!BV46)</f>
        <v>13</v>
      </c>
      <c r="BH46" s="6">
        <f>IF(ISBLANK('Paste Full'!BX46),"",'Paste Full'!BX46)</f>
        <v>7</v>
      </c>
      <c r="BI46" s="6">
        <f>IF(ISBLANK('Paste Full'!BY46),"",'Paste Full'!BY46)</f>
        <v>6</v>
      </c>
      <c r="BJ46" s="13">
        <f>IF(ISBLANK('Paste Full'!BL46),"",'Paste Full'!BL46)</f>
        <v>7</v>
      </c>
      <c r="BK46" s="13">
        <f>IF(ISBLANK('Paste Full'!BQ46),"",'Paste Full'!BQ46)</f>
        <v>3</v>
      </c>
      <c r="BL46" s="13">
        <f>IF(ISBLANK('Paste Full'!BT46),"",'Paste Full'!BT46)</f>
        <v>2</v>
      </c>
      <c r="BM46" s="13">
        <f>IF(ISBLANK('Paste Full'!BW46),"",'Paste Full'!BW46)</f>
        <v>6</v>
      </c>
      <c r="BN46" s="41">
        <f>IF(ISBLANK('Paste Full'!BZ46),"",'Paste Full'!BZ46)</f>
        <v>1</v>
      </c>
      <c r="BO46" s="41">
        <f>IF(ISBLANK('Paste Full'!CA46),"",'Paste Full'!CA46)</f>
        <v>1</v>
      </c>
      <c r="BP46" s="41">
        <f>IF(ISBLANK('Paste Full'!CB46),"",'Paste Full'!CB46)</f>
        <v>1</v>
      </c>
      <c r="BQ46" s="41">
        <f>IF(ISBLANK('Paste Full'!CC46),"",'Paste Full'!CC46)</f>
        <v>1</v>
      </c>
      <c r="BR46" s="41">
        <f>IF(ISBLANK('Paste Full'!CD46),"",'Paste Full'!CD46)</f>
        <v>20</v>
      </c>
      <c r="BS46" s="41">
        <f>IF(ISBLANK('Paste Full'!CE46),"",'Paste Full'!CE46)</f>
        <v>1</v>
      </c>
      <c r="BT46" s="41">
        <f>IF(ISBLANK('Paste Full'!CF46),"",'Paste Full'!CF46)</f>
        <v>16</v>
      </c>
      <c r="BU46" s="41">
        <f>IF(ISBLANK('Paste Full'!CG46),"",'Paste Full'!CG46)</f>
        <v>1</v>
      </c>
      <c r="BV46" s="41">
        <f>IF(ISBLANK('Paste Full'!CH46),"",'Paste Full'!CH46)</f>
        <v>1</v>
      </c>
    </row>
    <row r="47" spans="1:74" x14ac:dyDescent="0.3">
      <c r="A47" t="str">
        <f>IF(ISBLANK('Paste Full'!C47),"",'Paste Full'!C47)</f>
        <v>Marcel Guzynski</v>
      </c>
      <c r="B47" t="str">
        <f t="shared" si="1"/>
        <v>AM(R)</v>
      </c>
      <c r="C47" s="2">
        <f>IF(ISBLANK('Paste Full'!H47),"",'Paste Full'!H47)</f>
        <v>22</v>
      </c>
      <c r="D47" s="2">
        <f>IF(ISBLANK('Paste Full'!F47),"",'Paste Full'!F47)</f>
        <v>60</v>
      </c>
      <c r="E47" s="2">
        <f>IF(ISBLANK('Paste Full'!G47),"",'Paste Full'!G47)</f>
        <v>96</v>
      </c>
      <c r="F47" s="21" t="str">
        <f>IF(ISBLANK('Paste Full'!E47),"",'Paste Full'!E47)</f>
        <v>England</v>
      </c>
      <c r="G47" t="str">
        <f>IF(ISBLANK('Paste Full'!CI47),"",'Paste Full'!CI47)</f>
        <v/>
      </c>
      <c r="H47" s="21" t="str">
        <f>IF(ISBLANK('Paste Full'!J47),"",'Paste Full'!J47)</f>
        <v>$1,698</v>
      </c>
      <c r="I47" s="21" t="str">
        <f>IF(ISBLANK('Paste Full'!D47),"",'Paste Full'!D47)</f>
        <v>AM RL</v>
      </c>
      <c r="J47" s="14">
        <f>AVERAGE(SUMPRODUCT($S47:$BM47,AttWeights!$C$10:$AW$10)/SUM(AttWeights!$C$10:$AW$10),SUMPRODUCT($S47:$BM47,AttWeights!$C$17:$AW$17)/SUM(AttWeights!$C$17:$AW$17))*10</f>
        <v>71.704197106431735</v>
      </c>
      <c r="K47" s="14">
        <f>AVERAGE(SUMPRODUCT($S47:$BM47,AttWeights!$C$7:$AW$7)/SUM(AttWeights!$C$7:$AW$7),SUMPRODUCT($S47:$BM47,AttWeights!$C$15:$AW$15)/SUM(AttWeights!$C$15:$AW$15))*10</f>
        <v>78.577389873343321</v>
      </c>
      <c r="L47" s="14">
        <f>AVERAGE(SUMPRODUCT($S47:$BM47,AttWeights!$C$8:$AW$8)/SUM(AttWeights!$C$8:$AW$8),SUMPRODUCT($S47:$BM47,AttWeights!$C$16:$AW$16)/SUM(AttWeights!$C$16:$AW$16))*10</f>
        <v>79.667356719507708</v>
      </c>
      <c r="M47" s="14">
        <f>AVERAGE(SUMPRODUCT($S47:$BM47,AttWeights!$C$9:$AW$9)/SUM(AttWeights!$C$9:$AW$9),SUMPRODUCT($S47:$BM47,AttWeights!$C$15:$AW$15)/SUM(AttWeights!$C$15:$AW$15))*10</f>
        <v>80.112274239927629</v>
      </c>
      <c r="N47" s="14">
        <f>AVERAGE(SUMPRODUCT($S47:$BM47,AttWeights!$C$6:$AW$6)/SUM(AttWeights!$C$6:$AW$6),SUMPRODUCT($S47:$BM47,AttWeights!$C$14:$AW$14)/SUM(AttWeights!$C$14:$AW$14))*10</f>
        <v>70.891587677725113</v>
      </c>
      <c r="O47" s="14">
        <f>AVERAGE(SUMPRODUCT($S47:$BM47,AttWeights!$C$5:$AW$5)/SUM(AttWeights!$C$5:$AW$5),SUMPRODUCT($S47:$BM47,AttWeights!$C$14:$AW$14)/SUM(AttWeights!$C$14:$AW$14))*10</f>
        <v>68.563481675392666</v>
      </c>
      <c r="P47" s="14">
        <f>AVERAGE(SUMPRODUCT($S47:$BM47,AttWeights!$C$4:$AW$4)/SUM(AttWeights!$C$4:$AW$4),SUMPRODUCT($S47:$BM47,AttWeights!$C$13:$AW$13)/SUM(AttWeights!$C$13:$AW$13))*10</f>
        <v>66.871565934065927</v>
      </c>
      <c r="Q47" s="14">
        <f>AVERAGE(SUMPRODUCT($S47:$BM47,AttWeights!$C$3:$AW$3)/SUM(AttWeights!$C$3:$AW$3),SUMPRODUCT($S47:$BM47,AttWeights!$C$12:$AW$12)/SUM(AttWeights!$C$12:$AW$12))*10</f>
        <v>69.801314142678336</v>
      </c>
      <c r="R47" s="14">
        <f>AVERAGE(SUMPRODUCT($S47:$BM47,AttWeights!$C$2:$AW$2)/SUM(AttWeights!$C$2:$AW$2),SUMPRODUCT($S47:$BM47,AttWeights!$C$11:$AW$11)/SUM(AttWeights!$C$11:$AW$11))*10</f>
        <v>48.889522639522639</v>
      </c>
      <c r="S47" s="3">
        <f>IF(ISBLANK('Paste Full'!AC47),"",'Paste Full'!AC47)</f>
        <v>12</v>
      </c>
      <c r="T47" s="3">
        <f>IF(ISBLANK('Paste Full'!AD47),"",'Paste Full'!AD47)</f>
        <v>12</v>
      </c>
      <c r="U47" s="3" t="str">
        <f>IF(ISBLANK('Paste Full'!AE47),"",'Paste Full'!AE47)</f>
        <v>$7</v>
      </c>
      <c r="V47" s="3">
        <f>IF(ISBLANK('Paste Full'!AF47),"",'Paste Full'!AF47)</f>
        <v>11</v>
      </c>
      <c r="W47" s="3">
        <f>IF(ISBLANK('Paste Full'!AH47),"",'Paste Full'!AH47)</f>
        <v>13</v>
      </c>
      <c r="X47" s="3">
        <f>IF(ISBLANK('Paste Full'!AI47),"",'Paste Full'!AI47)</f>
        <v>13</v>
      </c>
      <c r="Y47" s="3">
        <f>IF(ISBLANK('Paste Full'!AK47),"",'Paste Full'!AK47)</f>
        <v>10</v>
      </c>
      <c r="Z47" s="3">
        <f>IF(ISBLANK('Paste Full'!AL47),"",'Paste Full'!AL47)</f>
        <v>5</v>
      </c>
      <c r="AA47" s="4">
        <f>IF(ISBLANK('Paste Full'!AM47),"",'Paste Full'!AM47)</f>
        <v>2</v>
      </c>
      <c r="AB47" s="4">
        <f>IF(ISBLANK('Paste Full'!AN47),"",'Paste Full'!AN47)</f>
        <v>2</v>
      </c>
      <c r="AC47" s="4">
        <f>IF(ISBLANK('Paste Full'!AO47),"",'Paste Full'!AO47)</f>
        <v>2</v>
      </c>
      <c r="AD47" s="4">
        <f>IF(ISBLANK('Paste Full'!AP47),"",'Paste Full'!AP47)</f>
        <v>1</v>
      </c>
      <c r="AE47" s="4">
        <f>IF(ISBLANK('Paste Full'!AQ47),"",'Paste Full'!AQ47)</f>
        <v>2</v>
      </c>
      <c r="AF47" s="4">
        <f>IF(ISBLANK('Paste Full'!AR47),"",'Paste Full'!AR47)</f>
        <v>2</v>
      </c>
      <c r="AG47" s="4">
        <f>IF(ISBLANK('Paste Full'!AS47),"",'Paste Full'!AS47)</f>
        <v>3</v>
      </c>
      <c r="AH47" s="4">
        <f>IF(ISBLANK('Paste Full'!AV47),"",'Paste Full'!AV47)</f>
        <v>1</v>
      </c>
      <c r="AI47" s="4">
        <f>IF(ISBLANK('Paste Full'!AT47),"",'Paste Full'!AT47)</f>
        <v>3</v>
      </c>
      <c r="AJ47" s="4">
        <f>IF(ISBLANK('Paste Full'!AU47),"",'Paste Full'!AU47)</f>
        <v>4</v>
      </c>
      <c r="AK47" s="4">
        <f>IF(ISBLANK('Paste Full'!AW47),"",'Paste Full'!AW47)</f>
        <v>3</v>
      </c>
      <c r="AL47" s="5">
        <f>IF(ISBLANK('Paste Full'!AX47),"",'Paste Full'!AX47)</f>
        <v>14</v>
      </c>
      <c r="AM47" s="5">
        <f>IF(ISBLANK('Paste Full'!AY47),"",'Paste Full'!AY47)</f>
        <v>7</v>
      </c>
      <c r="AN47" s="5">
        <f>IF(ISBLANK('Paste Full'!AZ47),"",'Paste Full'!AZ47)</f>
        <v>4</v>
      </c>
      <c r="AO47" s="5">
        <f>IF(ISBLANK('Paste Full'!BA47),"",'Paste Full'!BA47)</f>
        <v>4</v>
      </c>
      <c r="AP47" s="5">
        <f>IF(ISBLANK('Paste Full'!BB47),"",'Paste Full'!BB47)</f>
        <v>1</v>
      </c>
      <c r="AQ47" s="5">
        <f>IF(ISBLANK('Paste Full'!BC47),"",'Paste Full'!BC47)</f>
        <v>13</v>
      </c>
      <c r="AR47" s="5">
        <f>IF(ISBLANK('Paste Full'!BD47),"",'Paste Full'!BD47)</f>
        <v>15</v>
      </c>
      <c r="AS47" s="5">
        <f>IF(ISBLANK('Paste Full'!BE47),"",'Paste Full'!BE47)</f>
        <v>12</v>
      </c>
      <c r="AT47" s="5">
        <f>IF(ISBLANK('Paste Full'!BF47),"",'Paste Full'!BF47)</f>
        <v>12</v>
      </c>
      <c r="AU47" s="5">
        <f>IF(ISBLANK('Paste Full'!BG47),"",'Paste Full'!BG47)</f>
        <v>10</v>
      </c>
      <c r="AV47" s="5">
        <f>IF(ISBLANK('Paste Full'!BH47),"",'Paste Full'!BH47)</f>
        <v>2</v>
      </c>
      <c r="AW47" s="5">
        <f>IF(ISBLANK('Paste Full'!BI47),"",'Paste Full'!BI47)</f>
        <v>5</v>
      </c>
      <c r="AX47" s="5">
        <f>IF(ISBLANK('Paste Full'!BJ47),"",'Paste Full'!BJ47)</f>
        <v>8</v>
      </c>
      <c r="AY47" s="5">
        <f>IF(ISBLANK('Paste Full'!BK47),"",'Paste Full'!BK47)</f>
        <v>11</v>
      </c>
      <c r="AZ47" s="6">
        <f>IF(ISBLANK('Paste Full'!BM47),"",'Paste Full'!BM47)</f>
        <v>8</v>
      </c>
      <c r="BA47" s="6">
        <f>IF(ISBLANK('Paste Full'!BN47),"",'Paste Full'!BN47)</f>
        <v>12</v>
      </c>
      <c r="BB47" s="6">
        <f>IF(ISBLANK('Paste Full'!BO47),"",'Paste Full'!BO47)</f>
        <v>4</v>
      </c>
      <c r="BC47" s="6">
        <f>IF(ISBLANK('Paste Full'!BP47),"",'Paste Full'!BP47)</f>
        <v>10</v>
      </c>
      <c r="BD47" s="6">
        <f>IF(ISBLANK('Paste Full'!BR47),"",'Paste Full'!BR47)</f>
        <v>2</v>
      </c>
      <c r="BE47" s="6">
        <f>IF(ISBLANK('Paste Full'!BS47),"",'Paste Full'!BS47)</f>
        <v>3</v>
      </c>
      <c r="BF47" s="6">
        <f>IF(ISBLANK('Paste Full'!BU47),"",'Paste Full'!BU47)</f>
        <v>4</v>
      </c>
      <c r="BG47" s="6">
        <f>IF(ISBLANK('Paste Full'!BV47),"",'Paste Full'!BV47)</f>
        <v>4</v>
      </c>
      <c r="BH47" s="6">
        <f>IF(ISBLANK('Paste Full'!BX47),"",'Paste Full'!BX47)</f>
        <v>3</v>
      </c>
      <c r="BI47" s="6">
        <f>IF(ISBLANK('Paste Full'!BY47),"",'Paste Full'!BY47)</f>
        <v>11</v>
      </c>
      <c r="BJ47" s="13">
        <f>IF(ISBLANK('Paste Full'!BL47),"",'Paste Full'!BL47)</f>
        <v>3</v>
      </c>
      <c r="BK47" s="13">
        <f>IF(ISBLANK('Paste Full'!BQ47),"",'Paste Full'!BQ47)</f>
        <v>2</v>
      </c>
      <c r="BL47" s="13">
        <f>IF(ISBLANK('Paste Full'!BT47),"",'Paste Full'!BT47)</f>
        <v>2</v>
      </c>
      <c r="BM47" s="13">
        <f>IF(ISBLANK('Paste Full'!BW47),"",'Paste Full'!BW47)</f>
        <v>1</v>
      </c>
      <c r="BN47" s="41">
        <f>IF(ISBLANK('Paste Full'!BZ47),"",'Paste Full'!BZ47)</f>
        <v>1</v>
      </c>
      <c r="BO47" s="41">
        <f>IF(ISBLANK('Paste Full'!CA47),"",'Paste Full'!CA47)</f>
        <v>1</v>
      </c>
      <c r="BP47" s="41">
        <f>IF(ISBLANK('Paste Full'!CB47),"",'Paste Full'!CB47)</f>
        <v>1</v>
      </c>
      <c r="BQ47" s="41">
        <f>IF(ISBLANK('Paste Full'!CC47),"",'Paste Full'!CC47)</f>
        <v>4</v>
      </c>
      <c r="BR47" s="41">
        <f>IF(ISBLANK('Paste Full'!CD47),"",'Paste Full'!CD47)</f>
        <v>1</v>
      </c>
      <c r="BS47" s="41">
        <f>IF(ISBLANK('Paste Full'!CE47),"",'Paste Full'!CE47)</f>
        <v>20</v>
      </c>
      <c r="BT47" s="41">
        <f>IF(ISBLANK('Paste Full'!CF47),"",'Paste Full'!CF47)</f>
        <v>2</v>
      </c>
      <c r="BU47" s="41">
        <f>IF(ISBLANK('Paste Full'!CG47),"",'Paste Full'!CG47)</f>
        <v>20</v>
      </c>
      <c r="BV47" s="41">
        <f>IF(ISBLANK('Paste Full'!CH47),"",'Paste Full'!CH47)</f>
        <v>1</v>
      </c>
    </row>
    <row r="48" spans="1:74" x14ac:dyDescent="0.3">
      <c r="A48" t="str">
        <f>IF(ISBLANK('Paste Full'!C48),"",'Paste Full'!C48)</f>
        <v>Nathan Vaughan</v>
      </c>
      <c r="B48" t="str">
        <f t="shared" si="1"/>
        <v>AM(R)</v>
      </c>
      <c r="C48" s="2">
        <f>IF(ISBLANK('Paste Full'!H48),"",'Paste Full'!H48)</f>
        <v>18</v>
      </c>
      <c r="D48" s="2">
        <f>IF(ISBLANK('Paste Full'!F48),"",'Paste Full'!F48)</f>
        <v>73</v>
      </c>
      <c r="E48" s="2">
        <f>IF(ISBLANK('Paste Full'!G48),"",'Paste Full'!G48)</f>
        <v>97</v>
      </c>
      <c r="F48" s="21" t="str">
        <f>IF(ISBLANK('Paste Full'!E48),"",'Paste Full'!E48)</f>
        <v>England</v>
      </c>
      <c r="G48" t="str">
        <f>IF(ISBLANK('Paste Full'!CI48),"",'Paste Full'!CI48)</f>
        <v>Oxford City</v>
      </c>
      <c r="H48" s="21" t="str">
        <f>IF(ISBLANK('Paste Full'!J48),"",'Paste Full'!J48)</f>
        <v>$195,870</v>
      </c>
      <c r="I48" s="21" t="str">
        <f>IF(ISBLANK('Paste Full'!D48),"",'Paste Full'!D48)</f>
        <v>M/AM R</v>
      </c>
      <c r="J48" s="14">
        <f>AVERAGE(SUMPRODUCT($S48:$BM48,AttWeights!$C$10:$AW$10)/SUM(AttWeights!$C$10:$AW$10),SUMPRODUCT($S48:$BM48,AttWeights!$C$17:$AW$17)/SUM(AttWeights!$C$17:$AW$17))*10</f>
        <v>74.213579716373005</v>
      </c>
      <c r="K48" s="14">
        <f>AVERAGE(SUMPRODUCT($S48:$BM48,AttWeights!$C$7:$AW$7)/SUM(AttWeights!$C$7:$AW$7),SUMPRODUCT($S48:$BM48,AttWeights!$C$15:$AW$15)/SUM(AttWeights!$C$15:$AW$15))*10</f>
        <v>80.255517352846098</v>
      </c>
      <c r="L48" s="14">
        <f>AVERAGE(SUMPRODUCT($S48:$BM48,AttWeights!$C$8:$AW$8)/SUM(AttWeights!$C$8:$AW$8),SUMPRODUCT($S48:$BM48,AttWeights!$C$16:$AW$16)/SUM(AttWeights!$C$16:$AW$16))*10</f>
        <v>81.092221308453617</v>
      </c>
      <c r="M48" s="14">
        <f>AVERAGE(SUMPRODUCT($S48:$BM48,AttWeights!$C$9:$AW$9)/SUM(AttWeights!$C$9:$AW$9),SUMPRODUCT($S48:$BM48,AttWeights!$C$15:$AW$15)/SUM(AttWeights!$C$15:$AW$15))*10</f>
        <v>82.051791541468774</v>
      </c>
      <c r="N48" s="14">
        <f>AVERAGE(SUMPRODUCT($S48:$BM48,AttWeights!$C$6:$AW$6)/SUM(AttWeights!$C$6:$AW$6),SUMPRODUCT($S48:$BM48,AttWeights!$C$14:$AW$14)/SUM(AttWeights!$C$14:$AW$14))*10</f>
        <v>75.40997953468333</v>
      </c>
      <c r="O48" s="14">
        <f>AVERAGE(SUMPRODUCT($S48:$BM48,AttWeights!$C$5:$AW$5)/SUM(AttWeights!$C$5:$AW$5),SUMPRODUCT($S48:$BM48,AttWeights!$C$14:$AW$14)/SUM(AttWeights!$C$14:$AW$14))*10</f>
        <v>75.691486197049031</v>
      </c>
      <c r="P48" s="14">
        <f>AVERAGE(SUMPRODUCT($S48:$BM48,AttWeights!$C$4:$AW$4)/SUM(AttWeights!$C$4:$AW$4),SUMPRODUCT($S48:$BM48,AttWeights!$C$13:$AW$13)/SUM(AttWeights!$C$13:$AW$13))*10</f>
        <v>74.574175824175825</v>
      </c>
      <c r="Q48" s="14">
        <f>AVERAGE(SUMPRODUCT($S48:$BM48,AttWeights!$C$3:$AW$3)/SUM(AttWeights!$C$3:$AW$3),SUMPRODUCT($S48:$BM48,AttWeights!$C$12:$AW$12)/SUM(AttWeights!$C$12:$AW$12))*10</f>
        <v>75.837609511889866</v>
      </c>
      <c r="R48" s="14">
        <f>AVERAGE(SUMPRODUCT($S48:$BM48,AttWeights!$C$2:$AW$2)/SUM(AttWeights!$C$2:$AW$2),SUMPRODUCT($S48:$BM48,AttWeights!$C$11:$AW$11)/SUM(AttWeights!$C$11:$AW$11))*10</f>
        <v>49.67269217269218</v>
      </c>
      <c r="S48" s="3">
        <f>IF(ISBLANK('Paste Full'!AC48),"",'Paste Full'!AC48)</f>
        <v>13</v>
      </c>
      <c r="T48" s="3">
        <f>IF(ISBLANK('Paste Full'!AD48),"",'Paste Full'!AD48)</f>
        <v>11</v>
      </c>
      <c r="U48" s="3" t="str">
        <f>IF(ISBLANK('Paste Full'!AE48),"",'Paste Full'!AE48)</f>
        <v>$15</v>
      </c>
      <c r="V48" s="3">
        <f>IF(ISBLANK('Paste Full'!AF48),"",'Paste Full'!AF48)</f>
        <v>10</v>
      </c>
      <c r="W48" s="3">
        <f>IF(ISBLANK('Paste Full'!AH48),"",'Paste Full'!AH48)</f>
        <v>15</v>
      </c>
      <c r="X48" s="3">
        <f>IF(ISBLANK('Paste Full'!AI48),"",'Paste Full'!AI48)</f>
        <v>12</v>
      </c>
      <c r="Y48" s="3">
        <f>IF(ISBLANK('Paste Full'!AK48),"",'Paste Full'!AK48)</f>
        <v>13</v>
      </c>
      <c r="Z48" s="3">
        <f>IF(ISBLANK('Paste Full'!AL48),"",'Paste Full'!AL48)</f>
        <v>11</v>
      </c>
      <c r="AA48" s="4">
        <f>IF(ISBLANK('Paste Full'!AM48),"",'Paste Full'!AM48)</f>
        <v>3</v>
      </c>
      <c r="AB48" s="4">
        <f>IF(ISBLANK('Paste Full'!AN48),"",'Paste Full'!AN48)</f>
        <v>2</v>
      </c>
      <c r="AC48" s="4">
        <f>IF(ISBLANK('Paste Full'!AO48),"",'Paste Full'!AO48)</f>
        <v>2</v>
      </c>
      <c r="AD48" s="4">
        <f>IF(ISBLANK('Paste Full'!AP48),"",'Paste Full'!AP48)</f>
        <v>1</v>
      </c>
      <c r="AE48" s="4">
        <f>IF(ISBLANK('Paste Full'!AQ48),"",'Paste Full'!AQ48)</f>
        <v>2</v>
      </c>
      <c r="AF48" s="4">
        <f>IF(ISBLANK('Paste Full'!AR48),"",'Paste Full'!AR48)</f>
        <v>1</v>
      </c>
      <c r="AG48" s="4">
        <f>IF(ISBLANK('Paste Full'!AS48),"",'Paste Full'!AS48)</f>
        <v>3</v>
      </c>
      <c r="AH48" s="4">
        <f>IF(ISBLANK('Paste Full'!AV48),"",'Paste Full'!AV48)</f>
        <v>1</v>
      </c>
      <c r="AI48" s="4">
        <f>IF(ISBLANK('Paste Full'!AT48),"",'Paste Full'!AT48)</f>
        <v>1</v>
      </c>
      <c r="AJ48" s="4">
        <f>IF(ISBLANK('Paste Full'!AU48),"",'Paste Full'!AU48)</f>
        <v>1</v>
      </c>
      <c r="AK48" s="4">
        <f>IF(ISBLANK('Paste Full'!AW48),"",'Paste Full'!AW48)</f>
        <v>4</v>
      </c>
      <c r="AL48" s="5">
        <f>IF(ISBLANK('Paste Full'!AX48),"",'Paste Full'!AX48)</f>
        <v>18</v>
      </c>
      <c r="AM48" s="5">
        <f>IF(ISBLANK('Paste Full'!AY48),"",'Paste Full'!AY48)</f>
        <v>10</v>
      </c>
      <c r="AN48" s="5">
        <f>IF(ISBLANK('Paste Full'!AZ48),"",'Paste Full'!AZ48)</f>
        <v>5</v>
      </c>
      <c r="AO48" s="5">
        <f>IF(ISBLANK('Paste Full'!BA48),"",'Paste Full'!BA48)</f>
        <v>9</v>
      </c>
      <c r="AP48" s="5">
        <f>IF(ISBLANK('Paste Full'!BB48),"",'Paste Full'!BB48)</f>
        <v>4</v>
      </c>
      <c r="AQ48" s="5">
        <f>IF(ISBLANK('Paste Full'!BC48),"",'Paste Full'!BC48)</f>
        <v>9</v>
      </c>
      <c r="AR48" s="5">
        <f>IF(ISBLANK('Paste Full'!BD48),"",'Paste Full'!BD48)</f>
        <v>6</v>
      </c>
      <c r="AS48" s="5">
        <f>IF(ISBLANK('Paste Full'!BE48),"",'Paste Full'!BE48)</f>
        <v>11</v>
      </c>
      <c r="AT48" s="5">
        <f>IF(ISBLANK('Paste Full'!BF48),"",'Paste Full'!BF48)</f>
        <v>9</v>
      </c>
      <c r="AU48" s="5">
        <f>IF(ISBLANK('Paste Full'!BG48),"",'Paste Full'!BG48)</f>
        <v>8</v>
      </c>
      <c r="AV48" s="5">
        <f>IF(ISBLANK('Paste Full'!BH48),"",'Paste Full'!BH48)</f>
        <v>5</v>
      </c>
      <c r="AW48" s="5">
        <f>IF(ISBLANK('Paste Full'!BI48),"",'Paste Full'!BI48)</f>
        <v>10</v>
      </c>
      <c r="AX48" s="5">
        <f>IF(ISBLANK('Paste Full'!BJ48),"",'Paste Full'!BJ48)</f>
        <v>8</v>
      </c>
      <c r="AY48" s="5">
        <f>IF(ISBLANK('Paste Full'!BK48),"",'Paste Full'!BK48)</f>
        <v>7</v>
      </c>
      <c r="AZ48" s="6">
        <f>IF(ISBLANK('Paste Full'!BM48),"",'Paste Full'!BM48)</f>
        <v>12</v>
      </c>
      <c r="BA48" s="6">
        <f>IF(ISBLANK('Paste Full'!BN48),"",'Paste Full'!BN48)</f>
        <v>8</v>
      </c>
      <c r="BB48" s="6">
        <f>IF(ISBLANK('Paste Full'!BO48),"",'Paste Full'!BO48)</f>
        <v>4</v>
      </c>
      <c r="BC48" s="6">
        <f>IF(ISBLANK('Paste Full'!BP48),"",'Paste Full'!BP48)</f>
        <v>5</v>
      </c>
      <c r="BD48" s="6">
        <f>IF(ISBLANK('Paste Full'!BR48),"",'Paste Full'!BR48)</f>
        <v>3</v>
      </c>
      <c r="BE48" s="6">
        <f>IF(ISBLANK('Paste Full'!BS48),"",'Paste Full'!BS48)</f>
        <v>5</v>
      </c>
      <c r="BF48" s="6">
        <f>IF(ISBLANK('Paste Full'!BU48),"",'Paste Full'!BU48)</f>
        <v>7</v>
      </c>
      <c r="BG48" s="6">
        <f>IF(ISBLANK('Paste Full'!BV48),"",'Paste Full'!BV48)</f>
        <v>7</v>
      </c>
      <c r="BH48" s="6">
        <f>IF(ISBLANK('Paste Full'!BX48),"",'Paste Full'!BX48)</f>
        <v>2</v>
      </c>
      <c r="BI48" s="6">
        <f>IF(ISBLANK('Paste Full'!BY48),"",'Paste Full'!BY48)</f>
        <v>8</v>
      </c>
      <c r="BJ48" s="13">
        <f>IF(ISBLANK('Paste Full'!BL48),"",'Paste Full'!BL48)</f>
        <v>7</v>
      </c>
      <c r="BK48" s="13">
        <f>IF(ISBLANK('Paste Full'!BQ48),"",'Paste Full'!BQ48)</f>
        <v>10</v>
      </c>
      <c r="BL48" s="13">
        <f>IF(ISBLANK('Paste Full'!BT48),"",'Paste Full'!BT48)</f>
        <v>5</v>
      </c>
      <c r="BM48" s="13">
        <f>IF(ISBLANK('Paste Full'!BW48),"",'Paste Full'!BW48)</f>
        <v>7</v>
      </c>
      <c r="BN48" s="41">
        <f>IF(ISBLANK('Paste Full'!BZ48),"",'Paste Full'!BZ48)</f>
        <v>1</v>
      </c>
      <c r="BO48" s="41">
        <f>IF(ISBLANK('Paste Full'!CA48),"",'Paste Full'!CA48)</f>
        <v>1</v>
      </c>
      <c r="BP48" s="41">
        <f>IF(ISBLANK('Paste Full'!CB48),"",'Paste Full'!CB48)</f>
        <v>1</v>
      </c>
      <c r="BQ48" s="41">
        <f>IF(ISBLANK('Paste Full'!CC48),"",'Paste Full'!CC48)</f>
        <v>1</v>
      </c>
      <c r="BR48" s="41">
        <f>IF(ISBLANK('Paste Full'!CD48),"",'Paste Full'!CD48)</f>
        <v>1</v>
      </c>
      <c r="BS48" s="41">
        <f>IF(ISBLANK('Paste Full'!CE48),"",'Paste Full'!CE48)</f>
        <v>20</v>
      </c>
      <c r="BT48" s="41">
        <f>IF(ISBLANK('Paste Full'!CF48),"",'Paste Full'!CF48)</f>
        <v>1</v>
      </c>
      <c r="BU48" s="41">
        <f>IF(ISBLANK('Paste Full'!CG48),"",'Paste Full'!CG48)</f>
        <v>1</v>
      </c>
      <c r="BV48" s="41">
        <f>IF(ISBLANK('Paste Full'!CH48),"",'Paste Full'!CH48)</f>
        <v>1</v>
      </c>
    </row>
    <row r="49" spans="1:74" x14ac:dyDescent="0.3">
      <c r="A49" t="str">
        <f>IF(ISBLANK('Paste Full'!C49),"",'Paste Full'!C49)</f>
        <v>Regan Edge-Lucas</v>
      </c>
      <c r="B49" t="str">
        <f t="shared" si="1"/>
        <v>Striker</v>
      </c>
      <c r="C49" s="2">
        <f>IF(ISBLANK('Paste Full'!H49),"",'Paste Full'!H49)</f>
        <v>20</v>
      </c>
      <c r="D49" s="2">
        <f>IF(ISBLANK('Paste Full'!F49),"",'Paste Full'!F49)</f>
        <v>81</v>
      </c>
      <c r="E49" s="2">
        <f>IF(ISBLANK('Paste Full'!G49),"",'Paste Full'!G49)</f>
        <v>89</v>
      </c>
      <c r="F49" s="21" t="str">
        <f>IF(ISBLANK('Paste Full'!E49),"",'Paste Full'!E49)</f>
        <v>England</v>
      </c>
      <c r="G49" t="str">
        <f>IF(ISBLANK('Paste Full'!CI49),"",'Paste Full'!CI49)</f>
        <v/>
      </c>
      <c r="H49" s="21" t="str">
        <f>IF(ISBLANK('Paste Full'!J49),"",'Paste Full'!J49)</f>
        <v>$32,454</v>
      </c>
      <c r="I49" s="21" t="str">
        <f>IF(ISBLANK('Paste Full'!D49),"",'Paste Full'!D49)</f>
        <v>AM/ST RL</v>
      </c>
      <c r="J49" s="14">
        <f>AVERAGE(SUMPRODUCT($S49:$BM49,AttWeights!$C$10:$AW$10)/SUM(AttWeights!$C$10:$AW$10),SUMPRODUCT($S49:$BM49,AttWeights!$C$17:$AW$17)/SUM(AttWeights!$C$17:$AW$17))*10</f>
        <v>88.044549491476857</v>
      </c>
      <c r="K49" s="14">
        <f>AVERAGE(SUMPRODUCT($S49:$BM49,AttWeights!$C$7:$AW$7)/SUM(AttWeights!$C$7:$AW$7),SUMPRODUCT($S49:$BM49,AttWeights!$C$15:$AW$15)/SUM(AttWeights!$C$15:$AW$15))*10</f>
        <v>84.875253460283886</v>
      </c>
      <c r="L49" s="14">
        <f>AVERAGE(SUMPRODUCT($S49:$BM49,AttWeights!$C$8:$AW$8)/SUM(AttWeights!$C$8:$AW$8),SUMPRODUCT($S49:$BM49,AttWeights!$C$16:$AW$16)/SUM(AttWeights!$C$16:$AW$16))*10</f>
        <v>85.162493264895218</v>
      </c>
      <c r="M49" s="14">
        <f>AVERAGE(SUMPRODUCT($S49:$BM49,AttWeights!$C$9:$AW$9)/SUM(AttWeights!$C$9:$AW$9),SUMPRODUCT($S49:$BM49,AttWeights!$C$15:$AW$15)/SUM(AttWeights!$C$15:$AW$15))*10</f>
        <v>81.886691867791015</v>
      </c>
      <c r="N49" s="14">
        <f>AVERAGE(SUMPRODUCT($S49:$BM49,AttWeights!$C$6:$AW$6)/SUM(AttWeights!$C$6:$AW$6),SUMPRODUCT($S49:$BM49,AttWeights!$C$14:$AW$14)/SUM(AttWeights!$C$14:$AW$14))*10</f>
        <v>78.898373545885391</v>
      </c>
      <c r="O49" s="14">
        <f>AVERAGE(SUMPRODUCT($S49:$BM49,AttWeights!$C$5:$AW$5)/SUM(AttWeights!$C$5:$AW$5),SUMPRODUCT($S49:$BM49,AttWeights!$C$14:$AW$14)/SUM(AttWeights!$C$14:$AW$14))*10</f>
        <v>75.776118514992859</v>
      </c>
      <c r="P49" s="14">
        <f>AVERAGE(SUMPRODUCT($S49:$BM49,AttWeights!$C$4:$AW$4)/SUM(AttWeights!$C$4:$AW$4),SUMPRODUCT($S49:$BM49,AttWeights!$C$13:$AW$13)/SUM(AttWeights!$C$13:$AW$13))*10</f>
        <v>80.219780219780219</v>
      </c>
      <c r="Q49" s="14">
        <f>AVERAGE(SUMPRODUCT($S49:$BM49,AttWeights!$C$3:$AW$3)/SUM(AttWeights!$C$3:$AW$3),SUMPRODUCT($S49:$BM49,AttWeights!$C$12:$AW$12)/SUM(AttWeights!$C$12:$AW$12))*10</f>
        <v>73.88923654568211</v>
      </c>
      <c r="R49" s="14">
        <f>AVERAGE(SUMPRODUCT($S49:$BM49,AttWeights!$C$2:$AW$2)/SUM(AttWeights!$C$2:$AW$2),SUMPRODUCT($S49:$BM49,AttWeights!$C$11:$AW$11)/SUM(AttWeights!$C$11:$AW$11))*10</f>
        <v>57.096788346788344</v>
      </c>
      <c r="S49" s="3">
        <f>IF(ISBLANK('Paste Full'!AC49),"",'Paste Full'!AC49)</f>
        <v>8</v>
      </c>
      <c r="T49" s="3">
        <f>IF(ISBLANK('Paste Full'!AD49),"",'Paste Full'!AD49)</f>
        <v>10</v>
      </c>
      <c r="U49" s="3" t="str">
        <f>IF(ISBLANK('Paste Full'!AE49),"",'Paste Full'!AE49)</f>
        <v>$14</v>
      </c>
      <c r="V49" s="3">
        <f>IF(ISBLANK('Paste Full'!AF49),"",'Paste Full'!AF49)</f>
        <v>5</v>
      </c>
      <c r="W49" s="3">
        <f>IF(ISBLANK('Paste Full'!AH49),"",'Paste Full'!AH49)</f>
        <v>13</v>
      </c>
      <c r="X49" s="3">
        <f>IF(ISBLANK('Paste Full'!AI49),"",'Paste Full'!AI49)</f>
        <v>7</v>
      </c>
      <c r="Y49" s="3">
        <f>IF(ISBLANK('Paste Full'!AK49),"",'Paste Full'!AK49)</f>
        <v>11</v>
      </c>
      <c r="Z49" s="3">
        <f>IF(ISBLANK('Paste Full'!AL49),"",'Paste Full'!AL49)</f>
        <v>12</v>
      </c>
      <c r="AA49" s="4">
        <f>IF(ISBLANK('Paste Full'!AM49),"",'Paste Full'!AM49)</f>
        <v>1</v>
      </c>
      <c r="AB49" s="4">
        <f>IF(ISBLANK('Paste Full'!AN49),"",'Paste Full'!AN49)</f>
        <v>1</v>
      </c>
      <c r="AC49" s="4">
        <f>IF(ISBLANK('Paste Full'!AO49),"",'Paste Full'!AO49)</f>
        <v>3</v>
      </c>
      <c r="AD49" s="4">
        <f>IF(ISBLANK('Paste Full'!AP49),"",'Paste Full'!AP49)</f>
        <v>3</v>
      </c>
      <c r="AE49" s="4">
        <f>IF(ISBLANK('Paste Full'!AQ49),"",'Paste Full'!AQ49)</f>
        <v>4</v>
      </c>
      <c r="AF49" s="4">
        <f>IF(ISBLANK('Paste Full'!AR49),"",'Paste Full'!AR49)</f>
        <v>3</v>
      </c>
      <c r="AG49" s="4">
        <f>IF(ISBLANK('Paste Full'!AS49),"",'Paste Full'!AS49)</f>
        <v>4</v>
      </c>
      <c r="AH49" s="4">
        <f>IF(ISBLANK('Paste Full'!AV49),"",'Paste Full'!AV49)</f>
        <v>1</v>
      </c>
      <c r="AI49" s="4">
        <f>IF(ISBLANK('Paste Full'!AT49),"",'Paste Full'!AT49)</f>
        <v>3</v>
      </c>
      <c r="AJ49" s="4">
        <f>IF(ISBLANK('Paste Full'!AU49),"",'Paste Full'!AU49)</f>
        <v>1</v>
      </c>
      <c r="AK49" s="4">
        <f>IF(ISBLANK('Paste Full'!AW49),"",'Paste Full'!AW49)</f>
        <v>1</v>
      </c>
      <c r="AL49" s="5">
        <f>IF(ISBLANK('Paste Full'!AX49),"",'Paste Full'!AX49)</f>
        <v>9</v>
      </c>
      <c r="AM49" s="5">
        <f>IF(ISBLANK('Paste Full'!AY49),"",'Paste Full'!AY49)</f>
        <v>13</v>
      </c>
      <c r="AN49" s="5">
        <f>IF(ISBLANK('Paste Full'!AZ49),"",'Paste Full'!AZ49)</f>
        <v>13</v>
      </c>
      <c r="AO49" s="5">
        <f>IF(ISBLANK('Paste Full'!BA49),"",'Paste Full'!BA49)</f>
        <v>13</v>
      </c>
      <c r="AP49" s="5">
        <f>IF(ISBLANK('Paste Full'!BB49),"",'Paste Full'!BB49)</f>
        <v>6</v>
      </c>
      <c r="AQ49" s="5">
        <f>IF(ISBLANK('Paste Full'!BC49),"",'Paste Full'!BC49)</f>
        <v>12</v>
      </c>
      <c r="AR49" s="5">
        <f>IF(ISBLANK('Paste Full'!BD49),"",'Paste Full'!BD49)</f>
        <v>14</v>
      </c>
      <c r="AS49" s="5">
        <f>IF(ISBLANK('Paste Full'!BE49),"",'Paste Full'!BE49)</f>
        <v>14</v>
      </c>
      <c r="AT49" s="5">
        <f>IF(ISBLANK('Paste Full'!BF49),"",'Paste Full'!BF49)</f>
        <v>12</v>
      </c>
      <c r="AU49" s="5">
        <f>IF(ISBLANK('Paste Full'!BG49),"",'Paste Full'!BG49)</f>
        <v>14</v>
      </c>
      <c r="AV49" s="5">
        <f>IF(ISBLANK('Paste Full'!BH49),"",'Paste Full'!BH49)</f>
        <v>3</v>
      </c>
      <c r="AW49" s="5">
        <f>IF(ISBLANK('Paste Full'!BI49),"",'Paste Full'!BI49)</f>
        <v>4</v>
      </c>
      <c r="AX49" s="5">
        <f>IF(ISBLANK('Paste Full'!BJ49),"",'Paste Full'!BJ49)</f>
        <v>9</v>
      </c>
      <c r="AY49" s="5">
        <f>IF(ISBLANK('Paste Full'!BK49),"",'Paste Full'!BK49)</f>
        <v>6</v>
      </c>
      <c r="AZ49" s="6">
        <f>IF(ISBLANK('Paste Full'!BM49),"",'Paste Full'!BM49)</f>
        <v>7</v>
      </c>
      <c r="BA49" s="6">
        <f>IF(ISBLANK('Paste Full'!BN49),"",'Paste Full'!BN49)</f>
        <v>12</v>
      </c>
      <c r="BB49" s="6">
        <f>IF(ISBLANK('Paste Full'!BO49),"",'Paste Full'!BO49)</f>
        <v>11</v>
      </c>
      <c r="BC49" s="6">
        <f>IF(ISBLANK('Paste Full'!BP49),"",'Paste Full'!BP49)</f>
        <v>10</v>
      </c>
      <c r="BD49" s="6">
        <f>IF(ISBLANK('Paste Full'!BR49),"",'Paste Full'!BR49)</f>
        <v>11</v>
      </c>
      <c r="BE49" s="6">
        <f>IF(ISBLANK('Paste Full'!BS49),"",'Paste Full'!BS49)</f>
        <v>6</v>
      </c>
      <c r="BF49" s="6">
        <f>IF(ISBLANK('Paste Full'!BU49),"",'Paste Full'!BU49)</f>
        <v>5</v>
      </c>
      <c r="BG49" s="6">
        <f>IF(ISBLANK('Paste Full'!BV49),"",'Paste Full'!BV49)</f>
        <v>12</v>
      </c>
      <c r="BH49" s="6">
        <f>IF(ISBLANK('Paste Full'!BX49),"",'Paste Full'!BX49)</f>
        <v>2</v>
      </c>
      <c r="BI49" s="6">
        <f>IF(ISBLANK('Paste Full'!BY49),"",'Paste Full'!BY49)</f>
        <v>12</v>
      </c>
      <c r="BJ49" s="13">
        <f>IF(ISBLANK('Paste Full'!BL49),"",'Paste Full'!BL49)</f>
        <v>4</v>
      </c>
      <c r="BK49" s="13">
        <f>IF(ISBLANK('Paste Full'!BQ49),"",'Paste Full'!BQ49)</f>
        <v>5</v>
      </c>
      <c r="BL49" s="13">
        <f>IF(ISBLANK('Paste Full'!BT49),"",'Paste Full'!BT49)</f>
        <v>2</v>
      </c>
      <c r="BM49" s="13">
        <f>IF(ISBLANK('Paste Full'!BW49),"",'Paste Full'!BW49)</f>
        <v>5</v>
      </c>
      <c r="BN49" s="41">
        <f>IF(ISBLANK('Paste Full'!BZ49),"",'Paste Full'!BZ49)</f>
        <v>1</v>
      </c>
      <c r="BO49" s="41">
        <f>IF(ISBLANK('Paste Full'!CA49),"",'Paste Full'!CA49)</f>
        <v>1</v>
      </c>
      <c r="BP49" s="41">
        <f>IF(ISBLANK('Paste Full'!CB49),"",'Paste Full'!CB49)</f>
        <v>2</v>
      </c>
      <c r="BQ49" s="41">
        <f>IF(ISBLANK('Paste Full'!CC49),"",'Paste Full'!CC49)</f>
        <v>1</v>
      </c>
      <c r="BR49" s="41">
        <f>IF(ISBLANK('Paste Full'!CD49),"",'Paste Full'!CD49)</f>
        <v>1</v>
      </c>
      <c r="BS49" s="41">
        <f>IF(ISBLANK('Paste Full'!CE49),"",'Paste Full'!CE49)</f>
        <v>16</v>
      </c>
      <c r="BT49" s="41">
        <f>IF(ISBLANK('Paste Full'!CF49),"",'Paste Full'!CF49)</f>
        <v>1</v>
      </c>
      <c r="BU49" s="41">
        <f>IF(ISBLANK('Paste Full'!CG49),"",'Paste Full'!CG49)</f>
        <v>16</v>
      </c>
      <c r="BV49" s="41">
        <f>IF(ISBLANK('Paste Full'!CH49),"",'Paste Full'!CH49)</f>
        <v>20</v>
      </c>
    </row>
    <row r="50" spans="1:74" x14ac:dyDescent="0.3">
      <c r="A50" t="str">
        <f>IF(ISBLANK('Paste Full'!C50),"",'Paste Full'!C50)</f>
        <v>Rhys Thomas</v>
      </c>
      <c r="B50" t="str">
        <f t="shared" si="1"/>
        <v>AM(R)</v>
      </c>
      <c r="C50" s="2">
        <f>IF(ISBLANK('Paste Full'!H50),"",'Paste Full'!H50)</f>
        <v>20</v>
      </c>
      <c r="D50" s="2">
        <f>IF(ISBLANK('Paste Full'!F50),"",'Paste Full'!F50)</f>
        <v>30</v>
      </c>
      <c r="E50" s="2">
        <f>IF(ISBLANK('Paste Full'!G50),"",'Paste Full'!G50)</f>
        <v>102</v>
      </c>
      <c r="F50" s="21" t="str">
        <f>IF(ISBLANK('Paste Full'!E50),"",'Paste Full'!E50)</f>
        <v>Wales,England</v>
      </c>
      <c r="G50" t="str">
        <f>IF(ISBLANK('Paste Full'!CI50),"",'Paste Full'!CI50)</f>
        <v>Corwen</v>
      </c>
      <c r="H50" s="21" t="str">
        <f>IF(ISBLANK('Paste Full'!J50),"",'Paste Full'!J50)</f>
        <v>$291,103</v>
      </c>
      <c r="I50" s="21" t="str">
        <f>IF(ISBLANK('Paste Full'!D50),"",'Paste Full'!D50)</f>
        <v>AM L</v>
      </c>
      <c r="J50" s="14">
        <f>AVERAGE(SUMPRODUCT($S50:$BM50,AttWeights!$C$10:$AW$10)/SUM(AttWeights!$C$10:$AW$10),SUMPRODUCT($S50:$BM50,AttWeights!$C$17:$AW$17)/SUM(AttWeights!$C$17:$AW$17))*10</f>
        <v>54.930955450508527</v>
      </c>
      <c r="K50" s="14">
        <f>AVERAGE(SUMPRODUCT($S50:$BM50,AttWeights!$C$7:$AW$7)/SUM(AttWeights!$C$7:$AW$7),SUMPRODUCT($S50:$BM50,AttWeights!$C$15:$AW$15)/SUM(AttWeights!$C$15:$AW$15))*10</f>
        <v>58.097945869699373</v>
      </c>
      <c r="L50" s="14">
        <f>AVERAGE(SUMPRODUCT($S50:$BM50,AttWeights!$C$8:$AW$8)/SUM(AttWeights!$C$8:$AW$8),SUMPRODUCT($S50:$BM50,AttWeights!$C$16:$AW$16)/SUM(AttWeights!$C$16:$AW$16))*10</f>
        <v>58.110342285114704</v>
      </c>
      <c r="M50" s="14">
        <f>AVERAGE(SUMPRODUCT($S50:$BM50,AttWeights!$C$9:$AW$9)/SUM(AttWeights!$C$9:$AW$9),SUMPRODUCT($S50:$BM50,AttWeights!$C$15:$AW$15)/SUM(AttWeights!$C$15:$AW$15))*10</f>
        <v>58.177764854124263</v>
      </c>
      <c r="N50" s="14">
        <f>AVERAGE(SUMPRODUCT($S50:$BM50,AttWeights!$C$6:$AW$6)/SUM(AttWeights!$C$6:$AW$6),SUMPRODUCT($S50:$BM50,AttWeights!$C$14:$AW$14)/SUM(AttWeights!$C$14:$AW$14))*10</f>
        <v>50.982200560103408</v>
      </c>
      <c r="O50" s="14">
        <f>AVERAGE(SUMPRODUCT($S50:$BM50,AttWeights!$C$5:$AW$5)/SUM(AttWeights!$C$5:$AW$5),SUMPRODUCT($S50:$BM50,AttWeights!$C$14:$AW$14)/SUM(AttWeights!$C$14:$AW$14))*10</f>
        <v>48.176314850071392</v>
      </c>
      <c r="P50" s="14">
        <f>AVERAGE(SUMPRODUCT($S50:$BM50,AttWeights!$C$4:$AW$4)/SUM(AttWeights!$C$4:$AW$4),SUMPRODUCT($S50:$BM50,AttWeights!$C$13:$AW$13)/SUM(AttWeights!$C$13:$AW$13))*10</f>
        <v>48.901098901098905</v>
      </c>
      <c r="Q50" s="14">
        <f>AVERAGE(SUMPRODUCT($S50:$BM50,AttWeights!$C$3:$AW$3)/SUM(AttWeights!$C$3:$AW$3),SUMPRODUCT($S50:$BM50,AttWeights!$C$12:$AW$12)/SUM(AttWeights!$C$12:$AW$12))*10</f>
        <v>49.32916145181477</v>
      </c>
      <c r="R50" s="14">
        <f>AVERAGE(SUMPRODUCT($S50:$BM50,AttWeights!$C$2:$AW$2)/SUM(AttWeights!$C$2:$AW$2),SUMPRODUCT($S50:$BM50,AttWeights!$C$11:$AW$11)/SUM(AttWeights!$C$11:$AW$11))*10</f>
        <v>37.611003861003866</v>
      </c>
      <c r="S50" s="3">
        <f>IF(ISBLANK('Paste Full'!AC50),"",'Paste Full'!AC50)</f>
        <v>12</v>
      </c>
      <c r="T50" s="3">
        <f>IF(ISBLANK('Paste Full'!AD50),"",'Paste Full'!AD50)</f>
        <v>9</v>
      </c>
      <c r="U50" s="3" t="str">
        <f>IF(ISBLANK('Paste Full'!AE50),"",'Paste Full'!AE50)</f>
        <v>$9</v>
      </c>
      <c r="V50" s="3">
        <f>IF(ISBLANK('Paste Full'!AF50),"",'Paste Full'!AF50)</f>
        <v>5</v>
      </c>
      <c r="W50" s="3">
        <f>IF(ISBLANK('Paste Full'!AH50),"",'Paste Full'!AH50)</f>
        <v>12</v>
      </c>
      <c r="X50" s="3">
        <f>IF(ISBLANK('Paste Full'!AI50),"",'Paste Full'!AI50)</f>
        <v>12</v>
      </c>
      <c r="Y50" s="3">
        <f>IF(ISBLANK('Paste Full'!AK50),"",'Paste Full'!AK50)</f>
        <v>8</v>
      </c>
      <c r="Z50" s="3">
        <f>IF(ISBLANK('Paste Full'!AL50),"",'Paste Full'!AL50)</f>
        <v>2</v>
      </c>
      <c r="AA50" s="4">
        <f>IF(ISBLANK('Paste Full'!AM50),"",'Paste Full'!AM50)</f>
        <v>3</v>
      </c>
      <c r="AB50" s="4">
        <f>IF(ISBLANK('Paste Full'!AN50),"",'Paste Full'!AN50)</f>
        <v>3</v>
      </c>
      <c r="AC50" s="4">
        <f>IF(ISBLANK('Paste Full'!AO50),"",'Paste Full'!AO50)</f>
        <v>2</v>
      </c>
      <c r="AD50" s="4">
        <f>IF(ISBLANK('Paste Full'!AP50),"",'Paste Full'!AP50)</f>
        <v>3</v>
      </c>
      <c r="AE50" s="4">
        <f>IF(ISBLANK('Paste Full'!AQ50),"",'Paste Full'!AQ50)</f>
        <v>2</v>
      </c>
      <c r="AF50" s="4">
        <f>IF(ISBLANK('Paste Full'!AR50),"",'Paste Full'!AR50)</f>
        <v>3</v>
      </c>
      <c r="AG50" s="4">
        <f>IF(ISBLANK('Paste Full'!AS50),"",'Paste Full'!AS50)</f>
        <v>3</v>
      </c>
      <c r="AH50" s="4">
        <f>IF(ISBLANK('Paste Full'!AV50),"",'Paste Full'!AV50)</f>
        <v>1</v>
      </c>
      <c r="AI50" s="4">
        <f>IF(ISBLANK('Paste Full'!AT50),"",'Paste Full'!AT50)</f>
        <v>3</v>
      </c>
      <c r="AJ50" s="4">
        <f>IF(ISBLANK('Paste Full'!AU50),"",'Paste Full'!AU50)</f>
        <v>1</v>
      </c>
      <c r="AK50" s="4">
        <f>IF(ISBLANK('Paste Full'!AW50),"",'Paste Full'!AW50)</f>
        <v>3</v>
      </c>
      <c r="AL50" s="5">
        <f>IF(ISBLANK('Paste Full'!AX50),"",'Paste Full'!AX50)</f>
        <v>7</v>
      </c>
      <c r="AM50" s="5">
        <f>IF(ISBLANK('Paste Full'!AY50),"",'Paste Full'!AY50)</f>
        <v>8</v>
      </c>
      <c r="AN50" s="5">
        <f>IF(ISBLANK('Paste Full'!AZ50),"",'Paste Full'!AZ50)</f>
        <v>3</v>
      </c>
      <c r="AO50" s="5">
        <f>IF(ISBLANK('Paste Full'!BA50),"",'Paste Full'!BA50)</f>
        <v>6</v>
      </c>
      <c r="AP50" s="5">
        <f>IF(ISBLANK('Paste Full'!BB50),"",'Paste Full'!BB50)</f>
        <v>3</v>
      </c>
      <c r="AQ50" s="5">
        <f>IF(ISBLANK('Paste Full'!BC50),"",'Paste Full'!BC50)</f>
        <v>3</v>
      </c>
      <c r="AR50" s="5">
        <f>IF(ISBLANK('Paste Full'!BD50),"",'Paste Full'!BD50)</f>
        <v>5</v>
      </c>
      <c r="AS50" s="5">
        <f>IF(ISBLANK('Paste Full'!BE50),"",'Paste Full'!BE50)</f>
        <v>12</v>
      </c>
      <c r="AT50" s="5">
        <f>IF(ISBLANK('Paste Full'!BF50),"",'Paste Full'!BF50)</f>
        <v>5</v>
      </c>
      <c r="AU50" s="5">
        <f>IF(ISBLANK('Paste Full'!BG50),"",'Paste Full'!BG50)</f>
        <v>9</v>
      </c>
      <c r="AV50" s="5">
        <f>IF(ISBLANK('Paste Full'!BH50),"",'Paste Full'!BH50)</f>
        <v>1</v>
      </c>
      <c r="AW50" s="5">
        <f>IF(ISBLANK('Paste Full'!BI50),"",'Paste Full'!BI50)</f>
        <v>2</v>
      </c>
      <c r="AX50" s="5">
        <f>IF(ISBLANK('Paste Full'!BJ50),"",'Paste Full'!BJ50)</f>
        <v>7</v>
      </c>
      <c r="AY50" s="5">
        <f>IF(ISBLANK('Paste Full'!BK50),"",'Paste Full'!BK50)</f>
        <v>4</v>
      </c>
      <c r="AZ50" s="6">
        <f>IF(ISBLANK('Paste Full'!BM50),"",'Paste Full'!BM50)</f>
        <v>7</v>
      </c>
      <c r="BA50" s="6">
        <f>IF(ISBLANK('Paste Full'!BN50),"",'Paste Full'!BN50)</f>
        <v>5</v>
      </c>
      <c r="BB50" s="6">
        <f>IF(ISBLANK('Paste Full'!BO50),"",'Paste Full'!BO50)</f>
        <v>4</v>
      </c>
      <c r="BC50" s="6">
        <f>IF(ISBLANK('Paste Full'!BP50),"",'Paste Full'!BP50)</f>
        <v>6</v>
      </c>
      <c r="BD50" s="6">
        <f>IF(ISBLANK('Paste Full'!BR50),"",'Paste Full'!BR50)</f>
        <v>5</v>
      </c>
      <c r="BE50" s="6">
        <f>IF(ISBLANK('Paste Full'!BS50),"",'Paste Full'!BS50)</f>
        <v>2</v>
      </c>
      <c r="BF50" s="6">
        <f>IF(ISBLANK('Paste Full'!BU50),"",'Paste Full'!BU50)</f>
        <v>1</v>
      </c>
      <c r="BG50" s="6">
        <f>IF(ISBLANK('Paste Full'!BV50),"",'Paste Full'!BV50)</f>
        <v>4</v>
      </c>
      <c r="BH50" s="6">
        <f>IF(ISBLANK('Paste Full'!BX50),"",'Paste Full'!BX50)</f>
        <v>1</v>
      </c>
      <c r="BI50" s="6">
        <f>IF(ISBLANK('Paste Full'!BY50),"",'Paste Full'!BY50)</f>
        <v>11</v>
      </c>
      <c r="BJ50" s="13">
        <f>IF(ISBLANK('Paste Full'!BL50),"",'Paste Full'!BL50)</f>
        <v>5</v>
      </c>
      <c r="BK50" s="13">
        <f>IF(ISBLANK('Paste Full'!BQ50),"",'Paste Full'!BQ50)</f>
        <v>1</v>
      </c>
      <c r="BL50" s="13">
        <f>IF(ISBLANK('Paste Full'!BT50),"",'Paste Full'!BT50)</f>
        <v>1</v>
      </c>
      <c r="BM50" s="13">
        <f>IF(ISBLANK('Paste Full'!BW50),"",'Paste Full'!BW50)</f>
        <v>1</v>
      </c>
      <c r="BN50" s="41">
        <f>IF(ISBLANK('Paste Full'!BZ50),"",'Paste Full'!BZ50)</f>
        <v>1</v>
      </c>
      <c r="BO50" s="41">
        <f>IF(ISBLANK('Paste Full'!CA50),"",'Paste Full'!CA50)</f>
        <v>1</v>
      </c>
      <c r="BP50" s="41">
        <f>IF(ISBLANK('Paste Full'!CB50),"",'Paste Full'!CB50)</f>
        <v>1</v>
      </c>
      <c r="BQ50" s="41">
        <f>IF(ISBLANK('Paste Full'!CC50),"",'Paste Full'!CC50)</f>
        <v>1</v>
      </c>
      <c r="BR50" s="41">
        <f>IF(ISBLANK('Paste Full'!CD50),"",'Paste Full'!CD50)</f>
        <v>1</v>
      </c>
      <c r="BS50" s="41">
        <f>IF(ISBLANK('Paste Full'!CE50),"",'Paste Full'!CE50)</f>
        <v>9</v>
      </c>
      <c r="BT50" s="41">
        <f>IF(ISBLANK('Paste Full'!CF50),"",'Paste Full'!CF50)</f>
        <v>12</v>
      </c>
      <c r="BU50" s="41">
        <f>IF(ISBLANK('Paste Full'!CG50),"",'Paste Full'!CG50)</f>
        <v>20</v>
      </c>
      <c r="BV50" s="41">
        <f>IF(ISBLANK('Paste Full'!CH50),"",'Paste Full'!CH50)</f>
        <v>1</v>
      </c>
    </row>
    <row r="51" spans="1:74" x14ac:dyDescent="0.3">
      <c r="A51" t="str">
        <f>IF(ISBLANK('Paste Full'!C51),"",'Paste Full'!C51)</f>
        <v>Steve Johnson</v>
      </c>
      <c r="B51" t="str">
        <f t="shared" si="1"/>
        <v>D(R/L)</v>
      </c>
      <c r="C51" s="2">
        <f>IF(ISBLANK('Paste Full'!H51),"",'Paste Full'!H51)</f>
        <v>17</v>
      </c>
      <c r="D51" s="2">
        <f>IF(ISBLANK('Paste Full'!F51),"",'Paste Full'!F51)</f>
        <v>70</v>
      </c>
      <c r="E51" s="2">
        <f>IF(ISBLANK('Paste Full'!G51),"",'Paste Full'!G51)</f>
        <v>87</v>
      </c>
      <c r="F51" s="21" t="str">
        <f>IF(ISBLANK('Paste Full'!E51),"",'Paste Full'!E51)</f>
        <v>Scotland,England</v>
      </c>
      <c r="G51" t="str">
        <f>IF(ISBLANK('Paste Full'!CI51),"",'Paste Full'!CI51)</f>
        <v/>
      </c>
      <c r="H51" s="21" t="str">
        <f>IF(ISBLANK('Paste Full'!J51),"",'Paste Full'!J51)</f>
        <v>$14,994</v>
      </c>
      <c r="I51" s="21" t="str">
        <f>IF(ISBLANK('Paste Full'!D51),"",'Paste Full'!D51)</f>
        <v>D/DM C</v>
      </c>
      <c r="J51" s="14">
        <f>AVERAGE(SUMPRODUCT($S51:$BM51,AttWeights!$C$10:$AW$10)/SUM(AttWeights!$C$10:$AW$10),SUMPRODUCT($S51:$BM51,AttWeights!$C$17:$AW$17)/SUM(AttWeights!$C$17:$AW$17))*10</f>
        <v>74.863343360550076</v>
      </c>
      <c r="K51" s="14">
        <f>AVERAGE(SUMPRODUCT($S51:$BM51,AttWeights!$C$7:$AW$7)/SUM(AttWeights!$C$7:$AW$7),SUMPRODUCT($S51:$BM51,AttWeights!$C$15:$AW$15)/SUM(AttWeights!$C$15:$AW$15))*10</f>
        <v>81.321519880102272</v>
      </c>
      <c r="L51" s="14">
        <f>AVERAGE(SUMPRODUCT($S51:$BM51,AttWeights!$C$8:$AW$8)/SUM(AttWeights!$C$8:$AW$8),SUMPRODUCT($S51:$BM51,AttWeights!$C$16:$AW$16)/SUM(AttWeights!$C$16:$AW$16))*10</f>
        <v>81.415364546408426</v>
      </c>
      <c r="M51" s="14">
        <f>AVERAGE(SUMPRODUCT($S51:$BM51,AttWeights!$C$9:$AW$9)/SUM(AttWeights!$C$9:$AW$9),SUMPRODUCT($S51:$BM51,AttWeights!$C$15:$AW$15)/SUM(AttWeights!$C$15:$AW$15))*10</f>
        <v>83.70359600659107</v>
      </c>
      <c r="N51" s="14">
        <f>AVERAGE(SUMPRODUCT($S51:$BM51,AttWeights!$C$6:$AW$6)/SUM(AttWeights!$C$6:$AW$6),SUMPRODUCT($S51:$BM51,AttWeights!$C$14:$AW$14)/SUM(AttWeights!$C$14:$AW$14))*10</f>
        <v>83.494318181818187</v>
      </c>
      <c r="O51" s="14">
        <f>AVERAGE(SUMPRODUCT($S51:$BM51,AttWeights!$C$5:$AW$5)/SUM(AttWeights!$C$5:$AW$5),SUMPRODUCT($S51:$BM51,AttWeights!$C$14:$AW$14)/SUM(AttWeights!$C$14:$AW$14))*10</f>
        <v>86.949815564017143</v>
      </c>
      <c r="P51" s="14">
        <f>AVERAGE(SUMPRODUCT($S51:$BM51,AttWeights!$C$4:$AW$4)/SUM(AttWeights!$C$4:$AW$4),SUMPRODUCT($S51:$BM51,AttWeights!$C$13:$AW$13)/SUM(AttWeights!$C$13:$AW$13))*10</f>
        <v>86.929945054945051</v>
      </c>
      <c r="Q51" s="14">
        <f>AVERAGE(SUMPRODUCT($S51:$BM51,AttWeights!$C$3:$AW$3)/SUM(AttWeights!$C$3:$AW$3),SUMPRODUCT($S51:$BM51,AttWeights!$C$12:$AW$12)/SUM(AttWeights!$C$12:$AW$12))*10</f>
        <v>88.239048811013774</v>
      </c>
      <c r="R51" s="14">
        <f>AVERAGE(SUMPRODUCT($S51:$BM51,AttWeights!$C$2:$AW$2)/SUM(AttWeights!$C$2:$AW$2),SUMPRODUCT($S51:$BM51,AttWeights!$C$11:$AW$11)/SUM(AttWeights!$C$11:$AW$11))*10</f>
        <v>62.404791154791155</v>
      </c>
      <c r="S51" s="3">
        <f>IF(ISBLANK('Paste Full'!AC51),"",'Paste Full'!AC51)</f>
        <v>11</v>
      </c>
      <c r="T51" s="3">
        <f>IF(ISBLANK('Paste Full'!AD51),"",'Paste Full'!AD51)</f>
        <v>13</v>
      </c>
      <c r="U51" s="3" t="str">
        <f>IF(ISBLANK('Paste Full'!AE51),"",'Paste Full'!AE51)</f>
        <v>$8</v>
      </c>
      <c r="V51" s="3">
        <f>IF(ISBLANK('Paste Full'!AF51),"",'Paste Full'!AF51)</f>
        <v>7</v>
      </c>
      <c r="W51" s="3">
        <f>IF(ISBLANK('Paste Full'!AH51),"",'Paste Full'!AH51)</f>
        <v>14</v>
      </c>
      <c r="X51" s="3">
        <f>IF(ISBLANK('Paste Full'!AI51),"",'Paste Full'!AI51)</f>
        <v>13</v>
      </c>
      <c r="Y51" s="3">
        <f>IF(ISBLANK('Paste Full'!AK51),"",'Paste Full'!AK51)</f>
        <v>11</v>
      </c>
      <c r="Z51" s="3">
        <f>IF(ISBLANK('Paste Full'!AL51),"",'Paste Full'!AL51)</f>
        <v>10</v>
      </c>
      <c r="AA51" s="4">
        <f>IF(ISBLANK('Paste Full'!AM51),"",'Paste Full'!AM51)</f>
        <v>3</v>
      </c>
      <c r="AB51" s="4">
        <f>IF(ISBLANK('Paste Full'!AN51),"",'Paste Full'!AN51)</f>
        <v>4</v>
      </c>
      <c r="AC51" s="4">
        <f>IF(ISBLANK('Paste Full'!AO51),"",'Paste Full'!AO51)</f>
        <v>3</v>
      </c>
      <c r="AD51" s="4">
        <f>IF(ISBLANK('Paste Full'!AP51),"",'Paste Full'!AP51)</f>
        <v>2</v>
      </c>
      <c r="AE51" s="4">
        <f>IF(ISBLANK('Paste Full'!AQ51),"",'Paste Full'!AQ51)</f>
        <v>1</v>
      </c>
      <c r="AF51" s="4">
        <f>IF(ISBLANK('Paste Full'!AR51),"",'Paste Full'!AR51)</f>
        <v>3</v>
      </c>
      <c r="AG51" s="4">
        <f>IF(ISBLANK('Paste Full'!AS51),"",'Paste Full'!AS51)</f>
        <v>1</v>
      </c>
      <c r="AH51" s="4">
        <f>IF(ISBLANK('Paste Full'!AV51),"",'Paste Full'!AV51)</f>
        <v>1</v>
      </c>
      <c r="AI51" s="4">
        <f>IF(ISBLANK('Paste Full'!AT51),"",'Paste Full'!AT51)</f>
        <v>4</v>
      </c>
      <c r="AJ51" s="4">
        <f>IF(ISBLANK('Paste Full'!AU51),"",'Paste Full'!AU51)</f>
        <v>3</v>
      </c>
      <c r="AK51" s="4">
        <f>IF(ISBLANK('Paste Full'!AW51),"",'Paste Full'!AW51)</f>
        <v>1</v>
      </c>
      <c r="AL51" s="5">
        <f>IF(ISBLANK('Paste Full'!AX51),"",'Paste Full'!AX51)</f>
        <v>18</v>
      </c>
      <c r="AM51" s="5">
        <f>IF(ISBLANK('Paste Full'!AY51),"",'Paste Full'!AY51)</f>
        <v>8</v>
      </c>
      <c r="AN51" s="5">
        <f>IF(ISBLANK('Paste Full'!AZ51),"",'Paste Full'!AZ51)</f>
        <v>7</v>
      </c>
      <c r="AO51" s="5">
        <f>IF(ISBLANK('Paste Full'!BA51),"",'Paste Full'!BA51)</f>
        <v>7</v>
      </c>
      <c r="AP51" s="5">
        <f>IF(ISBLANK('Paste Full'!BB51),"",'Paste Full'!BB51)</f>
        <v>10</v>
      </c>
      <c r="AQ51" s="5">
        <f>IF(ISBLANK('Paste Full'!BC51),"",'Paste Full'!BC51)</f>
        <v>8</v>
      </c>
      <c r="AR51" s="5">
        <f>IF(ISBLANK('Paste Full'!BD51),"",'Paste Full'!BD51)</f>
        <v>10</v>
      </c>
      <c r="AS51" s="5">
        <f>IF(ISBLANK('Paste Full'!BE51),"",'Paste Full'!BE51)</f>
        <v>3</v>
      </c>
      <c r="AT51" s="5">
        <f>IF(ISBLANK('Paste Full'!BF51),"",'Paste Full'!BF51)</f>
        <v>14</v>
      </c>
      <c r="AU51" s="5">
        <f>IF(ISBLANK('Paste Full'!BG51),"",'Paste Full'!BG51)</f>
        <v>7</v>
      </c>
      <c r="AV51" s="5">
        <f>IF(ISBLANK('Paste Full'!BH51),"",'Paste Full'!BH51)</f>
        <v>13</v>
      </c>
      <c r="AW51" s="5">
        <f>IF(ISBLANK('Paste Full'!BI51),"",'Paste Full'!BI51)</f>
        <v>7</v>
      </c>
      <c r="AX51" s="5">
        <f>IF(ISBLANK('Paste Full'!BJ51),"",'Paste Full'!BJ51)</f>
        <v>4</v>
      </c>
      <c r="AY51" s="5">
        <f>IF(ISBLANK('Paste Full'!BK51),"",'Paste Full'!BK51)</f>
        <v>12</v>
      </c>
      <c r="AZ51" s="6">
        <f>IF(ISBLANK('Paste Full'!BM51),"",'Paste Full'!BM51)</f>
        <v>8</v>
      </c>
      <c r="BA51" s="6">
        <f>IF(ISBLANK('Paste Full'!BN51),"",'Paste Full'!BN51)</f>
        <v>8</v>
      </c>
      <c r="BB51" s="6">
        <f>IF(ISBLANK('Paste Full'!BO51),"",'Paste Full'!BO51)</f>
        <v>3</v>
      </c>
      <c r="BC51" s="6">
        <f>IF(ISBLANK('Paste Full'!BP51),"",'Paste Full'!BP51)</f>
        <v>7</v>
      </c>
      <c r="BD51" s="6">
        <f>IF(ISBLANK('Paste Full'!BR51),"",'Paste Full'!BR51)</f>
        <v>9</v>
      </c>
      <c r="BE51" s="6">
        <f>IF(ISBLANK('Paste Full'!BS51),"",'Paste Full'!BS51)</f>
        <v>2</v>
      </c>
      <c r="BF51" s="6">
        <f>IF(ISBLANK('Paste Full'!BU51),"",'Paste Full'!BU51)</f>
        <v>9</v>
      </c>
      <c r="BG51" s="6">
        <f>IF(ISBLANK('Paste Full'!BV51),"",'Paste Full'!BV51)</f>
        <v>7</v>
      </c>
      <c r="BH51" s="6">
        <f>IF(ISBLANK('Paste Full'!BX51),"",'Paste Full'!BX51)</f>
        <v>10</v>
      </c>
      <c r="BI51" s="6">
        <f>IF(ISBLANK('Paste Full'!BY51),"",'Paste Full'!BY51)</f>
        <v>9</v>
      </c>
      <c r="BJ51" s="13">
        <f>IF(ISBLANK('Paste Full'!BL51),"",'Paste Full'!BL51)</f>
        <v>3</v>
      </c>
      <c r="BK51" s="13">
        <f>IF(ISBLANK('Paste Full'!BQ51),"",'Paste Full'!BQ51)</f>
        <v>2</v>
      </c>
      <c r="BL51" s="13">
        <f>IF(ISBLANK('Paste Full'!BT51),"",'Paste Full'!BT51)</f>
        <v>4</v>
      </c>
      <c r="BM51" s="13">
        <f>IF(ISBLANK('Paste Full'!BW51),"",'Paste Full'!BW51)</f>
        <v>3</v>
      </c>
      <c r="BN51" s="41">
        <f>IF(ISBLANK('Paste Full'!BZ51),"",'Paste Full'!BZ51)</f>
        <v>1</v>
      </c>
      <c r="BO51" s="41">
        <f>IF(ISBLANK('Paste Full'!CA51),"",'Paste Full'!CA51)</f>
        <v>9</v>
      </c>
      <c r="BP51" s="41">
        <f>IF(ISBLANK('Paste Full'!CB51),"",'Paste Full'!CB51)</f>
        <v>20</v>
      </c>
      <c r="BQ51" s="41">
        <f>IF(ISBLANK('Paste Full'!CC51),"",'Paste Full'!CC51)</f>
        <v>1</v>
      </c>
      <c r="BR51" s="41">
        <f>IF(ISBLANK('Paste Full'!CD51),"",'Paste Full'!CD51)</f>
        <v>20</v>
      </c>
      <c r="BS51" s="41">
        <f>IF(ISBLANK('Paste Full'!CE51),"",'Paste Full'!CE51)</f>
        <v>1</v>
      </c>
      <c r="BT51" s="41">
        <f>IF(ISBLANK('Paste Full'!CF51),"",'Paste Full'!CF51)</f>
        <v>1</v>
      </c>
      <c r="BU51" s="41">
        <f>IF(ISBLANK('Paste Full'!CG51),"",'Paste Full'!CG51)</f>
        <v>1</v>
      </c>
      <c r="BV51" s="41">
        <f>IF(ISBLANK('Paste Full'!CH51),"",'Paste Full'!CH51)</f>
        <v>1</v>
      </c>
    </row>
    <row r="52" spans="1:74" x14ac:dyDescent="0.3">
      <c r="A52" t="str">
        <f>IF(ISBLANK('Paste Full'!C52),"",'Paste Full'!C52)</f>
        <v>Thomas Clementi</v>
      </c>
      <c r="B52" t="str">
        <f t="shared" si="1"/>
        <v>Striker</v>
      </c>
      <c r="C52" s="2">
        <f>IF(ISBLANK('Paste Full'!H52),"",'Paste Full'!H52)</f>
        <v>21</v>
      </c>
      <c r="D52" s="2">
        <f>IF(ISBLANK('Paste Full'!F52),"",'Paste Full'!F52)</f>
        <v>83</v>
      </c>
      <c r="E52" s="2">
        <f>IF(ISBLANK('Paste Full'!G52),"",'Paste Full'!G52)</f>
        <v>112</v>
      </c>
      <c r="F52" s="21" t="str">
        <f>IF(ISBLANK('Paste Full'!E52),"",'Paste Full'!E52)</f>
        <v>Italy</v>
      </c>
      <c r="G52" t="str">
        <f>IF(ISBLANK('Paste Full'!CI52),"",'Paste Full'!CI52)</f>
        <v/>
      </c>
      <c r="H52" s="21" t="str">
        <f>IF(ISBLANK('Paste Full'!J52),"",'Paste Full'!J52)</f>
        <v>$428,482</v>
      </c>
      <c r="I52" s="21" t="str">
        <f>IF(ISBLANK('Paste Full'!D52),"",'Paste Full'!D52)</f>
        <v xml:space="preserve">ST </v>
      </c>
      <c r="J52" s="14">
        <f>AVERAGE(SUMPRODUCT($S52:$BM52,AttWeights!$C$10:$AW$10)/SUM(AttWeights!$C$10:$AW$10),SUMPRODUCT($S52:$BM52,AttWeights!$C$17:$AW$17)/SUM(AttWeights!$C$17:$AW$17))*10</f>
        <v>80.007019051711779</v>
      </c>
      <c r="K52" s="14">
        <f>AVERAGE(SUMPRODUCT($S52:$BM52,AttWeights!$C$7:$AW$7)/SUM(AttWeights!$C$7:$AW$7),SUMPRODUCT($S52:$BM52,AttWeights!$C$15:$AW$15)/SUM(AttWeights!$C$15:$AW$15))*10</f>
        <v>77.115695436245559</v>
      </c>
      <c r="L52" s="14">
        <f>AVERAGE(SUMPRODUCT($S52:$BM52,AttWeights!$C$8:$AW$8)/SUM(AttWeights!$C$8:$AW$8),SUMPRODUCT($S52:$BM52,AttWeights!$C$16:$AW$16)/SUM(AttWeights!$C$16:$AW$16))*10</f>
        <v>75.721436066131645</v>
      </c>
      <c r="M52" s="14">
        <f>AVERAGE(SUMPRODUCT($S52:$BM52,AttWeights!$C$9:$AW$9)/SUM(AttWeights!$C$9:$AW$9),SUMPRODUCT($S52:$BM52,AttWeights!$C$15:$AW$15)/SUM(AttWeights!$C$15:$AW$15))*10</f>
        <v>74.546218215889638</v>
      </c>
      <c r="N52" s="14">
        <f>AVERAGE(SUMPRODUCT($S52:$BM52,AttWeights!$C$6:$AW$6)/SUM(AttWeights!$C$6:$AW$6),SUMPRODUCT($S52:$BM52,AttWeights!$C$14:$AW$14)/SUM(AttWeights!$C$14:$AW$14))*10</f>
        <v>68.784063981042664</v>
      </c>
      <c r="O52" s="14">
        <f>AVERAGE(SUMPRODUCT($S52:$BM52,AttWeights!$C$5:$AW$5)/SUM(AttWeights!$C$5:$AW$5),SUMPRODUCT($S52:$BM52,AttWeights!$C$14:$AW$14)/SUM(AttWeights!$C$14:$AW$14))*10</f>
        <v>67.000981675392666</v>
      </c>
      <c r="P52" s="14">
        <f>AVERAGE(SUMPRODUCT($S52:$BM52,AttWeights!$C$4:$AW$4)/SUM(AttWeights!$C$4:$AW$4),SUMPRODUCT($S52:$BM52,AttWeights!$C$13:$AW$13)/SUM(AttWeights!$C$13:$AW$13))*10</f>
        <v>72.345467032967036</v>
      </c>
      <c r="Q52" s="14">
        <f>AVERAGE(SUMPRODUCT($S52:$BM52,AttWeights!$C$3:$AW$3)/SUM(AttWeights!$C$3:$AW$3),SUMPRODUCT($S52:$BM52,AttWeights!$C$12:$AW$12)/SUM(AttWeights!$C$12:$AW$12))*10</f>
        <v>64.755006257822288</v>
      </c>
      <c r="R52" s="14">
        <f>AVERAGE(SUMPRODUCT($S52:$BM52,AttWeights!$C$2:$AW$2)/SUM(AttWeights!$C$2:$AW$2),SUMPRODUCT($S52:$BM52,AttWeights!$C$11:$AW$11)/SUM(AttWeights!$C$11:$AW$11))*10</f>
        <v>45.101351351351354</v>
      </c>
      <c r="S52" s="3">
        <f>IF(ISBLANK('Paste Full'!AC52),"",'Paste Full'!AC52)</f>
        <v>12</v>
      </c>
      <c r="T52" s="3">
        <f>IF(ISBLANK('Paste Full'!AD52),"",'Paste Full'!AD52)</f>
        <v>11</v>
      </c>
      <c r="U52" s="3" t="str">
        <f>IF(ISBLANK('Paste Full'!AE52),"",'Paste Full'!AE52)</f>
        <v>$8</v>
      </c>
      <c r="V52" s="3">
        <f>IF(ISBLANK('Paste Full'!AF52),"",'Paste Full'!AF52)</f>
        <v>8</v>
      </c>
      <c r="W52" s="3">
        <f>IF(ISBLANK('Paste Full'!AH52),"",'Paste Full'!AH52)</f>
        <v>11</v>
      </c>
      <c r="X52" s="3">
        <f>IF(ISBLANK('Paste Full'!AI52),"",'Paste Full'!AI52)</f>
        <v>15</v>
      </c>
      <c r="Y52" s="3">
        <f>IF(ISBLANK('Paste Full'!AK52),"",'Paste Full'!AK52)</f>
        <v>8</v>
      </c>
      <c r="Z52" s="3">
        <f>IF(ISBLANK('Paste Full'!AL52),"",'Paste Full'!AL52)</f>
        <v>9</v>
      </c>
      <c r="AA52" s="4">
        <f>IF(ISBLANK('Paste Full'!AM52),"",'Paste Full'!AM52)</f>
        <v>3</v>
      </c>
      <c r="AB52" s="4">
        <f>IF(ISBLANK('Paste Full'!AN52),"",'Paste Full'!AN52)</f>
        <v>2</v>
      </c>
      <c r="AC52" s="4">
        <f>IF(ISBLANK('Paste Full'!AO52),"",'Paste Full'!AO52)</f>
        <v>2</v>
      </c>
      <c r="AD52" s="4">
        <f>IF(ISBLANK('Paste Full'!AP52),"",'Paste Full'!AP52)</f>
        <v>2</v>
      </c>
      <c r="AE52" s="4">
        <f>IF(ISBLANK('Paste Full'!AQ52),"",'Paste Full'!AQ52)</f>
        <v>1</v>
      </c>
      <c r="AF52" s="4">
        <f>IF(ISBLANK('Paste Full'!AR52),"",'Paste Full'!AR52)</f>
        <v>3</v>
      </c>
      <c r="AG52" s="4">
        <f>IF(ISBLANK('Paste Full'!AS52),"",'Paste Full'!AS52)</f>
        <v>1</v>
      </c>
      <c r="AH52" s="4">
        <f>IF(ISBLANK('Paste Full'!AV52),"",'Paste Full'!AV52)</f>
        <v>1</v>
      </c>
      <c r="AI52" s="4">
        <f>IF(ISBLANK('Paste Full'!AT52),"",'Paste Full'!AT52)</f>
        <v>1</v>
      </c>
      <c r="AJ52" s="4">
        <f>IF(ISBLANK('Paste Full'!AU52),"",'Paste Full'!AU52)</f>
        <v>2</v>
      </c>
      <c r="AK52" s="4">
        <f>IF(ISBLANK('Paste Full'!AW52),"",'Paste Full'!AW52)</f>
        <v>3</v>
      </c>
      <c r="AL52" s="5">
        <f>IF(ISBLANK('Paste Full'!AX52),"",'Paste Full'!AX52)</f>
        <v>12</v>
      </c>
      <c r="AM52" s="5">
        <f>IF(ISBLANK('Paste Full'!AY52),"",'Paste Full'!AY52)</f>
        <v>10</v>
      </c>
      <c r="AN52" s="5">
        <f>IF(ISBLANK('Paste Full'!AZ52),"",'Paste Full'!AZ52)</f>
        <v>5</v>
      </c>
      <c r="AO52" s="5">
        <f>IF(ISBLANK('Paste Full'!BA52),"",'Paste Full'!BA52)</f>
        <v>9</v>
      </c>
      <c r="AP52" s="5">
        <f>IF(ISBLANK('Paste Full'!BB52),"",'Paste Full'!BB52)</f>
        <v>4</v>
      </c>
      <c r="AQ52" s="5">
        <f>IF(ISBLANK('Paste Full'!BC52),"",'Paste Full'!BC52)</f>
        <v>9</v>
      </c>
      <c r="AR52" s="5">
        <f>IF(ISBLANK('Paste Full'!BD52),"",'Paste Full'!BD52)</f>
        <v>8</v>
      </c>
      <c r="AS52" s="5">
        <f>IF(ISBLANK('Paste Full'!BE52),"",'Paste Full'!BE52)</f>
        <v>10</v>
      </c>
      <c r="AT52" s="5">
        <f>IF(ISBLANK('Paste Full'!BF52),"",'Paste Full'!BF52)</f>
        <v>7</v>
      </c>
      <c r="AU52" s="5">
        <f>IF(ISBLANK('Paste Full'!BG52),"",'Paste Full'!BG52)</f>
        <v>13</v>
      </c>
      <c r="AV52" s="5">
        <f>IF(ISBLANK('Paste Full'!BH52),"",'Paste Full'!BH52)</f>
        <v>3</v>
      </c>
      <c r="AW52" s="5">
        <f>IF(ISBLANK('Paste Full'!BI52),"",'Paste Full'!BI52)</f>
        <v>2</v>
      </c>
      <c r="AX52" s="5">
        <f>IF(ISBLANK('Paste Full'!BJ52),"",'Paste Full'!BJ52)</f>
        <v>6</v>
      </c>
      <c r="AY52" s="5">
        <f>IF(ISBLANK('Paste Full'!BK52),"",'Paste Full'!BK52)</f>
        <v>6</v>
      </c>
      <c r="AZ52" s="6">
        <f>IF(ISBLANK('Paste Full'!BM52),"",'Paste Full'!BM52)</f>
        <v>2</v>
      </c>
      <c r="BA52" s="6">
        <f>IF(ISBLANK('Paste Full'!BN52),"",'Paste Full'!BN52)</f>
        <v>13</v>
      </c>
      <c r="BB52" s="6">
        <f>IF(ISBLANK('Paste Full'!BO52),"",'Paste Full'!BO52)</f>
        <v>12</v>
      </c>
      <c r="BC52" s="6">
        <f>IF(ISBLANK('Paste Full'!BP52),"",'Paste Full'!BP52)</f>
        <v>12</v>
      </c>
      <c r="BD52" s="6">
        <f>IF(ISBLANK('Paste Full'!BR52),"",'Paste Full'!BR52)</f>
        <v>13</v>
      </c>
      <c r="BE52" s="6">
        <f>IF(ISBLANK('Paste Full'!BS52),"",'Paste Full'!BS52)</f>
        <v>8</v>
      </c>
      <c r="BF52" s="6">
        <f>IF(ISBLANK('Paste Full'!BU52),"",'Paste Full'!BU52)</f>
        <v>3</v>
      </c>
      <c r="BG52" s="6">
        <f>IF(ISBLANK('Paste Full'!BV52),"",'Paste Full'!BV52)</f>
        <v>8</v>
      </c>
      <c r="BH52" s="6">
        <f>IF(ISBLANK('Paste Full'!BX52),"",'Paste Full'!BX52)</f>
        <v>1</v>
      </c>
      <c r="BI52" s="6">
        <f>IF(ISBLANK('Paste Full'!BY52),"",'Paste Full'!BY52)</f>
        <v>9</v>
      </c>
      <c r="BJ52" s="13">
        <f>IF(ISBLANK('Paste Full'!BL52),"",'Paste Full'!BL52)</f>
        <v>4</v>
      </c>
      <c r="BK52" s="13">
        <f>IF(ISBLANK('Paste Full'!BQ52),"",'Paste Full'!BQ52)</f>
        <v>4</v>
      </c>
      <c r="BL52" s="13">
        <f>IF(ISBLANK('Paste Full'!BT52),"",'Paste Full'!BT52)</f>
        <v>2</v>
      </c>
      <c r="BM52" s="13">
        <f>IF(ISBLANK('Paste Full'!BW52),"",'Paste Full'!BW52)</f>
        <v>3</v>
      </c>
      <c r="BN52" s="41">
        <f>IF(ISBLANK('Paste Full'!BZ52),"",'Paste Full'!BZ52)</f>
        <v>1</v>
      </c>
      <c r="BO52" s="41">
        <f>IF(ISBLANK('Paste Full'!CA52),"",'Paste Full'!CA52)</f>
        <v>1</v>
      </c>
      <c r="BP52" s="41">
        <f>IF(ISBLANK('Paste Full'!CB52),"",'Paste Full'!CB52)</f>
        <v>1</v>
      </c>
      <c r="BQ52" s="41">
        <f>IF(ISBLANK('Paste Full'!CC52),"",'Paste Full'!CC52)</f>
        <v>1</v>
      </c>
      <c r="BR52" s="41">
        <f>IF(ISBLANK('Paste Full'!CD52),"",'Paste Full'!CD52)</f>
        <v>1</v>
      </c>
      <c r="BS52" s="41">
        <f>IF(ISBLANK('Paste Full'!CE52),"",'Paste Full'!CE52)</f>
        <v>4</v>
      </c>
      <c r="BT52" s="41">
        <f>IF(ISBLANK('Paste Full'!CF52),"",'Paste Full'!CF52)</f>
        <v>1</v>
      </c>
      <c r="BU52" s="41">
        <f>IF(ISBLANK('Paste Full'!CG52),"",'Paste Full'!CG52)</f>
        <v>1</v>
      </c>
      <c r="BV52" s="41">
        <f>IF(ISBLANK('Paste Full'!CH52),"",'Paste Full'!CH52)</f>
        <v>20</v>
      </c>
    </row>
    <row r="53" spans="1:74" x14ac:dyDescent="0.3">
      <c r="A53" t="str">
        <f>IF(ISBLANK('Paste Full'!C53),"",'Paste Full'!C53)</f>
        <v>Anthony Michael</v>
      </c>
      <c r="B53" t="str">
        <f t="shared" si="1"/>
        <v>GK</v>
      </c>
      <c r="C53" s="2">
        <f>IF(ISBLANK('Paste Full'!H53),"",'Paste Full'!H53)</f>
        <v>16</v>
      </c>
      <c r="D53" s="2">
        <f>IF(ISBLANK('Paste Full'!F53),"",'Paste Full'!F53)</f>
        <v>26</v>
      </c>
      <c r="E53" s="2">
        <f>IF(ISBLANK('Paste Full'!G53),"",'Paste Full'!G53)</f>
        <v>67</v>
      </c>
      <c r="F53" s="21" t="str">
        <f>IF(ISBLANK('Paste Full'!E53),"",'Paste Full'!E53)</f>
        <v>England,Nigeria</v>
      </c>
      <c r="G53" t="str">
        <f>IF(ISBLANK('Paste Full'!CI53),"",'Paste Full'!CI53)</f>
        <v/>
      </c>
      <c r="H53" s="21" t="str">
        <f>IF(ISBLANK('Paste Full'!J53),"",'Paste Full'!J53)</f>
        <v>$9,996</v>
      </c>
      <c r="I53" s="21" t="str">
        <f>IF(ISBLANK('Paste Full'!D53),"",'Paste Full'!D53)</f>
        <v xml:space="preserve">GK </v>
      </c>
      <c r="J53" s="14">
        <f>AVERAGE(SUMPRODUCT($S53:$BM53,AttWeights!$C$10:$AW$10)/SUM(AttWeights!$C$10:$AW$10),SUMPRODUCT($S53:$BM53,AttWeights!$C$17:$AW$17)/SUM(AttWeights!$C$17:$AW$17))*10</f>
        <v>53.174760063028224</v>
      </c>
      <c r="K53" s="14">
        <f>AVERAGE(SUMPRODUCT($S53:$BM53,AttWeights!$C$7:$AW$7)/SUM(AttWeights!$C$7:$AW$7),SUMPRODUCT($S53:$BM53,AttWeights!$C$15:$AW$15)/SUM(AttWeights!$C$15:$AW$15))*10</f>
        <v>51.047782773516701</v>
      </c>
      <c r="L53" s="14">
        <f>AVERAGE(SUMPRODUCT($S53:$BM53,AttWeights!$C$8:$AW$8)/SUM(AttWeights!$C$8:$AW$8),SUMPRODUCT($S53:$BM53,AttWeights!$C$16:$AW$16)/SUM(AttWeights!$C$16:$AW$16))*10</f>
        <v>50.699316564104024</v>
      </c>
      <c r="M53" s="14">
        <f>AVERAGE(SUMPRODUCT($S53:$BM53,AttWeights!$C$9:$AW$9)/SUM(AttWeights!$C$9:$AW$9),SUMPRODUCT($S53:$BM53,AttWeights!$C$15:$AW$15)/SUM(AttWeights!$C$15:$AW$15))*10</f>
        <v>53.037704759135408</v>
      </c>
      <c r="N53" s="14">
        <f>AVERAGE(SUMPRODUCT($S53:$BM53,AttWeights!$C$6:$AW$6)/SUM(AttWeights!$C$6:$AW$6),SUMPRODUCT($S53:$BM53,AttWeights!$C$14:$AW$14)/SUM(AttWeights!$C$14:$AW$14))*10</f>
        <v>54.522834984920294</v>
      </c>
      <c r="O53" s="14">
        <f>AVERAGE(SUMPRODUCT($S53:$BM53,AttWeights!$C$5:$AW$5)/SUM(AttWeights!$C$5:$AW$5),SUMPRODUCT($S53:$BM53,AttWeights!$C$14:$AW$14)/SUM(AttWeights!$C$14:$AW$14))*10</f>
        <v>56.864588291289863</v>
      </c>
      <c r="P53" s="14">
        <f>AVERAGE(SUMPRODUCT($S53:$BM53,AttWeights!$C$4:$AW$4)/SUM(AttWeights!$C$4:$AW$4),SUMPRODUCT($S53:$BM53,AttWeights!$C$13:$AW$13)/SUM(AttWeights!$C$13:$AW$13))*10</f>
        <v>58.166208791208796</v>
      </c>
      <c r="Q53" s="14">
        <f>AVERAGE(SUMPRODUCT($S53:$BM53,AttWeights!$C$3:$AW$3)/SUM(AttWeights!$C$3:$AW$3),SUMPRODUCT($S53:$BM53,AttWeights!$C$12:$AW$12)/SUM(AttWeights!$C$12:$AW$12))*10</f>
        <v>57.112015018773469</v>
      </c>
      <c r="R53" s="14">
        <f>AVERAGE(SUMPRODUCT($S53:$BM53,AttWeights!$C$2:$AW$2)/SUM(AttWeights!$C$2:$AW$2),SUMPRODUCT($S53:$BM53,AttWeights!$C$11:$AW$11)/SUM(AttWeights!$C$11:$AW$11))*10</f>
        <v>78.457353457353463</v>
      </c>
      <c r="S53" s="3">
        <f>IF(ISBLANK('Paste Full'!AC53),"",'Paste Full'!AC53)</f>
        <v>4</v>
      </c>
      <c r="T53" s="3">
        <f>IF(ISBLANK('Paste Full'!AD53),"",'Paste Full'!AD53)</f>
        <v>11</v>
      </c>
      <c r="U53" s="3" t="str">
        <f>IF(ISBLANK('Paste Full'!AE53),"",'Paste Full'!AE53)</f>
        <v>$9</v>
      </c>
      <c r="V53" s="3">
        <f>IF(ISBLANK('Paste Full'!AF53),"",'Paste Full'!AF53)</f>
        <v>11</v>
      </c>
      <c r="W53" s="3">
        <f>IF(ISBLANK('Paste Full'!AH53),"",'Paste Full'!AH53)</f>
        <v>12</v>
      </c>
      <c r="X53" s="3">
        <f>IF(ISBLANK('Paste Full'!AI53),"",'Paste Full'!AI53)</f>
        <v>9</v>
      </c>
      <c r="Y53" s="3">
        <f>IF(ISBLANK('Paste Full'!AK53),"",'Paste Full'!AK53)</f>
        <v>3</v>
      </c>
      <c r="Z53" s="3">
        <f>IF(ISBLANK('Paste Full'!AL53),"",'Paste Full'!AL53)</f>
        <v>3</v>
      </c>
      <c r="AA53" s="4">
        <f>IF(ISBLANK('Paste Full'!AM53),"",'Paste Full'!AM53)</f>
        <v>10</v>
      </c>
      <c r="AB53" s="4">
        <f>IF(ISBLANK('Paste Full'!AN53),"",'Paste Full'!AN53)</f>
        <v>9</v>
      </c>
      <c r="AC53" s="4">
        <f>IF(ISBLANK('Paste Full'!AO53),"",'Paste Full'!AO53)</f>
        <v>9</v>
      </c>
      <c r="AD53" s="4">
        <f>IF(ISBLANK('Paste Full'!AP53),"",'Paste Full'!AP53)</f>
        <v>9</v>
      </c>
      <c r="AE53" s="4">
        <f>IF(ISBLANK('Paste Full'!AQ53),"",'Paste Full'!AQ53)</f>
        <v>11</v>
      </c>
      <c r="AF53" s="4">
        <f>IF(ISBLANK('Paste Full'!AR53),"",'Paste Full'!AR53)</f>
        <v>5</v>
      </c>
      <c r="AG53" s="4">
        <f>IF(ISBLANK('Paste Full'!AS53),"",'Paste Full'!AS53)</f>
        <v>5</v>
      </c>
      <c r="AH53" s="4">
        <f>IF(ISBLANK('Paste Full'!AV53),"",'Paste Full'!AV53)</f>
        <v>14</v>
      </c>
      <c r="AI53" s="4">
        <f>IF(ISBLANK('Paste Full'!AT53),"",'Paste Full'!AT53)</f>
        <v>5</v>
      </c>
      <c r="AJ53" s="4">
        <f>IF(ISBLANK('Paste Full'!AU53),"",'Paste Full'!AU53)</f>
        <v>13</v>
      </c>
      <c r="AK53" s="4">
        <f>IF(ISBLANK('Paste Full'!AW53),"",'Paste Full'!AW53)</f>
        <v>4</v>
      </c>
      <c r="AL53" s="5">
        <f>IF(ISBLANK('Paste Full'!AX53),"",'Paste Full'!AX53)</f>
        <v>11</v>
      </c>
      <c r="AM53" s="5">
        <f>IF(ISBLANK('Paste Full'!AY53),"",'Paste Full'!AY53)</f>
        <v>4</v>
      </c>
      <c r="AN53" s="5">
        <f>IF(ISBLANK('Paste Full'!AZ53),"",'Paste Full'!AZ53)</f>
        <v>8</v>
      </c>
      <c r="AO53" s="5">
        <f>IF(ISBLANK('Paste Full'!BA53),"",'Paste Full'!BA53)</f>
        <v>4</v>
      </c>
      <c r="AP53" s="5">
        <f>IF(ISBLANK('Paste Full'!BB53),"",'Paste Full'!BB53)</f>
        <v>12</v>
      </c>
      <c r="AQ53" s="5">
        <f>IF(ISBLANK('Paste Full'!BC53),"",'Paste Full'!BC53)</f>
        <v>6</v>
      </c>
      <c r="AR53" s="5">
        <f>IF(ISBLANK('Paste Full'!BD53),"",'Paste Full'!BD53)</f>
        <v>9</v>
      </c>
      <c r="AS53" s="5">
        <f>IF(ISBLANK('Paste Full'!BE53),"",'Paste Full'!BE53)</f>
        <v>1</v>
      </c>
      <c r="AT53" s="5">
        <f>IF(ISBLANK('Paste Full'!BF53),"",'Paste Full'!BF53)</f>
        <v>10</v>
      </c>
      <c r="AU53" s="5">
        <f>IF(ISBLANK('Paste Full'!BG53),"",'Paste Full'!BG53)</f>
        <v>2</v>
      </c>
      <c r="AV53" s="5">
        <f>IF(ISBLANK('Paste Full'!BH53),"",'Paste Full'!BH53)</f>
        <v>5</v>
      </c>
      <c r="AW53" s="5">
        <f>IF(ISBLANK('Paste Full'!BI53),"",'Paste Full'!BI53)</f>
        <v>7</v>
      </c>
      <c r="AX53" s="5">
        <f>IF(ISBLANK('Paste Full'!BJ53),"",'Paste Full'!BJ53)</f>
        <v>4</v>
      </c>
      <c r="AY53" s="5">
        <f>IF(ISBLANK('Paste Full'!BK53),"",'Paste Full'!BK53)</f>
        <v>2</v>
      </c>
      <c r="AZ53" s="6">
        <f>IF(ISBLANK('Paste Full'!BM53),"",'Paste Full'!BM53)</f>
        <v>1</v>
      </c>
      <c r="BA53" s="6">
        <f>IF(ISBLANK('Paste Full'!BN53),"",'Paste Full'!BN53)</f>
        <v>2</v>
      </c>
      <c r="BB53" s="6">
        <f>IF(ISBLANK('Paste Full'!BO53),"",'Paste Full'!BO53)</f>
        <v>2</v>
      </c>
      <c r="BC53" s="6">
        <f>IF(ISBLANK('Paste Full'!BP53),"",'Paste Full'!BP53)</f>
        <v>4</v>
      </c>
      <c r="BD53" s="6">
        <f>IF(ISBLANK('Paste Full'!BR53),"",'Paste Full'!BR53)</f>
        <v>1</v>
      </c>
      <c r="BE53" s="6">
        <f>IF(ISBLANK('Paste Full'!BS53),"",'Paste Full'!BS53)</f>
        <v>1</v>
      </c>
      <c r="BF53" s="6">
        <f>IF(ISBLANK('Paste Full'!BU53),"",'Paste Full'!BU53)</f>
        <v>3</v>
      </c>
      <c r="BG53" s="6">
        <f>IF(ISBLANK('Paste Full'!BV53),"",'Paste Full'!BV53)</f>
        <v>4</v>
      </c>
      <c r="BH53" s="6">
        <f>IF(ISBLANK('Paste Full'!BX53),"",'Paste Full'!BX53)</f>
        <v>1</v>
      </c>
      <c r="BI53" s="6">
        <f>IF(ISBLANK('Paste Full'!BY53),"",'Paste Full'!BY53)</f>
        <v>3</v>
      </c>
      <c r="BJ53" s="13">
        <f>IF(ISBLANK('Paste Full'!BL53),"",'Paste Full'!BL53)</f>
        <v>4</v>
      </c>
      <c r="BK53" s="13">
        <f>IF(ISBLANK('Paste Full'!BQ53),"",'Paste Full'!BQ53)</f>
        <v>5</v>
      </c>
      <c r="BL53" s="13">
        <f>IF(ISBLANK('Paste Full'!BT53),"",'Paste Full'!BT53)</f>
        <v>1</v>
      </c>
      <c r="BM53" s="13">
        <f>IF(ISBLANK('Paste Full'!BW53),"",'Paste Full'!BW53)</f>
        <v>2</v>
      </c>
      <c r="BN53" s="41">
        <f>IF(ISBLANK('Paste Full'!BZ53),"",'Paste Full'!BZ53)</f>
        <v>20</v>
      </c>
      <c r="BO53" s="41">
        <f>IF(ISBLANK('Paste Full'!CA53),"",'Paste Full'!CA53)</f>
        <v>1</v>
      </c>
      <c r="BP53" s="41">
        <f>IF(ISBLANK('Paste Full'!CB53),"",'Paste Full'!CB53)</f>
        <v>1</v>
      </c>
      <c r="BQ53" s="41">
        <f>IF(ISBLANK('Paste Full'!CC53),"",'Paste Full'!CC53)</f>
        <v>1</v>
      </c>
      <c r="BR53" s="41">
        <f>IF(ISBLANK('Paste Full'!CD53),"",'Paste Full'!CD53)</f>
        <v>1</v>
      </c>
      <c r="BS53" s="41">
        <f>IF(ISBLANK('Paste Full'!CE53),"",'Paste Full'!CE53)</f>
        <v>1</v>
      </c>
      <c r="BT53" s="41">
        <f>IF(ISBLANK('Paste Full'!CF53),"",'Paste Full'!CF53)</f>
        <v>1</v>
      </c>
      <c r="BU53" s="41">
        <f>IF(ISBLANK('Paste Full'!CG53),"",'Paste Full'!CG53)</f>
        <v>1</v>
      </c>
      <c r="BV53" s="41">
        <f>IF(ISBLANK('Paste Full'!CH53),"",'Paste Full'!CH53)</f>
        <v>1</v>
      </c>
    </row>
    <row r="54" spans="1:74" x14ac:dyDescent="0.3">
      <c r="A54" t="str">
        <f>IF(ISBLANK('Paste Full'!C54),"",'Paste Full'!C54)</f>
        <v>Bevan Boyland</v>
      </c>
      <c r="B54" t="str">
        <f t="shared" si="1"/>
        <v>AM(R)</v>
      </c>
      <c r="C54" s="2">
        <f>IF(ISBLANK('Paste Full'!H54),"",'Paste Full'!H54)</f>
        <v>16</v>
      </c>
      <c r="D54" s="2">
        <f>IF(ISBLANK('Paste Full'!F54),"",'Paste Full'!F54)</f>
        <v>60</v>
      </c>
      <c r="E54" s="2">
        <f>IF(ISBLANK('Paste Full'!G54),"",'Paste Full'!G54)</f>
        <v>72</v>
      </c>
      <c r="F54" s="21" t="str">
        <f>IF(ISBLANK('Paste Full'!E54),"",'Paste Full'!E54)</f>
        <v>England</v>
      </c>
      <c r="G54" t="str">
        <f>IF(ISBLANK('Paste Full'!CI54),"",'Paste Full'!CI54)</f>
        <v/>
      </c>
      <c r="H54" s="21" t="str">
        <f>IF(ISBLANK('Paste Full'!J54),"",'Paste Full'!J54)</f>
        <v>$52,344</v>
      </c>
      <c r="I54" s="21" t="str">
        <f>IF(ISBLANK('Paste Full'!D54),"",'Paste Full'!D54)</f>
        <v>M/AM RL</v>
      </c>
      <c r="J54" s="14">
        <f>AVERAGE(SUMPRODUCT($S54:$BM54,AttWeights!$C$10:$AW$10)/SUM(AttWeights!$C$10:$AW$10),SUMPRODUCT($S54:$BM54,AttWeights!$C$17:$AW$17)/SUM(AttWeights!$C$17:$AW$17))*10</f>
        <v>70.126772668672118</v>
      </c>
      <c r="K54" s="14">
        <f>AVERAGE(SUMPRODUCT($S54:$BM54,AttWeights!$C$7:$AW$7)/SUM(AttWeights!$C$7:$AW$7),SUMPRODUCT($S54:$BM54,AttWeights!$C$15:$AW$15)/SUM(AttWeights!$C$15:$AW$15))*10</f>
        <v>75.381292427047526</v>
      </c>
      <c r="L54" s="14">
        <f>AVERAGE(SUMPRODUCT($S54:$BM54,AttWeights!$C$8:$AW$8)/SUM(AttWeights!$C$8:$AW$8),SUMPRODUCT($S54:$BM54,AttWeights!$C$16:$AW$16)/SUM(AttWeights!$C$16:$AW$16))*10</f>
        <v>75.450755749652615</v>
      </c>
      <c r="M54" s="14">
        <f>AVERAGE(SUMPRODUCT($S54:$BM54,AttWeights!$C$9:$AW$9)/SUM(AttWeights!$C$9:$AW$9),SUMPRODUCT($S54:$BM54,AttWeights!$C$15:$AW$15)/SUM(AttWeights!$C$15:$AW$15))*10</f>
        <v>75.980420664921965</v>
      </c>
      <c r="N54" s="14">
        <f>AVERAGE(SUMPRODUCT($S54:$BM54,AttWeights!$C$6:$AW$6)/SUM(AttWeights!$C$6:$AW$6),SUMPRODUCT($S54:$BM54,AttWeights!$C$14:$AW$14)/SUM(AttWeights!$C$14:$AW$14))*10</f>
        <v>70.21811719086601</v>
      </c>
      <c r="O54" s="14">
        <f>AVERAGE(SUMPRODUCT($S54:$BM54,AttWeights!$C$5:$AW$5)/SUM(AttWeights!$C$5:$AW$5),SUMPRODUCT($S54:$BM54,AttWeights!$C$14:$AW$14)/SUM(AttWeights!$C$14:$AW$14))*10</f>
        <v>70.331389814374106</v>
      </c>
      <c r="P54" s="14">
        <f>AVERAGE(SUMPRODUCT($S54:$BM54,AttWeights!$C$4:$AW$4)/SUM(AttWeights!$C$4:$AW$4),SUMPRODUCT($S54:$BM54,AttWeights!$C$13:$AW$13)/SUM(AttWeights!$C$13:$AW$13))*10</f>
        <v>69.797390109890102</v>
      </c>
      <c r="Q54" s="14">
        <f>AVERAGE(SUMPRODUCT($S54:$BM54,AttWeights!$C$3:$AW$3)/SUM(AttWeights!$C$3:$AW$3),SUMPRODUCT($S54:$BM54,AttWeights!$C$12:$AW$12)/SUM(AttWeights!$C$12:$AW$12))*10</f>
        <v>70.684918648310386</v>
      </c>
      <c r="R54" s="14">
        <f>AVERAGE(SUMPRODUCT($S54:$BM54,AttWeights!$C$2:$AW$2)/SUM(AttWeights!$C$2:$AW$2),SUMPRODUCT($S54:$BM54,AttWeights!$C$11:$AW$11)/SUM(AttWeights!$C$11:$AW$11))*10</f>
        <v>52.206037206037209</v>
      </c>
      <c r="S54" s="3">
        <f>IF(ISBLANK('Paste Full'!AC54),"",'Paste Full'!AC54)</f>
        <v>12</v>
      </c>
      <c r="T54" s="3">
        <f>IF(ISBLANK('Paste Full'!AD54),"",'Paste Full'!AD54)</f>
        <v>14</v>
      </c>
      <c r="U54" s="3" t="str">
        <f>IF(ISBLANK('Paste Full'!AE54),"",'Paste Full'!AE54)</f>
        <v>$7</v>
      </c>
      <c r="V54" s="3">
        <f>IF(ISBLANK('Paste Full'!AF54),"",'Paste Full'!AF54)</f>
        <v>10</v>
      </c>
      <c r="W54" s="3">
        <f>IF(ISBLANK('Paste Full'!AH54),"",'Paste Full'!AH54)</f>
        <v>5</v>
      </c>
      <c r="X54" s="3">
        <f>IF(ISBLANK('Paste Full'!AI54),"",'Paste Full'!AI54)</f>
        <v>13</v>
      </c>
      <c r="Y54" s="3">
        <f>IF(ISBLANK('Paste Full'!AK54),"",'Paste Full'!AK54)</f>
        <v>11</v>
      </c>
      <c r="Z54" s="3">
        <f>IF(ISBLANK('Paste Full'!AL54),"",'Paste Full'!AL54)</f>
        <v>6</v>
      </c>
      <c r="AA54" s="4">
        <f>IF(ISBLANK('Paste Full'!AM54),"",'Paste Full'!AM54)</f>
        <v>1</v>
      </c>
      <c r="AB54" s="4">
        <f>IF(ISBLANK('Paste Full'!AN54),"",'Paste Full'!AN54)</f>
        <v>3</v>
      </c>
      <c r="AC54" s="4">
        <f>IF(ISBLANK('Paste Full'!AO54),"",'Paste Full'!AO54)</f>
        <v>1</v>
      </c>
      <c r="AD54" s="4">
        <f>IF(ISBLANK('Paste Full'!AP54),"",'Paste Full'!AP54)</f>
        <v>1</v>
      </c>
      <c r="AE54" s="4">
        <f>IF(ISBLANK('Paste Full'!AQ54),"",'Paste Full'!AQ54)</f>
        <v>1</v>
      </c>
      <c r="AF54" s="4">
        <f>IF(ISBLANK('Paste Full'!AR54),"",'Paste Full'!AR54)</f>
        <v>2</v>
      </c>
      <c r="AG54" s="4">
        <f>IF(ISBLANK('Paste Full'!AS54),"",'Paste Full'!AS54)</f>
        <v>2</v>
      </c>
      <c r="AH54" s="4">
        <f>IF(ISBLANK('Paste Full'!AV54),"",'Paste Full'!AV54)</f>
        <v>2</v>
      </c>
      <c r="AI54" s="4">
        <f>IF(ISBLANK('Paste Full'!AT54),"",'Paste Full'!AT54)</f>
        <v>3</v>
      </c>
      <c r="AJ54" s="4">
        <f>IF(ISBLANK('Paste Full'!AU54),"",'Paste Full'!AU54)</f>
        <v>3</v>
      </c>
      <c r="AK54" s="4">
        <f>IF(ISBLANK('Paste Full'!AW54),"",'Paste Full'!AW54)</f>
        <v>1</v>
      </c>
      <c r="AL54" s="5">
        <f>IF(ISBLANK('Paste Full'!AX54),"",'Paste Full'!AX54)</f>
        <v>12</v>
      </c>
      <c r="AM54" s="5">
        <f>IF(ISBLANK('Paste Full'!AY54),"",'Paste Full'!AY54)</f>
        <v>8</v>
      </c>
      <c r="AN54" s="5">
        <f>IF(ISBLANK('Paste Full'!AZ54),"",'Paste Full'!AZ54)</f>
        <v>9</v>
      </c>
      <c r="AO54" s="5">
        <f>IF(ISBLANK('Paste Full'!BA54),"",'Paste Full'!BA54)</f>
        <v>7</v>
      </c>
      <c r="AP54" s="5">
        <f>IF(ISBLANK('Paste Full'!BB54),"",'Paste Full'!BB54)</f>
        <v>4</v>
      </c>
      <c r="AQ54" s="5">
        <f>IF(ISBLANK('Paste Full'!BC54),"",'Paste Full'!BC54)</f>
        <v>8</v>
      </c>
      <c r="AR54" s="5">
        <f>IF(ISBLANK('Paste Full'!BD54),"",'Paste Full'!BD54)</f>
        <v>19</v>
      </c>
      <c r="AS54" s="5">
        <f>IF(ISBLANK('Paste Full'!BE54),"",'Paste Full'!BE54)</f>
        <v>8</v>
      </c>
      <c r="AT54" s="5">
        <f>IF(ISBLANK('Paste Full'!BF54),"",'Paste Full'!BF54)</f>
        <v>11</v>
      </c>
      <c r="AU54" s="5">
        <f>IF(ISBLANK('Paste Full'!BG54),"",'Paste Full'!BG54)</f>
        <v>9</v>
      </c>
      <c r="AV54" s="5">
        <f>IF(ISBLANK('Paste Full'!BH54),"",'Paste Full'!BH54)</f>
        <v>6</v>
      </c>
      <c r="AW54" s="5">
        <f>IF(ISBLANK('Paste Full'!BI54),"",'Paste Full'!BI54)</f>
        <v>5</v>
      </c>
      <c r="AX54" s="5">
        <f>IF(ISBLANK('Paste Full'!BJ54),"",'Paste Full'!BJ54)</f>
        <v>7</v>
      </c>
      <c r="AY54" s="5">
        <f>IF(ISBLANK('Paste Full'!BK54),"",'Paste Full'!BK54)</f>
        <v>9</v>
      </c>
      <c r="AZ54" s="6">
        <f>IF(ISBLANK('Paste Full'!BM54),"",'Paste Full'!BM54)</f>
        <v>8</v>
      </c>
      <c r="BA54" s="6">
        <f>IF(ISBLANK('Paste Full'!BN54),"",'Paste Full'!BN54)</f>
        <v>7</v>
      </c>
      <c r="BB54" s="6">
        <f>IF(ISBLANK('Paste Full'!BO54),"",'Paste Full'!BO54)</f>
        <v>6</v>
      </c>
      <c r="BC54" s="6">
        <f>IF(ISBLANK('Paste Full'!BP54),"",'Paste Full'!BP54)</f>
        <v>6</v>
      </c>
      <c r="BD54" s="6">
        <f>IF(ISBLANK('Paste Full'!BR54),"",'Paste Full'!BR54)</f>
        <v>3</v>
      </c>
      <c r="BE54" s="6">
        <f>IF(ISBLANK('Paste Full'!BS54),"",'Paste Full'!BS54)</f>
        <v>5</v>
      </c>
      <c r="BF54" s="6">
        <f>IF(ISBLANK('Paste Full'!BU54),"",'Paste Full'!BU54)</f>
        <v>2</v>
      </c>
      <c r="BG54" s="6">
        <f>IF(ISBLANK('Paste Full'!BV54),"",'Paste Full'!BV54)</f>
        <v>8</v>
      </c>
      <c r="BH54" s="6">
        <f>IF(ISBLANK('Paste Full'!BX54),"",'Paste Full'!BX54)</f>
        <v>5</v>
      </c>
      <c r="BI54" s="6">
        <f>IF(ISBLANK('Paste Full'!BY54),"",'Paste Full'!BY54)</f>
        <v>6</v>
      </c>
      <c r="BJ54" s="13">
        <f>IF(ISBLANK('Paste Full'!BL54),"",'Paste Full'!BL54)</f>
        <v>6</v>
      </c>
      <c r="BK54" s="13">
        <f>IF(ISBLANK('Paste Full'!BQ54),"",'Paste Full'!BQ54)</f>
        <v>6</v>
      </c>
      <c r="BL54" s="13">
        <f>IF(ISBLANK('Paste Full'!BT54),"",'Paste Full'!BT54)</f>
        <v>1</v>
      </c>
      <c r="BM54" s="13">
        <f>IF(ISBLANK('Paste Full'!BW54),"",'Paste Full'!BW54)</f>
        <v>5</v>
      </c>
      <c r="BN54" s="41">
        <f>IF(ISBLANK('Paste Full'!BZ54),"",'Paste Full'!BZ54)</f>
        <v>1</v>
      </c>
      <c r="BO54" s="41">
        <f>IF(ISBLANK('Paste Full'!CA54),"",'Paste Full'!CA54)</f>
        <v>1</v>
      </c>
      <c r="BP54" s="41">
        <f>IF(ISBLANK('Paste Full'!CB54),"",'Paste Full'!CB54)</f>
        <v>3</v>
      </c>
      <c r="BQ54" s="41">
        <f>IF(ISBLANK('Paste Full'!CC54),"",'Paste Full'!CC54)</f>
        <v>1</v>
      </c>
      <c r="BR54" s="41">
        <f>IF(ISBLANK('Paste Full'!CD54),"",'Paste Full'!CD54)</f>
        <v>1</v>
      </c>
      <c r="BS54" s="41">
        <f>IF(ISBLANK('Paste Full'!CE54),"",'Paste Full'!CE54)</f>
        <v>1</v>
      </c>
      <c r="BT54" s="41">
        <f>IF(ISBLANK('Paste Full'!CF54),"",'Paste Full'!CF54)</f>
        <v>1</v>
      </c>
      <c r="BU54" s="41">
        <f>IF(ISBLANK('Paste Full'!CG54),"",'Paste Full'!CG54)</f>
        <v>16</v>
      </c>
      <c r="BV54" s="41">
        <f>IF(ISBLANK('Paste Full'!CH54),"",'Paste Full'!CH54)</f>
        <v>1</v>
      </c>
    </row>
    <row r="55" spans="1:74" x14ac:dyDescent="0.3">
      <c r="A55" t="str">
        <f>IF(ISBLANK('Paste Full'!C55),"",'Paste Full'!C55)</f>
        <v>Christos Petras</v>
      </c>
      <c r="B55" t="str">
        <f t="shared" si="1"/>
        <v>AM(C)</v>
      </c>
      <c r="C55" s="2">
        <f>IF(ISBLANK('Paste Full'!H55),"",'Paste Full'!H55)</f>
        <v>16</v>
      </c>
      <c r="D55" s="2">
        <f>IF(ISBLANK('Paste Full'!F55),"",'Paste Full'!F55)</f>
        <v>48</v>
      </c>
      <c r="E55" s="2">
        <f>IF(ISBLANK('Paste Full'!G55),"",'Paste Full'!G55)</f>
        <v>87</v>
      </c>
      <c r="F55" s="21" t="str">
        <f>IF(ISBLANK('Paste Full'!E55),"",'Paste Full'!E55)</f>
        <v>England,Greece</v>
      </c>
      <c r="G55" t="str">
        <f>IF(ISBLANK('Paste Full'!CI55),"",'Paste Full'!CI55)</f>
        <v/>
      </c>
      <c r="H55" s="21" t="str">
        <f>IF(ISBLANK('Paste Full'!J55),"",'Paste Full'!J55)</f>
        <v>$35,763</v>
      </c>
      <c r="I55" s="21" t="str">
        <f>IF(ISBLANK('Paste Full'!D55),"",'Paste Full'!D55)</f>
        <v>M/AM RC</v>
      </c>
      <c r="J55" s="14">
        <f>AVERAGE(SUMPRODUCT($S55:$BM55,AttWeights!$C$10:$AW$10)/SUM(AttWeights!$C$10:$AW$10),SUMPRODUCT($S55:$BM55,AttWeights!$C$17:$AW$17)/SUM(AttWeights!$C$17:$AW$17))*10</f>
        <v>67.922933677123623</v>
      </c>
      <c r="K55" s="14">
        <f>AVERAGE(SUMPRODUCT($S55:$BM55,AttWeights!$C$7:$AW$7)/SUM(AttWeights!$C$7:$AW$7),SUMPRODUCT($S55:$BM55,AttWeights!$C$15:$AW$15)/SUM(AttWeights!$C$15:$AW$15))*10</f>
        <v>70.742748831878686</v>
      </c>
      <c r="L55" s="14">
        <f>AVERAGE(SUMPRODUCT($S55:$BM55,AttWeights!$C$8:$AW$8)/SUM(AttWeights!$C$8:$AW$8),SUMPRODUCT($S55:$BM55,AttWeights!$C$16:$AW$16)/SUM(AttWeights!$C$16:$AW$16))*10</f>
        <v>71.867963587896654</v>
      </c>
      <c r="M55" s="14">
        <f>AVERAGE(SUMPRODUCT($S55:$BM55,AttWeights!$C$9:$AW$9)/SUM(AttWeights!$C$9:$AW$9),SUMPRODUCT($S55:$BM55,AttWeights!$C$15:$AW$15)/SUM(AttWeights!$C$15:$AW$15))*10</f>
        <v>71.04342347581661</v>
      </c>
      <c r="N55" s="14">
        <f>AVERAGE(SUMPRODUCT($S55:$BM55,AttWeights!$C$6:$AW$6)/SUM(AttWeights!$C$6:$AW$6),SUMPRODUCT($S55:$BM55,AttWeights!$C$14:$AW$14)/SUM(AttWeights!$C$14:$AW$14))*10</f>
        <v>68.139810426540279</v>
      </c>
      <c r="O55" s="14">
        <f>AVERAGE(SUMPRODUCT($S55:$BM55,AttWeights!$C$5:$AW$5)/SUM(AttWeights!$C$5:$AW$5),SUMPRODUCT($S55:$BM55,AttWeights!$C$14:$AW$14)/SUM(AttWeights!$C$14:$AW$14))*10</f>
        <v>65.143979057591622</v>
      </c>
      <c r="P55" s="14">
        <f>AVERAGE(SUMPRODUCT($S55:$BM55,AttWeights!$C$4:$AW$4)/SUM(AttWeights!$C$4:$AW$4),SUMPRODUCT($S55:$BM55,AttWeights!$C$13:$AW$13)/SUM(AttWeights!$C$13:$AW$13))*10</f>
        <v>61.854395604395606</v>
      </c>
      <c r="Q55" s="14">
        <f>AVERAGE(SUMPRODUCT($S55:$BM55,AttWeights!$C$3:$AW$3)/SUM(AttWeights!$C$3:$AW$3),SUMPRODUCT($S55:$BM55,AttWeights!$C$12:$AW$12)/SUM(AttWeights!$C$12:$AW$12))*10</f>
        <v>64.435544430538172</v>
      </c>
      <c r="R55" s="14">
        <f>AVERAGE(SUMPRODUCT($S55:$BM55,AttWeights!$C$2:$AW$2)/SUM(AttWeights!$C$2:$AW$2),SUMPRODUCT($S55:$BM55,AttWeights!$C$11:$AW$11)/SUM(AttWeights!$C$11:$AW$11))*10</f>
        <v>49.67269217269218</v>
      </c>
      <c r="S55" s="3">
        <f>IF(ISBLANK('Paste Full'!AC55),"",'Paste Full'!AC55)</f>
        <v>9</v>
      </c>
      <c r="T55" s="3">
        <f>IF(ISBLANK('Paste Full'!AD55),"",'Paste Full'!AD55)</f>
        <v>12</v>
      </c>
      <c r="U55" s="3" t="str">
        <f>IF(ISBLANK('Paste Full'!AE55),"",'Paste Full'!AE55)</f>
        <v>$12</v>
      </c>
      <c r="V55" s="3">
        <f>IF(ISBLANK('Paste Full'!AF55),"",'Paste Full'!AF55)</f>
        <v>6</v>
      </c>
      <c r="W55" s="3">
        <f>IF(ISBLANK('Paste Full'!AH55),"",'Paste Full'!AH55)</f>
        <v>16</v>
      </c>
      <c r="X55" s="3">
        <f>IF(ISBLANK('Paste Full'!AI55),"",'Paste Full'!AI55)</f>
        <v>9</v>
      </c>
      <c r="Y55" s="3">
        <f>IF(ISBLANK('Paste Full'!AK55),"",'Paste Full'!AK55)</f>
        <v>6</v>
      </c>
      <c r="Z55" s="3">
        <f>IF(ISBLANK('Paste Full'!AL55),"",'Paste Full'!AL55)</f>
        <v>5</v>
      </c>
      <c r="AA55" s="4">
        <f>IF(ISBLANK('Paste Full'!AM55),"",'Paste Full'!AM55)</f>
        <v>3</v>
      </c>
      <c r="AB55" s="4">
        <f>IF(ISBLANK('Paste Full'!AN55),"",'Paste Full'!AN55)</f>
        <v>2</v>
      </c>
      <c r="AC55" s="4">
        <f>IF(ISBLANK('Paste Full'!AO55),"",'Paste Full'!AO55)</f>
        <v>1</v>
      </c>
      <c r="AD55" s="4">
        <f>IF(ISBLANK('Paste Full'!AP55),"",'Paste Full'!AP55)</f>
        <v>1</v>
      </c>
      <c r="AE55" s="4">
        <f>IF(ISBLANK('Paste Full'!AQ55),"",'Paste Full'!AQ55)</f>
        <v>1</v>
      </c>
      <c r="AF55" s="4">
        <f>IF(ISBLANK('Paste Full'!AR55),"",'Paste Full'!AR55)</f>
        <v>3</v>
      </c>
      <c r="AG55" s="4">
        <f>IF(ISBLANK('Paste Full'!AS55),"",'Paste Full'!AS55)</f>
        <v>1</v>
      </c>
      <c r="AH55" s="4">
        <f>IF(ISBLANK('Paste Full'!AV55),"",'Paste Full'!AV55)</f>
        <v>2</v>
      </c>
      <c r="AI55" s="4">
        <f>IF(ISBLANK('Paste Full'!AT55),"",'Paste Full'!AT55)</f>
        <v>3</v>
      </c>
      <c r="AJ55" s="4">
        <f>IF(ISBLANK('Paste Full'!AU55),"",'Paste Full'!AU55)</f>
        <v>2</v>
      </c>
      <c r="AK55" s="4">
        <f>IF(ISBLANK('Paste Full'!AW55),"",'Paste Full'!AW55)</f>
        <v>3</v>
      </c>
      <c r="AL55" s="5">
        <f>IF(ISBLANK('Paste Full'!AX55),"",'Paste Full'!AX55)</f>
        <v>7</v>
      </c>
      <c r="AM55" s="5">
        <f>IF(ISBLANK('Paste Full'!AY55),"",'Paste Full'!AY55)</f>
        <v>6</v>
      </c>
      <c r="AN55" s="5">
        <f>IF(ISBLANK('Paste Full'!AZ55),"",'Paste Full'!AZ55)</f>
        <v>6</v>
      </c>
      <c r="AO55" s="5">
        <f>IF(ISBLANK('Paste Full'!BA55),"",'Paste Full'!BA55)</f>
        <v>6</v>
      </c>
      <c r="AP55" s="5">
        <f>IF(ISBLANK('Paste Full'!BB55),"",'Paste Full'!BB55)</f>
        <v>5</v>
      </c>
      <c r="AQ55" s="5">
        <f>IF(ISBLANK('Paste Full'!BC55),"",'Paste Full'!BC55)</f>
        <v>12</v>
      </c>
      <c r="AR55" s="5">
        <f>IF(ISBLANK('Paste Full'!BD55),"",'Paste Full'!BD55)</f>
        <v>12</v>
      </c>
      <c r="AS55" s="5">
        <f>IF(ISBLANK('Paste Full'!BE55),"",'Paste Full'!BE55)</f>
        <v>13</v>
      </c>
      <c r="AT55" s="5">
        <f>IF(ISBLANK('Paste Full'!BF55),"",'Paste Full'!BF55)</f>
        <v>13</v>
      </c>
      <c r="AU55" s="5">
        <f>IF(ISBLANK('Paste Full'!BG55),"",'Paste Full'!BG55)</f>
        <v>9</v>
      </c>
      <c r="AV55" s="5">
        <f>IF(ISBLANK('Paste Full'!BH55),"",'Paste Full'!BH55)</f>
        <v>4</v>
      </c>
      <c r="AW55" s="5">
        <f>IF(ISBLANK('Paste Full'!BI55),"",'Paste Full'!BI55)</f>
        <v>8</v>
      </c>
      <c r="AX55" s="5">
        <f>IF(ISBLANK('Paste Full'!BJ55),"",'Paste Full'!BJ55)</f>
        <v>9</v>
      </c>
      <c r="AY55" s="5">
        <f>IF(ISBLANK('Paste Full'!BK55),"",'Paste Full'!BK55)</f>
        <v>6</v>
      </c>
      <c r="AZ55" s="6">
        <f>IF(ISBLANK('Paste Full'!BM55),"",'Paste Full'!BM55)</f>
        <v>7</v>
      </c>
      <c r="BA55" s="6">
        <f>IF(ISBLANK('Paste Full'!BN55),"",'Paste Full'!BN55)</f>
        <v>6</v>
      </c>
      <c r="BB55" s="6">
        <f>IF(ISBLANK('Paste Full'!BO55),"",'Paste Full'!BO55)</f>
        <v>7</v>
      </c>
      <c r="BC55" s="6">
        <f>IF(ISBLANK('Paste Full'!BP55),"",'Paste Full'!BP55)</f>
        <v>8</v>
      </c>
      <c r="BD55" s="6">
        <f>IF(ISBLANK('Paste Full'!BR55),"",'Paste Full'!BR55)</f>
        <v>2</v>
      </c>
      <c r="BE55" s="6">
        <f>IF(ISBLANK('Paste Full'!BS55),"",'Paste Full'!BS55)</f>
        <v>7</v>
      </c>
      <c r="BF55" s="6">
        <f>IF(ISBLANK('Paste Full'!BU55),"",'Paste Full'!BU55)</f>
        <v>2</v>
      </c>
      <c r="BG55" s="6">
        <f>IF(ISBLANK('Paste Full'!BV55),"",'Paste Full'!BV55)</f>
        <v>6</v>
      </c>
      <c r="BH55" s="6">
        <f>IF(ISBLANK('Paste Full'!BX55),"",'Paste Full'!BX55)</f>
        <v>6</v>
      </c>
      <c r="BI55" s="6">
        <f>IF(ISBLANK('Paste Full'!BY55),"",'Paste Full'!BY55)</f>
        <v>13</v>
      </c>
      <c r="BJ55" s="13">
        <f>IF(ISBLANK('Paste Full'!BL55),"",'Paste Full'!BL55)</f>
        <v>5</v>
      </c>
      <c r="BK55" s="13">
        <f>IF(ISBLANK('Paste Full'!BQ55),"",'Paste Full'!BQ55)</f>
        <v>6</v>
      </c>
      <c r="BL55" s="13">
        <f>IF(ISBLANK('Paste Full'!BT55),"",'Paste Full'!BT55)</f>
        <v>1</v>
      </c>
      <c r="BM55" s="13">
        <f>IF(ISBLANK('Paste Full'!BW55),"",'Paste Full'!BW55)</f>
        <v>3</v>
      </c>
      <c r="BN55" s="41">
        <f>IF(ISBLANK('Paste Full'!BZ55),"",'Paste Full'!BZ55)</f>
        <v>1</v>
      </c>
      <c r="BO55" s="41">
        <f>IF(ISBLANK('Paste Full'!CA55),"",'Paste Full'!CA55)</f>
        <v>1</v>
      </c>
      <c r="BP55" s="41">
        <f>IF(ISBLANK('Paste Full'!CB55),"",'Paste Full'!CB55)</f>
        <v>1</v>
      </c>
      <c r="BQ55" s="41">
        <f>IF(ISBLANK('Paste Full'!CC55),"",'Paste Full'!CC55)</f>
        <v>1</v>
      </c>
      <c r="BR55" s="41">
        <f>IF(ISBLANK('Paste Full'!CD55),"",'Paste Full'!CD55)</f>
        <v>12</v>
      </c>
      <c r="BS55" s="41">
        <f>IF(ISBLANK('Paste Full'!CE55),"",'Paste Full'!CE55)</f>
        <v>1</v>
      </c>
      <c r="BT55" s="41">
        <f>IF(ISBLANK('Paste Full'!CF55),"",'Paste Full'!CF55)</f>
        <v>16</v>
      </c>
      <c r="BU55" s="41">
        <f>IF(ISBLANK('Paste Full'!CG55),"",'Paste Full'!CG55)</f>
        <v>1</v>
      </c>
      <c r="BV55" s="41">
        <f>IF(ISBLANK('Paste Full'!CH55),"",'Paste Full'!CH55)</f>
        <v>1</v>
      </c>
    </row>
    <row r="56" spans="1:74" x14ac:dyDescent="0.3">
      <c r="A56" t="str">
        <f>IF(ISBLANK('Paste Full'!C56),"",'Paste Full'!C56)</f>
        <v>Daniel Reynolds</v>
      </c>
      <c r="B56" t="str">
        <f t="shared" si="1"/>
        <v>D(R/L)</v>
      </c>
      <c r="C56" s="2">
        <f>IF(ISBLANK('Paste Full'!H56),"",'Paste Full'!H56)</f>
        <v>16</v>
      </c>
      <c r="D56" s="2">
        <f>IF(ISBLANK('Paste Full'!F56),"",'Paste Full'!F56)</f>
        <v>50</v>
      </c>
      <c r="E56" s="2">
        <f>IF(ISBLANK('Paste Full'!G56),"",'Paste Full'!G56)</f>
        <v>84</v>
      </c>
      <c r="F56" s="21" t="str">
        <f>IF(ISBLANK('Paste Full'!E56),"",'Paste Full'!E56)</f>
        <v>England,Wales</v>
      </c>
      <c r="G56" t="str">
        <f>IF(ISBLANK('Paste Full'!CI56),"",'Paste Full'!CI56)</f>
        <v/>
      </c>
      <c r="H56" s="21" t="str">
        <f>IF(ISBLANK('Paste Full'!J56),"",'Paste Full'!J56)</f>
        <v>$35,763</v>
      </c>
      <c r="I56" s="21" t="str">
        <f>IF(ISBLANK('Paste Full'!D56),"",'Paste Full'!D56)</f>
        <v>D/M C</v>
      </c>
      <c r="J56" s="14">
        <f>AVERAGE(SUMPRODUCT($S56:$BM56,AttWeights!$C$10:$AW$10)/SUM(AttWeights!$C$10:$AW$10),SUMPRODUCT($S56:$BM56,AttWeights!$C$17:$AW$17)/SUM(AttWeights!$C$17:$AW$17))*10</f>
        <v>68.725683999427019</v>
      </c>
      <c r="K56" s="14">
        <f>AVERAGE(SUMPRODUCT($S56:$BM56,AttWeights!$C$7:$AW$7)/SUM(AttWeights!$C$7:$AW$7),SUMPRODUCT($S56:$BM56,AttWeights!$C$15:$AW$15)/SUM(AttWeights!$C$15:$AW$15))*10</f>
        <v>72.633489082841095</v>
      </c>
      <c r="L56" s="14">
        <f>AVERAGE(SUMPRODUCT($S56:$BM56,AttWeights!$C$8:$AW$8)/SUM(AttWeights!$C$8:$AW$8),SUMPRODUCT($S56:$BM56,AttWeights!$C$16:$AW$16)/SUM(AttWeights!$C$16:$AW$16))*10</f>
        <v>73.252842923177269</v>
      </c>
      <c r="M56" s="14">
        <f>AVERAGE(SUMPRODUCT($S56:$BM56,AttWeights!$C$9:$AW$9)/SUM(AttWeights!$C$9:$AW$9),SUMPRODUCT($S56:$BM56,AttWeights!$C$15:$AW$15)/SUM(AttWeights!$C$15:$AW$15))*10</f>
        <v>74.283868049497585</v>
      </c>
      <c r="N56" s="14">
        <f>AVERAGE(SUMPRODUCT($S56:$BM56,AttWeights!$C$6:$AW$6)/SUM(AttWeights!$C$6:$AW$6),SUMPRODUCT($S56:$BM56,AttWeights!$C$14:$AW$14)/SUM(AttWeights!$C$14:$AW$14))*10</f>
        <v>75.556737397673416</v>
      </c>
      <c r="O56" s="14">
        <f>AVERAGE(SUMPRODUCT($S56:$BM56,AttWeights!$C$5:$AW$5)/SUM(AttWeights!$C$5:$AW$5),SUMPRODUCT($S56:$BM56,AttWeights!$C$14:$AW$14)/SUM(AttWeights!$C$14:$AW$14))*10</f>
        <v>75.861940742503563</v>
      </c>
      <c r="P56" s="14">
        <f>AVERAGE(SUMPRODUCT($S56:$BM56,AttWeights!$C$4:$AW$4)/SUM(AttWeights!$C$4:$AW$4),SUMPRODUCT($S56:$BM56,AttWeights!$C$13:$AW$13)/SUM(AttWeights!$C$13:$AW$13))*10</f>
        <v>74.093406593406584</v>
      </c>
      <c r="Q56" s="14">
        <f>AVERAGE(SUMPRODUCT($S56:$BM56,AttWeights!$C$3:$AW$3)/SUM(AttWeights!$C$3:$AW$3),SUMPRODUCT($S56:$BM56,AttWeights!$C$12:$AW$12)/SUM(AttWeights!$C$12:$AW$12))*10</f>
        <v>78.445869837296613</v>
      </c>
      <c r="R56" s="14">
        <f>AVERAGE(SUMPRODUCT($S56:$BM56,AttWeights!$C$2:$AW$2)/SUM(AttWeights!$C$2:$AW$2),SUMPRODUCT($S56:$BM56,AttWeights!$C$11:$AW$11)/SUM(AttWeights!$C$11:$AW$11))*10</f>
        <v>52.583801333801325</v>
      </c>
      <c r="S56" s="3">
        <f>IF(ISBLANK('Paste Full'!AC56),"",'Paste Full'!AC56)</f>
        <v>8</v>
      </c>
      <c r="T56" s="3">
        <f>IF(ISBLANK('Paste Full'!AD56),"",'Paste Full'!AD56)</f>
        <v>8</v>
      </c>
      <c r="U56" s="3" t="str">
        <f>IF(ISBLANK('Paste Full'!AE56),"",'Paste Full'!AE56)</f>
        <v>$12</v>
      </c>
      <c r="V56" s="3">
        <f>IF(ISBLANK('Paste Full'!AF56),"",'Paste Full'!AF56)</f>
        <v>9</v>
      </c>
      <c r="W56" s="3">
        <f>IF(ISBLANK('Paste Full'!AH56),"",'Paste Full'!AH56)</f>
        <v>16</v>
      </c>
      <c r="X56" s="3">
        <f>IF(ISBLANK('Paste Full'!AI56),"",'Paste Full'!AI56)</f>
        <v>8</v>
      </c>
      <c r="Y56" s="3">
        <f>IF(ISBLANK('Paste Full'!AK56),"",'Paste Full'!AK56)</f>
        <v>11</v>
      </c>
      <c r="Z56" s="3">
        <f>IF(ISBLANK('Paste Full'!AL56),"",'Paste Full'!AL56)</f>
        <v>5</v>
      </c>
      <c r="AA56" s="4">
        <f>IF(ISBLANK('Paste Full'!AM56),"",'Paste Full'!AM56)</f>
        <v>2</v>
      </c>
      <c r="AB56" s="4">
        <f>IF(ISBLANK('Paste Full'!AN56),"",'Paste Full'!AN56)</f>
        <v>2</v>
      </c>
      <c r="AC56" s="4">
        <f>IF(ISBLANK('Paste Full'!AO56),"",'Paste Full'!AO56)</f>
        <v>4</v>
      </c>
      <c r="AD56" s="4">
        <f>IF(ISBLANK('Paste Full'!AP56),"",'Paste Full'!AP56)</f>
        <v>3</v>
      </c>
      <c r="AE56" s="4">
        <f>IF(ISBLANK('Paste Full'!AQ56),"",'Paste Full'!AQ56)</f>
        <v>2</v>
      </c>
      <c r="AF56" s="4">
        <f>IF(ISBLANK('Paste Full'!AR56),"",'Paste Full'!AR56)</f>
        <v>3</v>
      </c>
      <c r="AG56" s="4">
        <f>IF(ISBLANK('Paste Full'!AS56),"",'Paste Full'!AS56)</f>
        <v>3</v>
      </c>
      <c r="AH56" s="4">
        <f>IF(ISBLANK('Paste Full'!AV56),"",'Paste Full'!AV56)</f>
        <v>1</v>
      </c>
      <c r="AI56" s="4">
        <f>IF(ISBLANK('Paste Full'!AT56),"",'Paste Full'!AT56)</f>
        <v>3</v>
      </c>
      <c r="AJ56" s="4">
        <f>IF(ISBLANK('Paste Full'!AU56),"",'Paste Full'!AU56)</f>
        <v>1</v>
      </c>
      <c r="AK56" s="4">
        <f>IF(ISBLANK('Paste Full'!AW56),"",'Paste Full'!AW56)</f>
        <v>3</v>
      </c>
      <c r="AL56" s="5">
        <f>IF(ISBLANK('Paste Full'!AX56),"",'Paste Full'!AX56)</f>
        <v>10</v>
      </c>
      <c r="AM56" s="5">
        <f>IF(ISBLANK('Paste Full'!AY56),"",'Paste Full'!AY56)</f>
        <v>7</v>
      </c>
      <c r="AN56" s="5">
        <f>IF(ISBLANK('Paste Full'!AZ56),"",'Paste Full'!AZ56)</f>
        <v>11</v>
      </c>
      <c r="AO56" s="5">
        <f>IF(ISBLANK('Paste Full'!BA56),"",'Paste Full'!BA56)</f>
        <v>6</v>
      </c>
      <c r="AP56" s="5">
        <f>IF(ISBLANK('Paste Full'!BB56),"",'Paste Full'!BB56)</f>
        <v>8</v>
      </c>
      <c r="AQ56" s="5">
        <f>IF(ISBLANK('Paste Full'!BC56),"",'Paste Full'!BC56)</f>
        <v>10</v>
      </c>
      <c r="AR56" s="5">
        <f>IF(ISBLANK('Paste Full'!BD56),"",'Paste Full'!BD56)</f>
        <v>6</v>
      </c>
      <c r="AS56" s="5">
        <f>IF(ISBLANK('Paste Full'!BE56),"",'Paste Full'!BE56)</f>
        <v>3</v>
      </c>
      <c r="AT56" s="5">
        <f>IF(ISBLANK('Paste Full'!BF56),"",'Paste Full'!BF56)</f>
        <v>1</v>
      </c>
      <c r="AU56" s="5">
        <f>IF(ISBLANK('Paste Full'!BG56),"",'Paste Full'!BG56)</f>
        <v>7</v>
      </c>
      <c r="AV56" s="5">
        <f>IF(ISBLANK('Paste Full'!BH56),"",'Paste Full'!BH56)</f>
        <v>10</v>
      </c>
      <c r="AW56" s="5">
        <f>IF(ISBLANK('Paste Full'!BI56),"",'Paste Full'!BI56)</f>
        <v>13</v>
      </c>
      <c r="AX56" s="5">
        <f>IF(ISBLANK('Paste Full'!BJ56),"",'Paste Full'!BJ56)</f>
        <v>7</v>
      </c>
      <c r="AY56" s="5">
        <f>IF(ISBLANK('Paste Full'!BK56),"",'Paste Full'!BK56)</f>
        <v>10</v>
      </c>
      <c r="AZ56" s="6">
        <f>IF(ISBLANK('Paste Full'!BM56),"",'Paste Full'!BM56)</f>
        <v>6</v>
      </c>
      <c r="BA56" s="6">
        <f>IF(ISBLANK('Paste Full'!BN56),"",'Paste Full'!BN56)</f>
        <v>5</v>
      </c>
      <c r="BB56" s="6">
        <f>IF(ISBLANK('Paste Full'!BO56),"",'Paste Full'!BO56)</f>
        <v>8</v>
      </c>
      <c r="BC56" s="6">
        <f>IF(ISBLANK('Paste Full'!BP56),"",'Paste Full'!BP56)</f>
        <v>8</v>
      </c>
      <c r="BD56" s="6">
        <f>IF(ISBLANK('Paste Full'!BR56),"",'Paste Full'!BR56)</f>
        <v>6</v>
      </c>
      <c r="BE56" s="6">
        <f>IF(ISBLANK('Paste Full'!BS56),"",'Paste Full'!BS56)</f>
        <v>4</v>
      </c>
      <c r="BF56" s="6">
        <f>IF(ISBLANK('Paste Full'!BU56),"",'Paste Full'!BU56)</f>
        <v>8</v>
      </c>
      <c r="BG56" s="6">
        <f>IF(ISBLANK('Paste Full'!BV56),"",'Paste Full'!BV56)</f>
        <v>10</v>
      </c>
      <c r="BH56" s="6">
        <f>IF(ISBLANK('Paste Full'!BX56),"",'Paste Full'!BX56)</f>
        <v>10</v>
      </c>
      <c r="BI56" s="6">
        <f>IF(ISBLANK('Paste Full'!BY56),"",'Paste Full'!BY56)</f>
        <v>11</v>
      </c>
      <c r="BJ56" s="13">
        <f>IF(ISBLANK('Paste Full'!BL56),"",'Paste Full'!BL56)</f>
        <v>6</v>
      </c>
      <c r="BK56" s="13">
        <f>IF(ISBLANK('Paste Full'!BQ56),"",'Paste Full'!BQ56)</f>
        <v>4</v>
      </c>
      <c r="BL56" s="13">
        <f>IF(ISBLANK('Paste Full'!BT56),"",'Paste Full'!BT56)</f>
        <v>2</v>
      </c>
      <c r="BM56" s="13">
        <f>IF(ISBLANK('Paste Full'!BW56),"",'Paste Full'!BW56)</f>
        <v>5</v>
      </c>
      <c r="BN56" s="41">
        <f>IF(ISBLANK('Paste Full'!BZ56),"",'Paste Full'!BZ56)</f>
        <v>1</v>
      </c>
      <c r="BO56" s="41">
        <f>IF(ISBLANK('Paste Full'!CA56),"",'Paste Full'!CA56)</f>
        <v>3</v>
      </c>
      <c r="BP56" s="41">
        <f>IF(ISBLANK('Paste Full'!CB56),"",'Paste Full'!CB56)</f>
        <v>16</v>
      </c>
      <c r="BQ56" s="41">
        <f>IF(ISBLANK('Paste Full'!CC56),"",'Paste Full'!CC56)</f>
        <v>1</v>
      </c>
      <c r="BR56" s="41">
        <f>IF(ISBLANK('Paste Full'!CD56),"",'Paste Full'!CD56)</f>
        <v>14</v>
      </c>
      <c r="BS56" s="41">
        <f>IF(ISBLANK('Paste Full'!CE56),"",'Paste Full'!CE56)</f>
        <v>1</v>
      </c>
      <c r="BT56" s="41">
        <f>IF(ISBLANK('Paste Full'!CF56),"",'Paste Full'!CF56)</f>
        <v>10</v>
      </c>
      <c r="BU56" s="41">
        <f>IF(ISBLANK('Paste Full'!CG56),"",'Paste Full'!CG56)</f>
        <v>1</v>
      </c>
      <c r="BV56" s="41">
        <f>IF(ISBLANK('Paste Full'!CH56),"",'Paste Full'!CH56)</f>
        <v>1</v>
      </c>
    </row>
    <row r="57" spans="1:74" x14ac:dyDescent="0.3">
      <c r="A57" t="str">
        <f>IF(ISBLANK('Paste Full'!C57),"",'Paste Full'!C57)</f>
        <v>Glen Gregory</v>
      </c>
      <c r="B57" t="str">
        <f t="shared" si="1"/>
        <v>Striker</v>
      </c>
      <c r="C57" s="2">
        <f>IF(ISBLANK('Paste Full'!H57),"",'Paste Full'!H57)</f>
        <v>17</v>
      </c>
      <c r="D57" s="2">
        <f>IF(ISBLANK('Paste Full'!F57),"",'Paste Full'!F57)</f>
        <v>48</v>
      </c>
      <c r="E57" s="2">
        <f>IF(ISBLANK('Paste Full'!G57),"",'Paste Full'!G57)</f>
        <v>86</v>
      </c>
      <c r="F57" s="21" t="str">
        <f>IF(ISBLANK('Paste Full'!E57),"",'Paste Full'!E57)</f>
        <v>England,Jamaica</v>
      </c>
      <c r="G57" t="str">
        <f>IF(ISBLANK('Paste Full'!CI57),"",'Paste Full'!CI57)</f>
        <v/>
      </c>
      <c r="H57" s="21" t="str">
        <f>IF(ISBLANK('Paste Full'!J57),"",'Paste Full'!J57)</f>
        <v>$26,341</v>
      </c>
      <c r="I57" s="21" t="str">
        <f>IF(ISBLANK('Paste Full'!D57),"",'Paste Full'!D57)</f>
        <v xml:space="preserve">ST </v>
      </c>
      <c r="J57" s="14">
        <f>AVERAGE(SUMPRODUCT($S57:$BM57,AttWeights!$C$10:$AW$10)/SUM(AttWeights!$C$10:$AW$10),SUMPRODUCT($S57:$BM57,AttWeights!$C$17:$AW$17)/SUM(AttWeights!$C$17:$AW$17))*10</f>
        <v>71.650909611803471</v>
      </c>
      <c r="K57" s="14">
        <f>AVERAGE(SUMPRODUCT($S57:$BM57,AttWeights!$C$7:$AW$7)/SUM(AttWeights!$C$7:$AW$7),SUMPRODUCT($S57:$BM57,AttWeights!$C$15:$AW$15)/SUM(AttWeights!$C$15:$AW$15))*10</f>
        <v>65.581268917687851</v>
      </c>
      <c r="L57" s="14">
        <f>AVERAGE(SUMPRODUCT($S57:$BM57,AttWeights!$C$8:$AW$8)/SUM(AttWeights!$C$8:$AW$8),SUMPRODUCT($S57:$BM57,AttWeights!$C$16:$AW$16)/SUM(AttWeights!$C$16:$AW$16))*10</f>
        <v>65.468196126251314</v>
      </c>
      <c r="M57" s="14">
        <f>AVERAGE(SUMPRODUCT($S57:$BM57,AttWeights!$C$9:$AW$9)/SUM(AttWeights!$C$9:$AW$9),SUMPRODUCT($S57:$BM57,AttWeights!$C$15:$AW$15)/SUM(AttWeights!$C$15:$AW$15))*10</f>
        <v>63.010403541081068</v>
      </c>
      <c r="N57" s="14">
        <f>AVERAGE(SUMPRODUCT($S57:$BM57,AttWeights!$C$6:$AW$6)/SUM(AttWeights!$C$6:$AW$6),SUMPRODUCT($S57:$BM57,AttWeights!$C$14:$AW$14)/SUM(AttWeights!$C$14:$AW$14))*10</f>
        <v>60.56077660491168</v>
      </c>
      <c r="O57" s="14">
        <f>AVERAGE(SUMPRODUCT($S57:$BM57,AttWeights!$C$5:$AW$5)/SUM(AttWeights!$C$5:$AW$5),SUMPRODUCT($S57:$BM57,AttWeights!$C$14:$AW$14)/SUM(AttWeights!$C$14:$AW$14))*10</f>
        <v>58.904242027605903</v>
      </c>
      <c r="P57" s="14">
        <f>AVERAGE(SUMPRODUCT($S57:$BM57,AttWeights!$C$4:$AW$4)/SUM(AttWeights!$C$4:$AW$4),SUMPRODUCT($S57:$BM57,AttWeights!$C$13:$AW$13)/SUM(AttWeights!$C$13:$AW$13))*10</f>
        <v>69.821428571428584</v>
      </c>
      <c r="Q57" s="14">
        <f>AVERAGE(SUMPRODUCT($S57:$BM57,AttWeights!$C$3:$AW$3)/SUM(AttWeights!$C$3:$AW$3),SUMPRODUCT($S57:$BM57,AttWeights!$C$12:$AW$12)/SUM(AttWeights!$C$12:$AW$12))*10</f>
        <v>57.204317897371709</v>
      </c>
      <c r="R57" s="14">
        <f>AVERAGE(SUMPRODUCT($S57:$BM57,AttWeights!$C$2:$AW$2)/SUM(AttWeights!$C$2:$AW$2),SUMPRODUCT($S57:$BM57,AttWeights!$C$11:$AW$11)/SUM(AttWeights!$C$11:$AW$11))*10</f>
        <v>47.303439803439808</v>
      </c>
      <c r="S57" s="3">
        <f>IF(ISBLANK('Paste Full'!AC57),"",'Paste Full'!AC57)</f>
        <v>6</v>
      </c>
      <c r="T57" s="3">
        <f>IF(ISBLANK('Paste Full'!AD57),"",'Paste Full'!AD57)</f>
        <v>5</v>
      </c>
      <c r="U57" s="3" t="str">
        <f>IF(ISBLANK('Paste Full'!AE57),"",'Paste Full'!AE57)</f>
        <v>$13</v>
      </c>
      <c r="V57" s="3">
        <f>IF(ISBLANK('Paste Full'!AF57),"",'Paste Full'!AF57)</f>
        <v>15</v>
      </c>
      <c r="W57" s="3">
        <f>IF(ISBLANK('Paste Full'!AH57),"",'Paste Full'!AH57)</f>
        <v>16</v>
      </c>
      <c r="X57" s="3">
        <f>IF(ISBLANK('Paste Full'!AI57),"",'Paste Full'!AI57)</f>
        <v>7</v>
      </c>
      <c r="Y57" s="3">
        <f>IF(ISBLANK('Paste Full'!AK57),"",'Paste Full'!AK57)</f>
        <v>8</v>
      </c>
      <c r="Z57" s="3">
        <f>IF(ISBLANK('Paste Full'!AL57),"",'Paste Full'!AL57)</f>
        <v>7</v>
      </c>
      <c r="AA57" s="4">
        <f>IF(ISBLANK('Paste Full'!AM57),"",'Paste Full'!AM57)</f>
        <v>3</v>
      </c>
      <c r="AB57" s="4">
        <f>IF(ISBLANK('Paste Full'!AN57),"",'Paste Full'!AN57)</f>
        <v>4</v>
      </c>
      <c r="AC57" s="4">
        <f>IF(ISBLANK('Paste Full'!AO57),"",'Paste Full'!AO57)</f>
        <v>3</v>
      </c>
      <c r="AD57" s="4">
        <f>IF(ISBLANK('Paste Full'!AP57),"",'Paste Full'!AP57)</f>
        <v>1</v>
      </c>
      <c r="AE57" s="4">
        <f>IF(ISBLANK('Paste Full'!AQ57),"",'Paste Full'!AQ57)</f>
        <v>3</v>
      </c>
      <c r="AF57" s="4">
        <f>IF(ISBLANK('Paste Full'!AR57),"",'Paste Full'!AR57)</f>
        <v>2</v>
      </c>
      <c r="AG57" s="4">
        <f>IF(ISBLANK('Paste Full'!AS57),"",'Paste Full'!AS57)</f>
        <v>3</v>
      </c>
      <c r="AH57" s="4">
        <f>IF(ISBLANK('Paste Full'!AV57),"",'Paste Full'!AV57)</f>
        <v>2</v>
      </c>
      <c r="AI57" s="4">
        <f>IF(ISBLANK('Paste Full'!AT57),"",'Paste Full'!AT57)</f>
        <v>1</v>
      </c>
      <c r="AJ57" s="4">
        <f>IF(ISBLANK('Paste Full'!AU57),"",'Paste Full'!AU57)</f>
        <v>3</v>
      </c>
      <c r="AK57" s="4">
        <f>IF(ISBLANK('Paste Full'!AW57),"",'Paste Full'!AW57)</f>
        <v>1</v>
      </c>
      <c r="AL57" s="5">
        <f>IF(ISBLANK('Paste Full'!AX57),"",'Paste Full'!AX57)</f>
        <v>15</v>
      </c>
      <c r="AM57" s="5">
        <f>IF(ISBLANK('Paste Full'!AY57),"",'Paste Full'!AY57)</f>
        <v>8</v>
      </c>
      <c r="AN57" s="5">
        <f>IF(ISBLANK('Paste Full'!AZ57),"",'Paste Full'!AZ57)</f>
        <v>9</v>
      </c>
      <c r="AO57" s="5">
        <f>IF(ISBLANK('Paste Full'!BA57),"",'Paste Full'!BA57)</f>
        <v>12</v>
      </c>
      <c r="AP57" s="5">
        <f>IF(ISBLANK('Paste Full'!BB57),"",'Paste Full'!BB57)</f>
        <v>5</v>
      </c>
      <c r="AQ57" s="5">
        <f>IF(ISBLANK('Paste Full'!BC57),"",'Paste Full'!BC57)</f>
        <v>9</v>
      </c>
      <c r="AR57" s="5">
        <f>IF(ISBLANK('Paste Full'!BD57),"",'Paste Full'!BD57)</f>
        <v>3</v>
      </c>
      <c r="AS57" s="5">
        <f>IF(ISBLANK('Paste Full'!BE57),"",'Paste Full'!BE57)</f>
        <v>15</v>
      </c>
      <c r="AT57" s="5">
        <f>IF(ISBLANK('Paste Full'!BF57),"",'Paste Full'!BF57)</f>
        <v>12</v>
      </c>
      <c r="AU57" s="5">
        <f>IF(ISBLANK('Paste Full'!BG57),"",'Paste Full'!BG57)</f>
        <v>11</v>
      </c>
      <c r="AV57" s="5">
        <f>IF(ISBLANK('Paste Full'!BH57),"",'Paste Full'!BH57)</f>
        <v>5</v>
      </c>
      <c r="AW57" s="5">
        <f>IF(ISBLANK('Paste Full'!BI57),"",'Paste Full'!BI57)</f>
        <v>5</v>
      </c>
      <c r="AX57" s="5">
        <f>IF(ISBLANK('Paste Full'!BJ57),"",'Paste Full'!BJ57)</f>
        <v>5</v>
      </c>
      <c r="AY57" s="5">
        <f>IF(ISBLANK('Paste Full'!BK57),"",'Paste Full'!BK57)</f>
        <v>3</v>
      </c>
      <c r="AZ57" s="6">
        <f>IF(ISBLANK('Paste Full'!BM57),"",'Paste Full'!BM57)</f>
        <v>2</v>
      </c>
      <c r="BA57" s="6">
        <f>IF(ISBLANK('Paste Full'!BN57),"",'Paste Full'!BN57)</f>
        <v>6</v>
      </c>
      <c r="BB57" s="6">
        <f>IF(ISBLANK('Paste Full'!BO57),"",'Paste Full'!BO57)</f>
        <v>10</v>
      </c>
      <c r="BC57" s="6">
        <f>IF(ISBLANK('Paste Full'!BP57),"",'Paste Full'!BP57)</f>
        <v>11</v>
      </c>
      <c r="BD57" s="6">
        <f>IF(ISBLANK('Paste Full'!BR57),"",'Paste Full'!BR57)</f>
        <v>14</v>
      </c>
      <c r="BE57" s="6">
        <f>IF(ISBLANK('Paste Full'!BS57),"",'Paste Full'!BS57)</f>
        <v>4</v>
      </c>
      <c r="BF57" s="6">
        <f>IF(ISBLANK('Paste Full'!BU57),"",'Paste Full'!BU57)</f>
        <v>2</v>
      </c>
      <c r="BG57" s="6">
        <f>IF(ISBLANK('Paste Full'!BV57),"",'Paste Full'!BV57)</f>
        <v>5</v>
      </c>
      <c r="BH57" s="6">
        <f>IF(ISBLANK('Paste Full'!BX57),"",'Paste Full'!BX57)</f>
        <v>1</v>
      </c>
      <c r="BI57" s="6">
        <f>IF(ISBLANK('Paste Full'!BY57),"",'Paste Full'!BY57)</f>
        <v>8</v>
      </c>
      <c r="BJ57" s="13">
        <f>IF(ISBLANK('Paste Full'!BL57),"",'Paste Full'!BL57)</f>
        <v>5</v>
      </c>
      <c r="BK57" s="13">
        <f>IF(ISBLANK('Paste Full'!BQ57),"",'Paste Full'!BQ57)</f>
        <v>8</v>
      </c>
      <c r="BL57" s="13">
        <f>IF(ISBLANK('Paste Full'!BT57),"",'Paste Full'!BT57)</f>
        <v>1</v>
      </c>
      <c r="BM57" s="13">
        <f>IF(ISBLANK('Paste Full'!BW57),"",'Paste Full'!BW57)</f>
        <v>3</v>
      </c>
      <c r="BN57" s="41">
        <f>IF(ISBLANK('Paste Full'!BZ57),"",'Paste Full'!BZ57)</f>
        <v>1</v>
      </c>
      <c r="BO57" s="41">
        <f>IF(ISBLANK('Paste Full'!CA57),"",'Paste Full'!CA57)</f>
        <v>1</v>
      </c>
      <c r="BP57" s="41">
        <f>IF(ISBLANK('Paste Full'!CB57),"",'Paste Full'!CB57)</f>
        <v>2</v>
      </c>
      <c r="BQ57" s="41">
        <f>IF(ISBLANK('Paste Full'!CC57),"",'Paste Full'!CC57)</f>
        <v>1</v>
      </c>
      <c r="BR57" s="41">
        <f>IF(ISBLANK('Paste Full'!CD57),"",'Paste Full'!CD57)</f>
        <v>2</v>
      </c>
      <c r="BS57" s="41">
        <f>IF(ISBLANK('Paste Full'!CE57),"",'Paste Full'!CE57)</f>
        <v>1</v>
      </c>
      <c r="BT57" s="41">
        <f>IF(ISBLANK('Paste Full'!CF57),"",'Paste Full'!CF57)</f>
        <v>1</v>
      </c>
      <c r="BU57" s="41">
        <f>IF(ISBLANK('Paste Full'!CG57),"",'Paste Full'!CG57)</f>
        <v>1</v>
      </c>
      <c r="BV57" s="41">
        <f>IF(ISBLANK('Paste Full'!CH57),"",'Paste Full'!CH57)</f>
        <v>20</v>
      </c>
    </row>
    <row r="58" spans="1:74" x14ac:dyDescent="0.3">
      <c r="A58" t="str">
        <f>IF(ISBLANK('Paste Full'!C58),"",'Paste Full'!C58)</f>
        <v>Hisashi Whisken</v>
      </c>
      <c r="B58" t="str">
        <f t="shared" si="1"/>
        <v>DM(L)</v>
      </c>
      <c r="C58" s="2">
        <f>IF(ISBLANK('Paste Full'!H58),"",'Paste Full'!H58)</f>
        <v>18</v>
      </c>
      <c r="D58" s="2">
        <f>IF(ISBLANK('Paste Full'!F58),"",'Paste Full'!F58)</f>
        <v>45</v>
      </c>
      <c r="E58" s="2">
        <f>IF(ISBLANK('Paste Full'!G58),"",'Paste Full'!G58)</f>
        <v>86</v>
      </c>
      <c r="F58" s="21" t="str">
        <f>IF(ISBLANK('Paste Full'!E58),"",'Paste Full'!E58)</f>
        <v>England</v>
      </c>
      <c r="G58" t="str">
        <f>IF(ISBLANK('Paste Full'!CI58),"",'Paste Full'!CI58)</f>
        <v/>
      </c>
      <c r="H58" s="21" t="str">
        <f>IF(ISBLANK('Paste Full'!J58),"",'Paste Full'!J58)</f>
        <v>$23,504</v>
      </c>
      <c r="I58" s="21" t="str">
        <f>IF(ISBLANK('Paste Full'!D58),"",'Paste Full'!D58)</f>
        <v>DM/M C</v>
      </c>
      <c r="J58" s="14">
        <f>AVERAGE(SUMPRODUCT($S58:$BM58,AttWeights!$C$10:$AW$10)/SUM(AttWeights!$C$10:$AW$10),SUMPRODUCT($S58:$BM58,AttWeights!$C$17:$AW$17)/SUM(AttWeights!$C$17:$AW$17))*10</f>
        <v>64.269015900300815</v>
      </c>
      <c r="K58" s="14">
        <f>AVERAGE(SUMPRODUCT($S58:$BM58,AttWeights!$C$7:$AW$7)/SUM(AttWeights!$C$7:$AW$7),SUMPRODUCT($S58:$BM58,AttWeights!$C$15:$AW$15)/SUM(AttWeights!$C$15:$AW$15))*10</f>
        <v>68.107349613564892</v>
      </c>
      <c r="L58" s="14">
        <f>AVERAGE(SUMPRODUCT($S58:$BM58,AttWeights!$C$8:$AW$8)/SUM(AttWeights!$C$8:$AW$8),SUMPRODUCT($S58:$BM58,AttWeights!$C$16:$AW$16)/SUM(AttWeights!$C$16:$AW$16))*10</f>
        <v>70.870884496497752</v>
      </c>
      <c r="M58" s="14">
        <f>AVERAGE(SUMPRODUCT($S58:$BM58,AttWeights!$C$9:$AW$9)/SUM(AttWeights!$C$9:$AW$9),SUMPRODUCT($S58:$BM58,AttWeights!$C$15:$AW$15)/SUM(AttWeights!$C$15:$AW$15))*10</f>
        <v>68.201188976123547</v>
      </c>
      <c r="N58" s="14">
        <f>AVERAGE(SUMPRODUCT($S58:$BM58,AttWeights!$C$6:$AW$6)/SUM(AttWeights!$C$6:$AW$6),SUMPRODUCT($S58:$BM58,AttWeights!$C$14:$AW$14)/SUM(AttWeights!$C$14:$AW$14))*10</f>
        <v>71.095029082292115</v>
      </c>
      <c r="O58" s="14">
        <f>AVERAGE(SUMPRODUCT($S58:$BM58,AttWeights!$C$5:$AW$5)/SUM(AttWeights!$C$5:$AW$5),SUMPRODUCT($S58:$BM58,AttWeights!$C$14:$AW$14)/SUM(AttWeights!$C$14:$AW$14))*10</f>
        <v>70.032276297001431</v>
      </c>
      <c r="P58" s="14">
        <f>AVERAGE(SUMPRODUCT($S58:$BM58,AttWeights!$C$4:$AW$4)/SUM(AttWeights!$C$4:$AW$4),SUMPRODUCT($S58:$BM58,AttWeights!$C$13:$AW$13)/SUM(AttWeights!$C$13:$AW$13))*10</f>
        <v>66.229395604395606</v>
      </c>
      <c r="Q58" s="14">
        <f>AVERAGE(SUMPRODUCT($S58:$BM58,AttWeights!$C$3:$AW$3)/SUM(AttWeights!$C$3:$AW$3),SUMPRODUCT($S58:$BM58,AttWeights!$C$12:$AW$12)/SUM(AttWeights!$C$12:$AW$12))*10</f>
        <v>68.536921151439302</v>
      </c>
      <c r="R58" s="14">
        <f>AVERAGE(SUMPRODUCT($S58:$BM58,AttWeights!$C$2:$AW$2)/SUM(AttWeights!$C$2:$AW$2),SUMPRODUCT($S58:$BM58,AttWeights!$C$11:$AW$11)/SUM(AttWeights!$C$11:$AW$11))*10</f>
        <v>46.831783081783087</v>
      </c>
      <c r="S58" s="3">
        <f>IF(ISBLANK('Paste Full'!AC58),"",'Paste Full'!AC58)</f>
        <v>5</v>
      </c>
      <c r="T58" s="3">
        <f>IF(ISBLANK('Paste Full'!AD58),"",'Paste Full'!AD58)</f>
        <v>6</v>
      </c>
      <c r="U58" s="3" t="str">
        <f>IF(ISBLANK('Paste Full'!AE58),"",'Paste Full'!AE58)</f>
        <v>$11</v>
      </c>
      <c r="V58" s="3">
        <f>IF(ISBLANK('Paste Full'!AF58),"",'Paste Full'!AF58)</f>
        <v>6</v>
      </c>
      <c r="W58" s="3">
        <f>IF(ISBLANK('Paste Full'!AH58),"",'Paste Full'!AH58)</f>
        <v>13</v>
      </c>
      <c r="X58" s="3">
        <f>IF(ISBLANK('Paste Full'!AI58),"",'Paste Full'!AI58)</f>
        <v>8</v>
      </c>
      <c r="Y58" s="3">
        <f>IF(ISBLANK('Paste Full'!AK58),"",'Paste Full'!AK58)</f>
        <v>9</v>
      </c>
      <c r="Z58" s="3">
        <f>IF(ISBLANK('Paste Full'!AL58),"",'Paste Full'!AL58)</f>
        <v>5</v>
      </c>
      <c r="AA58" s="4">
        <f>IF(ISBLANK('Paste Full'!AM58),"",'Paste Full'!AM58)</f>
        <v>3</v>
      </c>
      <c r="AB58" s="4">
        <f>IF(ISBLANK('Paste Full'!AN58),"",'Paste Full'!AN58)</f>
        <v>1</v>
      </c>
      <c r="AC58" s="4">
        <f>IF(ISBLANK('Paste Full'!AO58),"",'Paste Full'!AO58)</f>
        <v>2</v>
      </c>
      <c r="AD58" s="4">
        <f>IF(ISBLANK('Paste Full'!AP58),"",'Paste Full'!AP58)</f>
        <v>2</v>
      </c>
      <c r="AE58" s="4">
        <f>IF(ISBLANK('Paste Full'!AQ58),"",'Paste Full'!AQ58)</f>
        <v>2</v>
      </c>
      <c r="AF58" s="4">
        <f>IF(ISBLANK('Paste Full'!AR58),"",'Paste Full'!AR58)</f>
        <v>1</v>
      </c>
      <c r="AG58" s="4">
        <f>IF(ISBLANK('Paste Full'!AS58),"",'Paste Full'!AS58)</f>
        <v>3</v>
      </c>
      <c r="AH58" s="4">
        <f>IF(ISBLANK('Paste Full'!AV58),"",'Paste Full'!AV58)</f>
        <v>3</v>
      </c>
      <c r="AI58" s="4">
        <f>IF(ISBLANK('Paste Full'!AT58),"",'Paste Full'!AT58)</f>
        <v>1</v>
      </c>
      <c r="AJ58" s="4">
        <f>IF(ISBLANK('Paste Full'!AU58),"",'Paste Full'!AU58)</f>
        <v>1</v>
      </c>
      <c r="AK58" s="4">
        <f>IF(ISBLANK('Paste Full'!AW58),"",'Paste Full'!AW58)</f>
        <v>2</v>
      </c>
      <c r="AL58" s="5">
        <f>IF(ISBLANK('Paste Full'!AX58),"",'Paste Full'!AX58)</f>
        <v>7</v>
      </c>
      <c r="AM58" s="5">
        <f>IF(ISBLANK('Paste Full'!AY58),"",'Paste Full'!AY58)</f>
        <v>8</v>
      </c>
      <c r="AN58" s="5">
        <f>IF(ISBLANK('Paste Full'!AZ58),"",'Paste Full'!AZ58)</f>
        <v>4</v>
      </c>
      <c r="AO58" s="5">
        <f>IF(ISBLANK('Paste Full'!BA58),"",'Paste Full'!BA58)</f>
        <v>7</v>
      </c>
      <c r="AP58" s="5">
        <f>IF(ISBLANK('Paste Full'!BB58),"",'Paste Full'!BB58)</f>
        <v>7</v>
      </c>
      <c r="AQ58" s="5">
        <f>IF(ISBLANK('Paste Full'!BC58),"",'Paste Full'!BC58)</f>
        <v>13</v>
      </c>
      <c r="AR58" s="5">
        <f>IF(ISBLANK('Paste Full'!BD58),"",'Paste Full'!BD58)</f>
        <v>14</v>
      </c>
      <c r="AS58" s="5">
        <f>IF(ISBLANK('Paste Full'!BE58),"",'Paste Full'!BE58)</f>
        <v>12</v>
      </c>
      <c r="AT58" s="5">
        <f>IF(ISBLANK('Paste Full'!BF58),"",'Paste Full'!BF58)</f>
        <v>9</v>
      </c>
      <c r="AU58" s="5">
        <f>IF(ISBLANK('Paste Full'!BG58),"",'Paste Full'!BG58)</f>
        <v>5</v>
      </c>
      <c r="AV58" s="5">
        <f>IF(ISBLANK('Paste Full'!BH58),"",'Paste Full'!BH58)</f>
        <v>4</v>
      </c>
      <c r="AW58" s="5">
        <f>IF(ISBLANK('Paste Full'!BI58),"",'Paste Full'!BI58)</f>
        <v>8</v>
      </c>
      <c r="AX58" s="5">
        <f>IF(ISBLANK('Paste Full'!BJ58),"",'Paste Full'!BJ58)</f>
        <v>9</v>
      </c>
      <c r="AY58" s="5">
        <f>IF(ISBLANK('Paste Full'!BK58),"",'Paste Full'!BK58)</f>
        <v>12</v>
      </c>
      <c r="AZ58" s="6">
        <f>IF(ISBLANK('Paste Full'!BM58),"",'Paste Full'!BM58)</f>
        <v>4</v>
      </c>
      <c r="BA58" s="6">
        <f>IF(ISBLANK('Paste Full'!BN58),"",'Paste Full'!BN58)</f>
        <v>5</v>
      </c>
      <c r="BB58" s="6">
        <f>IF(ISBLANK('Paste Full'!BO58),"",'Paste Full'!BO58)</f>
        <v>3</v>
      </c>
      <c r="BC58" s="6">
        <f>IF(ISBLANK('Paste Full'!BP58),"",'Paste Full'!BP58)</f>
        <v>12</v>
      </c>
      <c r="BD58" s="6">
        <f>IF(ISBLANK('Paste Full'!BR58),"",'Paste Full'!BR58)</f>
        <v>6</v>
      </c>
      <c r="BE58" s="6">
        <f>IF(ISBLANK('Paste Full'!BS58),"",'Paste Full'!BS58)</f>
        <v>5</v>
      </c>
      <c r="BF58" s="6">
        <f>IF(ISBLANK('Paste Full'!BU58),"",'Paste Full'!BU58)</f>
        <v>7</v>
      </c>
      <c r="BG58" s="6">
        <f>IF(ISBLANK('Paste Full'!BV58),"",'Paste Full'!BV58)</f>
        <v>9</v>
      </c>
      <c r="BH58" s="6">
        <f>IF(ISBLANK('Paste Full'!BX58),"",'Paste Full'!BX58)</f>
        <v>11</v>
      </c>
      <c r="BI58" s="6">
        <f>IF(ISBLANK('Paste Full'!BY58),"",'Paste Full'!BY58)</f>
        <v>7</v>
      </c>
      <c r="BJ58" s="13">
        <f>IF(ISBLANK('Paste Full'!BL58),"",'Paste Full'!BL58)</f>
        <v>3</v>
      </c>
      <c r="BK58" s="13">
        <f>IF(ISBLANK('Paste Full'!BQ58),"",'Paste Full'!BQ58)</f>
        <v>2</v>
      </c>
      <c r="BL58" s="13">
        <f>IF(ISBLANK('Paste Full'!BT58),"",'Paste Full'!BT58)</f>
        <v>2</v>
      </c>
      <c r="BM58" s="13">
        <f>IF(ISBLANK('Paste Full'!BW58),"",'Paste Full'!BW58)</f>
        <v>4</v>
      </c>
      <c r="BN58" s="41">
        <f>IF(ISBLANK('Paste Full'!BZ58),"",'Paste Full'!BZ58)</f>
        <v>1</v>
      </c>
      <c r="BO58" s="41">
        <f>IF(ISBLANK('Paste Full'!CA58),"",'Paste Full'!CA58)</f>
        <v>1</v>
      </c>
      <c r="BP58" s="41">
        <f>IF(ISBLANK('Paste Full'!CB58),"",'Paste Full'!CB58)</f>
        <v>1</v>
      </c>
      <c r="BQ58" s="41">
        <f>IF(ISBLANK('Paste Full'!CC58),"",'Paste Full'!CC58)</f>
        <v>1</v>
      </c>
      <c r="BR58" s="41">
        <f>IF(ISBLANK('Paste Full'!CD58),"",'Paste Full'!CD58)</f>
        <v>16</v>
      </c>
      <c r="BS58" s="41">
        <f>IF(ISBLANK('Paste Full'!CE58),"",'Paste Full'!CE58)</f>
        <v>1</v>
      </c>
      <c r="BT58" s="41">
        <f>IF(ISBLANK('Paste Full'!CF58),"",'Paste Full'!CF58)</f>
        <v>15</v>
      </c>
      <c r="BU58" s="41">
        <f>IF(ISBLANK('Paste Full'!CG58),"",'Paste Full'!CG58)</f>
        <v>1</v>
      </c>
      <c r="BV58" s="41">
        <f>IF(ISBLANK('Paste Full'!CH58),"",'Paste Full'!CH58)</f>
        <v>1</v>
      </c>
    </row>
    <row r="59" spans="1:74" x14ac:dyDescent="0.3">
      <c r="A59" t="str">
        <f>IF(ISBLANK('Paste Full'!C59),"",'Paste Full'!C59)</f>
        <v>Marcus Cliff</v>
      </c>
      <c r="B59" t="str">
        <f t="shared" si="1"/>
        <v>AM(C)</v>
      </c>
      <c r="C59" s="2">
        <f>IF(ISBLANK('Paste Full'!H59),"",'Paste Full'!H59)</f>
        <v>18</v>
      </c>
      <c r="D59" s="2">
        <f>IF(ISBLANK('Paste Full'!F59),"",'Paste Full'!F59)</f>
        <v>44</v>
      </c>
      <c r="E59" s="2">
        <f>IF(ISBLANK('Paste Full'!G59),"",'Paste Full'!G59)</f>
        <v>92</v>
      </c>
      <c r="F59" s="21" t="str">
        <f>IF(ISBLANK('Paste Full'!E59),"",'Paste Full'!E59)</f>
        <v>England</v>
      </c>
      <c r="G59" t="str">
        <f>IF(ISBLANK('Paste Full'!CI59),"",'Paste Full'!CI59)</f>
        <v/>
      </c>
      <c r="H59" s="21" t="str">
        <f>IF(ISBLANK('Paste Full'!J59),"",'Paste Full'!J59)</f>
        <v>$27,489</v>
      </c>
      <c r="I59" s="21" t="str">
        <f>IF(ISBLANK('Paste Full'!D59),"",'Paste Full'!D59)</f>
        <v>AM/ST RLC</v>
      </c>
      <c r="J59" s="14">
        <f>AVERAGE(SUMPRODUCT($S59:$BM59,AttWeights!$C$10:$AW$10)/SUM(AttWeights!$C$10:$AW$10),SUMPRODUCT($S59:$BM59,AttWeights!$C$17:$AW$17)/SUM(AttWeights!$C$17:$AW$17))*10</f>
        <v>69.116602205987675</v>
      </c>
      <c r="K59" s="14">
        <f>AVERAGE(SUMPRODUCT($S59:$BM59,AttWeights!$C$7:$AW$7)/SUM(AttWeights!$C$7:$AW$7),SUMPRODUCT($S59:$BM59,AttWeights!$C$15:$AW$15)/SUM(AttWeights!$C$15:$AW$15))*10</f>
        <v>69.968409297951752</v>
      </c>
      <c r="L59" s="14">
        <f>AVERAGE(SUMPRODUCT($S59:$BM59,AttWeights!$C$8:$AW$8)/SUM(AttWeights!$C$8:$AW$8),SUMPRODUCT($S59:$BM59,AttWeights!$C$16:$AW$16)/SUM(AttWeights!$C$16:$AW$16))*10</f>
        <v>70.651958143096167</v>
      </c>
      <c r="M59" s="14">
        <f>AVERAGE(SUMPRODUCT($S59:$BM59,AttWeights!$C$9:$AW$9)/SUM(AttWeights!$C$9:$AW$9),SUMPRODUCT($S59:$BM59,AttWeights!$C$15:$AW$15)/SUM(AttWeights!$C$15:$AW$15))*10</f>
        <v>70.261865529385148</v>
      </c>
      <c r="N59" s="14">
        <f>AVERAGE(SUMPRODUCT($S59:$BM59,AttWeights!$C$6:$AW$6)/SUM(AttWeights!$C$6:$AW$6),SUMPRODUCT($S59:$BM59,AttWeights!$C$14:$AW$14)/SUM(AttWeights!$C$14:$AW$14))*10</f>
        <v>67.888706376561828</v>
      </c>
      <c r="O59" s="14">
        <f>AVERAGE(SUMPRODUCT($S59:$BM59,AttWeights!$C$5:$AW$5)/SUM(AttWeights!$C$5:$AW$5),SUMPRODUCT($S59:$BM59,AttWeights!$C$14:$AW$14)/SUM(AttWeights!$C$14:$AW$14))*10</f>
        <v>66.315296287482141</v>
      </c>
      <c r="P59" s="14">
        <f>AVERAGE(SUMPRODUCT($S59:$BM59,AttWeights!$C$4:$AW$4)/SUM(AttWeights!$C$4:$AW$4),SUMPRODUCT($S59:$BM59,AttWeights!$C$13:$AW$13)/SUM(AttWeights!$C$13:$AW$13))*10</f>
        <v>66.964285714285708</v>
      </c>
      <c r="Q59" s="14">
        <f>AVERAGE(SUMPRODUCT($S59:$BM59,AttWeights!$C$3:$AW$3)/SUM(AttWeights!$C$3:$AW$3),SUMPRODUCT($S59:$BM59,AttWeights!$C$12:$AW$12)/SUM(AttWeights!$C$12:$AW$12))*10</f>
        <v>66.423654568210267</v>
      </c>
      <c r="R59" s="14">
        <f>AVERAGE(SUMPRODUCT($S59:$BM59,AttWeights!$C$2:$AW$2)/SUM(AttWeights!$C$2:$AW$2),SUMPRODUCT($S59:$BM59,AttWeights!$C$11:$AW$11)/SUM(AttWeights!$C$11:$AW$11))*10</f>
        <v>46.562829062829067</v>
      </c>
      <c r="S59" s="3">
        <f>IF(ISBLANK('Paste Full'!AC59),"",'Paste Full'!AC59)</f>
        <v>8</v>
      </c>
      <c r="T59" s="3">
        <f>IF(ISBLANK('Paste Full'!AD59),"",'Paste Full'!AD59)</f>
        <v>10</v>
      </c>
      <c r="U59" s="3" t="str">
        <f>IF(ISBLANK('Paste Full'!AE59),"",'Paste Full'!AE59)</f>
        <v>$9</v>
      </c>
      <c r="V59" s="3">
        <f>IF(ISBLANK('Paste Full'!AF59),"",'Paste Full'!AF59)</f>
        <v>14</v>
      </c>
      <c r="W59" s="3">
        <f>IF(ISBLANK('Paste Full'!AH59),"",'Paste Full'!AH59)</f>
        <v>14</v>
      </c>
      <c r="X59" s="3">
        <f>IF(ISBLANK('Paste Full'!AI59),"",'Paste Full'!AI59)</f>
        <v>7</v>
      </c>
      <c r="Y59" s="3">
        <f>IF(ISBLANK('Paste Full'!AK59),"",'Paste Full'!AK59)</f>
        <v>7</v>
      </c>
      <c r="Z59" s="3">
        <f>IF(ISBLANK('Paste Full'!AL59),"",'Paste Full'!AL59)</f>
        <v>7</v>
      </c>
      <c r="AA59" s="4">
        <f>IF(ISBLANK('Paste Full'!AM59),"",'Paste Full'!AM59)</f>
        <v>3</v>
      </c>
      <c r="AB59" s="4">
        <f>IF(ISBLANK('Paste Full'!AN59),"",'Paste Full'!AN59)</f>
        <v>3</v>
      </c>
      <c r="AC59" s="4">
        <f>IF(ISBLANK('Paste Full'!AO59),"",'Paste Full'!AO59)</f>
        <v>2</v>
      </c>
      <c r="AD59" s="4">
        <f>IF(ISBLANK('Paste Full'!AP59),"",'Paste Full'!AP59)</f>
        <v>2</v>
      </c>
      <c r="AE59" s="4">
        <f>IF(ISBLANK('Paste Full'!AQ59),"",'Paste Full'!AQ59)</f>
        <v>2</v>
      </c>
      <c r="AF59" s="4">
        <f>IF(ISBLANK('Paste Full'!AR59),"",'Paste Full'!AR59)</f>
        <v>2</v>
      </c>
      <c r="AG59" s="4">
        <f>IF(ISBLANK('Paste Full'!AS59),"",'Paste Full'!AS59)</f>
        <v>2</v>
      </c>
      <c r="AH59" s="4">
        <f>IF(ISBLANK('Paste Full'!AV59),"",'Paste Full'!AV59)</f>
        <v>3</v>
      </c>
      <c r="AI59" s="4">
        <f>IF(ISBLANK('Paste Full'!AT59),"",'Paste Full'!AT59)</f>
        <v>3</v>
      </c>
      <c r="AJ59" s="4">
        <f>IF(ISBLANK('Paste Full'!AU59),"",'Paste Full'!AU59)</f>
        <v>2</v>
      </c>
      <c r="AK59" s="4">
        <f>IF(ISBLANK('Paste Full'!AW59),"",'Paste Full'!AW59)</f>
        <v>3</v>
      </c>
      <c r="AL59" s="5">
        <f>IF(ISBLANK('Paste Full'!AX59),"",'Paste Full'!AX59)</f>
        <v>7</v>
      </c>
      <c r="AM59" s="5">
        <f>IF(ISBLANK('Paste Full'!AY59),"",'Paste Full'!AY59)</f>
        <v>8</v>
      </c>
      <c r="AN59" s="5">
        <f>IF(ISBLANK('Paste Full'!AZ59),"",'Paste Full'!AZ59)</f>
        <v>2</v>
      </c>
      <c r="AO59" s="5">
        <f>IF(ISBLANK('Paste Full'!BA59),"",'Paste Full'!BA59)</f>
        <v>9</v>
      </c>
      <c r="AP59" s="5">
        <f>IF(ISBLANK('Paste Full'!BB59),"",'Paste Full'!BB59)</f>
        <v>5</v>
      </c>
      <c r="AQ59" s="5">
        <f>IF(ISBLANK('Paste Full'!BC59),"",'Paste Full'!BC59)</f>
        <v>10</v>
      </c>
      <c r="AR59" s="5">
        <f>IF(ISBLANK('Paste Full'!BD59),"",'Paste Full'!BD59)</f>
        <v>5</v>
      </c>
      <c r="AS59" s="5">
        <f>IF(ISBLANK('Paste Full'!BE59),"",'Paste Full'!BE59)</f>
        <v>10</v>
      </c>
      <c r="AT59" s="5">
        <f>IF(ISBLANK('Paste Full'!BF59),"",'Paste Full'!BF59)</f>
        <v>5</v>
      </c>
      <c r="AU59" s="5">
        <f>IF(ISBLANK('Paste Full'!BG59),"",'Paste Full'!BG59)</f>
        <v>7</v>
      </c>
      <c r="AV59" s="5">
        <f>IF(ISBLANK('Paste Full'!BH59),"",'Paste Full'!BH59)</f>
        <v>4</v>
      </c>
      <c r="AW59" s="5">
        <f>IF(ISBLANK('Paste Full'!BI59),"",'Paste Full'!BI59)</f>
        <v>11</v>
      </c>
      <c r="AX59" s="5">
        <f>IF(ISBLANK('Paste Full'!BJ59),"",'Paste Full'!BJ59)</f>
        <v>6</v>
      </c>
      <c r="AY59" s="5">
        <f>IF(ISBLANK('Paste Full'!BK59),"",'Paste Full'!BK59)</f>
        <v>10</v>
      </c>
      <c r="AZ59" s="6">
        <f>IF(ISBLANK('Paste Full'!BM59),"",'Paste Full'!BM59)</f>
        <v>4</v>
      </c>
      <c r="BA59" s="6">
        <f>IF(ISBLANK('Paste Full'!BN59),"",'Paste Full'!BN59)</f>
        <v>11</v>
      </c>
      <c r="BB59" s="6">
        <f>IF(ISBLANK('Paste Full'!BO59),"",'Paste Full'!BO59)</f>
        <v>6</v>
      </c>
      <c r="BC59" s="6">
        <f>IF(ISBLANK('Paste Full'!BP59),"",'Paste Full'!BP59)</f>
        <v>9</v>
      </c>
      <c r="BD59" s="6">
        <f>IF(ISBLANK('Paste Full'!BR59),"",'Paste Full'!BR59)</f>
        <v>5</v>
      </c>
      <c r="BE59" s="6">
        <f>IF(ISBLANK('Paste Full'!BS59),"",'Paste Full'!BS59)</f>
        <v>7</v>
      </c>
      <c r="BF59" s="6">
        <f>IF(ISBLANK('Paste Full'!BU59),"",'Paste Full'!BU59)</f>
        <v>5</v>
      </c>
      <c r="BG59" s="6">
        <f>IF(ISBLANK('Paste Full'!BV59),"",'Paste Full'!BV59)</f>
        <v>11</v>
      </c>
      <c r="BH59" s="6">
        <f>IF(ISBLANK('Paste Full'!BX59),"",'Paste Full'!BX59)</f>
        <v>5</v>
      </c>
      <c r="BI59" s="6">
        <f>IF(ISBLANK('Paste Full'!BY59),"",'Paste Full'!BY59)</f>
        <v>10</v>
      </c>
      <c r="BJ59" s="13">
        <f>IF(ISBLANK('Paste Full'!BL59),"",'Paste Full'!BL59)</f>
        <v>2</v>
      </c>
      <c r="BK59" s="13">
        <f>IF(ISBLANK('Paste Full'!BQ59),"",'Paste Full'!BQ59)</f>
        <v>4</v>
      </c>
      <c r="BL59" s="13">
        <f>IF(ISBLANK('Paste Full'!BT59),"",'Paste Full'!BT59)</f>
        <v>3</v>
      </c>
      <c r="BM59" s="13">
        <f>IF(ISBLANK('Paste Full'!BW59),"",'Paste Full'!BW59)</f>
        <v>3</v>
      </c>
      <c r="BN59" s="41">
        <f>IF(ISBLANK('Paste Full'!BZ59),"",'Paste Full'!BZ59)</f>
        <v>1</v>
      </c>
      <c r="BO59" s="41">
        <f>IF(ISBLANK('Paste Full'!CA59),"",'Paste Full'!CA59)</f>
        <v>1</v>
      </c>
      <c r="BP59" s="41">
        <f>IF(ISBLANK('Paste Full'!CB59),"",'Paste Full'!CB59)</f>
        <v>1</v>
      </c>
      <c r="BQ59" s="41">
        <f>IF(ISBLANK('Paste Full'!CC59),"",'Paste Full'!CC59)</f>
        <v>1</v>
      </c>
      <c r="BR59" s="41">
        <f>IF(ISBLANK('Paste Full'!CD59),"",'Paste Full'!CD59)</f>
        <v>1</v>
      </c>
      <c r="BS59" s="41">
        <f>IF(ISBLANK('Paste Full'!CE59),"",'Paste Full'!CE59)</f>
        <v>16</v>
      </c>
      <c r="BT59" s="41">
        <f>IF(ISBLANK('Paste Full'!CF59),"",'Paste Full'!CF59)</f>
        <v>20</v>
      </c>
      <c r="BU59" s="41">
        <f>IF(ISBLANK('Paste Full'!CG59),"",'Paste Full'!CG59)</f>
        <v>16</v>
      </c>
      <c r="BV59" s="41">
        <f>IF(ISBLANK('Paste Full'!CH59),"",'Paste Full'!CH59)</f>
        <v>16</v>
      </c>
    </row>
    <row r="60" spans="1:74" x14ac:dyDescent="0.3">
      <c r="A60" t="str">
        <f>IF(ISBLANK('Paste Full'!C60),"",'Paste Full'!C60)</f>
        <v>Michael Eduard</v>
      </c>
      <c r="B60" t="str">
        <f t="shared" si="1"/>
        <v>AM(C)</v>
      </c>
      <c r="C60" s="2">
        <f>IF(ISBLANK('Paste Full'!H60),"",'Paste Full'!H60)</f>
        <v>16</v>
      </c>
      <c r="D60" s="2">
        <f>IF(ISBLANK('Paste Full'!F60),"",'Paste Full'!F60)</f>
        <v>49</v>
      </c>
      <c r="E60" s="2">
        <f>IF(ISBLANK('Paste Full'!G60),"",'Paste Full'!G60)</f>
        <v>92</v>
      </c>
      <c r="F60" s="21" t="str">
        <f>IF(ISBLANK('Paste Full'!E60),"",'Paste Full'!E60)</f>
        <v>Republic of Ireland,England</v>
      </c>
      <c r="G60" t="str">
        <f>IF(ISBLANK('Paste Full'!CI60),"",'Paste Full'!CI60)</f>
        <v/>
      </c>
      <c r="H60" s="21" t="str">
        <f>IF(ISBLANK('Paste Full'!J60),"",'Paste Full'!J60)</f>
        <v>$40,727</v>
      </c>
      <c r="I60" s="21" t="str">
        <f>IF(ISBLANK('Paste Full'!D60),"",'Paste Full'!D60)</f>
        <v>AM C</v>
      </c>
      <c r="J60" s="14">
        <f>AVERAGE(SUMPRODUCT($S60:$BM60,AttWeights!$C$10:$AW$10)/SUM(AttWeights!$C$10:$AW$10),SUMPRODUCT($S60:$BM60,AttWeights!$C$17:$AW$17)/SUM(AttWeights!$C$17:$AW$17))*10</f>
        <v>69.776966050709063</v>
      </c>
      <c r="K60" s="14">
        <f>AVERAGE(SUMPRODUCT($S60:$BM60,AttWeights!$C$7:$AW$7)/SUM(AttWeights!$C$7:$AW$7),SUMPRODUCT($S60:$BM60,AttWeights!$C$15:$AW$15)/SUM(AttWeights!$C$15:$AW$15))*10</f>
        <v>72.485233183461162</v>
      </c>
      <c r="L60" s="14">
        <f>AVERAGE(SUMPRODUCT($S60:$BM60,AttWeights!$C$8:$AW$8)/SUM(AttWeights!$C$8:$AW$8),SUMPRODUCT($S60:$BM60,AttWeights!$C$16:$AW$16)/SUM(AttWeights!$C$16:$AW$16))*10</f>
        <v>73.558971159572351</v>
      </c>
      <c r="M60" s="14">
        <f>AVERAGE(SUMPRODUCT($S60:$BM60,AttWeights!$C$9:$AW$9)/SUM(AttWeights!$C$9:$AW$9),SUMPRODUCT($S60:$BM60,AttWeights!$C$15:$AW$15)/SUM(AttWeights!$C$15:$AW$15))*10</f>
        <v>72.838518949306973</v>
      </c>
      <c r="N60" s="14">
        <f>AVERAGE(SUMPRODUCT($S60:$BM60,AttWeights!$C$6:$AW$6)/SUM(AttWeights!$C$6:$AW$6),SUMPRODUCT($S60:$BM60,AttWeights!$C$14:$AW$14)/SUM(AttWeights!$C$14:$AW$14))*10</f>
        <v>69.821601680310209</v>
      </c>
      <c r="O60" s="14">
        <f>AVERAGE(SUMPRODUCT($S60:$BM60,AttWeights!$C$5:$AW$5)/SUM(AttWeights!$C$5:$AW$5),SUMPRODUCT($S60:$BM60,AttWeights!$C$14:$AW$14)/SUM(AttWeights!$C$14:$AW$14))*10</f>
        <v>67.922269157544022</v>
      </c>
      <c r="P60" s="14">
        <f>AVERAGE(SUMPRODUCT($S60:$BM60,AttWeights!$C$4:$AW$4)/SUM(AttWeights!$C$4:$AW$4),SUMPRODUCT($S60:$BM60,AttWeights!$C$13:$AW$13)/SUM(AttWeights!$C$13:$AW$13))*10</f>
        <v>67.657967032967022</v>
      </c>
      <c r="Q60" s="14">
        <f>AVERAGE(SUMPRODUCT($S60:$BM60,AttWeights!$C$3:$AW$3)/SUM(AttWeights!$C$3:$AW$3),SUMPRODUCT($S60:$BM60,AttWeights!$C$12:$AW$12)/SUM(AttWeights!$C$12:$AW$12))*10</f>
        <v>69.133291614518143</v>
      </c>
      <c r="R60" s="14">
        <f>AVERAGE(SUMPRODUCT($S60:$BM60,AttWeights!$C$2:$AW$2)/SUM(AttWeights!$C$2:$AW$2),SUMPRODUCT($S60:$BM60,AttWeights!$C$11:$AW$11)/SUM(AttWeights!$C$11:$AW$11))*10</f>
        <v>48.219111969111964</v>
      </c>
      <c r="S60" s="3">
        <f>IF(ISBLANK('Paste Full'!AC60),"",'Paste Full'!AC60)</f>
        <v>13</v>
      </c>
      <c r="T60" s="3">
        <f>IF(ISBLANK('Paste Full'!AD60),"",'Paste Full'!AD60)</f>
        <v>8</v>
      </c>
      <c r="U60" s="3" t="str">
        <f>IF(ISBLANK('Paste Full'!AE60),"",'Paste Full'!AE60)</f>
        <v>$5</v>
      </c>
      <c r="V60" s="3">
        <f>IF(ISBLANK('Paste Full'!AF60),"",'Paste Full'!AF60)</f>
        <v>10</v>
      </c>
      <c r="W60" s="3">
        <f>IF(ISBLANK('Paste Full'!AH60),"",'Paste Full'!AH60)</f>
        <v>13</v>
      </c>
      <c r="X60" s="3">
        <f>IF(ISBLANK('Paste Full'!AI60),"",'Paste Full'!AI60)</f>
        <v>9</v>
      </c>
      <c r="Y60" s="3">
        <f>IF(ISBLANK('Paste Full'!AK60),"",'Paste Full'!AK60)</f>
        <v>8</v>
      </c>
      <c r="Z60" s="3">
        <f>IF(ISBLANK('Paste Full'!AL60),"",'Paste Full'!AL60)</f>
        <v>5</v>
      </c>
      <c r="AA60" s="4">
        <f>IF(ISBLANK('Paste Full'!AM60),"",'Paste Full'!AM60)</f>
        <v>1</v>
      </c>
      <c r="AB60" s="4">
        <f>IF(ISBLANK('Paste Full'!AN60),"",'Paste Full'!AN60)</f>
        <v>3</v>
      </c>
      <c r="AC60" s="4">
        <f>IF(ISBLANK('Paste Full'!AO60),"",'Paste Full'!AO60)</f>
        <v>1</v>
      </c>
      <c r="AD60" s="4">
        <f>IF(ISBLANK('Paste Full'!AP60),"",'Paste Full'!AP60)</f>
        <v>2</v>
      </c>
      <c r="AE60" s="4">
        <f>IF(ISBLANK('Paste Full'!AQ60),"",'Paste Full'!AQ60)</f>
        <v>3</v>
      </c>
      <c r="AF60" s="4">
        <f>IF(ISBLANK('Paste Full'!AR60),"",'Paste Full'!AR60)</f>
        <v>3</v>
      </c>
      <c r="AG60" s="4">
        <f>IF(ISBLANK('Paste Full'!AS60),"",'Paste Full'!AS60)</f>
        <v>3</v>
      </c>
      <c r="AH60" s="4">
        <f>IF(ISBLANK('Paste Full'!AV60),"",'Paste Full'!AV60)</f>
        <v>3</v>
      </c>
      <c r="AI60" s="4">
        <f>IF(ISBLANK('Paste Full'!AT60),"",'Paste Full'!AT60)</f>
        <v>3</v>
      </c>
      <c r="AJ60" s="4">
        <f>IF(ISBLANK('Paste Full'!AU60),"",'Paste Full'!AU60)</f>
        <v>2</v>
      </c>
      <c r="AK60" s="4">
        <f>IF(ISBLANK('Paste Full'!AW60),"",'Paste Full'!AW60)</f>
        <v>2</v>
      </c>
      <c r="AL60" s="5">
        <f>IF(ISBLANK('Paste Full'!AX60),"",'Paste Full'!AX60)</f>
        <v>8</v>
      </c>
      <c r="AM60" s="5">
        <f>IF(ISBLANK('Paste Full'!AY60),"",'Paste Full'!AY60)</f>
        <v>7</v>
      </c>
      <c r="AN60" s="5">
        <f>IF(ISBLANK('Paste Full'!AZ60),"",'Paste Full'!AZ60)</f>
        <v>6</v>
      </c>
      <c r="AO60" s="5">
        <f>IF(ISBLANK('Paste Full'!BA60),"",'Paste Full'!BA60)</f>
        <v>8</v>
      </c>
      <c r="AP60" s="5">
        <f>IF(ISBLANK('Paste Full'!BB60),"",'Paste Full'!BB60)</f>
        <v>5</v>
      </c>
      <c r="AQ60" s="5">
        <f>IF(ISBLANK('Paste Full'!BC60),"",'Paste Full'!BC60)</f>
        <v>7</v>
      </c>
      <c r="AR60" s="5">
        <f>IF(ISBLANK('Paste Full'!BD60),"",'Paste Full'!BD60)</f>
        <v>14</v>
      </c>
      <c r="AS60" s="5">
        <f>IF(ISBLANK('Paste Full'!BE60),"",'Paste Full'!BE60)</f>
        <v>10</v>
      </c>
      <c r="AT60" s="5">
        <f>IF(ISBLANK('Paste Full'!BF60),"",'Paste Full'!BF60)</f>
        <v>6</v>
      </c>
      <c r="AU60" s="5">
        <f>IF(ISBLANK('Paste Full'!BG60),"",'Paste Full'!BG60)</f>
        <v>7</v>
      </c>
      <c r="AV60" s="5">
        <f>IF(ISBLANK('Paste Full'!BH60),"",'Paste Full'!BH60)</f>
        <v>6</v>
      </c>
      <c r="AW60" s="5">
        <f>IF(ISBLANK('Paste Full'!BI60),"",'Paste Full'!BI60)</f>
        <v>12</v>
      </c>
      <c r="AX60" s="5">
        <f>IF(ISBLANK('Paste Full'!BJ60),"",'Paste Full'!BJ60)</f>
        <v>13</v>
      </c>
      <c r="AY60" s="5">
        <f>IF(ISBLANK('Paste Full'!BK60),"",'Paste Full'!BK60)</f>
        <v>8</v>
      </c>
      <c r="AZ60" s="6">
        <f>IF(ISBLANK('Paste Full'!BM60),"",'Paste Full'!BM60)</f>
        <v>7</v>
      </c>
      <c r="BA60" s="6">
        <f>IF(ISBLANK('Paste Full'!BN60),"",'Paste Full'!BN60)</f>
        <v>7</v>
      </c>
      <c r="BB60" s="6">
        <f>IF(ISBLANK('Paste Full'!BO60),"",'Paste Full'!BO60)</f>
        <v>5</v>
      </c>
      <c r="BC60" s="6">
        <f>IF(ISBLANK('Paste Full'!BP60),"",'Paste Full'!BP60)</f>
        <v>9</v>
      </c>
      <c r="BD60" s="6">
        <f>IF(ISBLANK('Paste Full'!BR60),"",'Paste Full'!BR60)</f>
        <v>6</v>
      </c>
      <c r="BE60" s="6">
        <f>IF(ISBLANK('Paste Full'!BS60),"",'Paste Full'!BS60)</f>
        <v>8</v>
      </c>
      <c r="BF60" s="6">
        <f>IF(ISBLANK('Paste Full'!BU60),"",'Paste Full'!BU60)</f>
        <v>4</v>
      </c>
      <c r="BG60" s="6">
        <f>IF(ISBLANK('Paste Full'!BV60),"",'Paste Full'!BV60)</f>
        <v>9</v>
      </c>
      <c r="BH60" s="6">
        <f>IF(ISBLANK('Paste Full'!BX60),"",'Paste Full'!BX60)</f>
        <v>4</v>
      </c>
      <c r="BI60" s="6">
        <f>IF(ISBLANK('Paste Full'!BY60),"",'Paste Full'!BY60)</f>
        <v>7</v>
      </c>
      <c r="BJ60" s="13">
        <f>IF(ISBLANK('Paste Full'!BL60),"",'Paste Full'!BL60)</f>
        <v>5</v>
      </c>
      <c r="BK60" s="13">
        <f>IF(ISBLANK('Paste Full'!BQ60),"",'Paste Full'!BQ60)</f>
        <v>5</v>
      </c>
      <c r="BL60" s="13">
        <f>IF(ISBLANK('Paste Full'!BT60),"",'Paste Full'!BT60)</f>
        <v>4</v>
      </c>
      <c r="BM60" s="13">
        <f>IF(ISBLANK('Paste Full'!BW60),"",'Paste Full'!BW60)</f>
        <v>6</v>
      </c>
      <c r="BN60" s="41">
        <f>IF(ISBLANK('Paste Full'!BZ60),"",'Paste Full'!BZ60)</f>
        <v>1</v>
      </c>
      <c r="BO60" s="41">
        <f>IF(ISBLANK('Paste Full'!CA60),"",'Paste Full'!CA60)</f>
        <v>1</v>
      </c>
      <c r="BP60" s="41">
        <f>IF(ISBLANK('Paste Full'!CB60),"",'Paste Full'!CB60)</f>
        <v>1</v>
      </c>
      <c r="BQ60" s="41">
        <f>IF(ISBLANK('Paste Full'!CC60),"",'Paste Full'!CC60)</f>
        <v>1</v>
      </c>
      <c r="BR60" s="41">
        <f>IF(ISBLANK('Paste Full'!CD60),"",'Paste Full'!CD60)</f>
        <v>1</v>
      </c>
      <c r="BS60" s="41">
        <f>IF(ISBLANK('Paste Full'!CE60),"",'Paste Full'!CE60)</f>
        <v>1</v>
      </c>
      <c r="BT60" s="41">
        <f>IF(ISBLANK('Paste Full'!CF60),"",'Paste Full'!CF60)</f>
        <v>20</v>
      </c>
      <c r="BU60" s="41">
        <f>IF(ISBLANK('Paste Full'!CG60),"",'Paste Full'!CG60)</f>
        <v>1</v>
      </c>
      <c r="BV60" s="41">
        <f>IF(ISBLANK('Paste Full'!CH60),"",'Paste Full'!CH60)</f>
        <v>1</v>
      </c>
    </row>
    <row r="61" spans="1:74" x14ac:dyDescent="0.3">
      <c r="A61" t="str">
        <f>IF(ISBLANK('Paste Full'!C61),"",'Paste Full'!C61)</f>
        <v>Paddy Masters</v>
      </c>
      <c r="B61" t="str">
        <f t="shared" si="1"/>
        <v>AM(R)</v>
      </c>
      <c r="C61" s="2">
        <f>IF(ISBLANK('Paste Full'!H61),"",'Paste Full'!H61)</f>
        <v>17</v>
      </c>
      <c r="D61" s="2">
        <f>IF(ISBLANK('Paste Full'!F61),"",'Paste Full'!F61)</f>
        <v>47</v>
      </c>
      <c r="E61" s="2">
        <f>IF(ISBLANK('Paste Full'!G61),"",'Paste Full'!G61)</f>
        <v>87</v>
      </c>
      <c r="F61" s="21" t="str">
        <f>IF(ISBLANK('Paste Full'!E61),"",'Paste Full'!E61)</f>
        <v>England</v>
      </c>
      <c r="G61" t="str">
        <f>IF(ISBLANK('Paste Full'!CI61),"",'Paste Full'!CI61)</f>
        <v/>
      </c>
      <c r="H61" s="21" t="str">
        <f>IF(ISBLANK('Paste Full'!J61),"",'Paste Full'!J61)</f>
        <v>$26,341</v>
      </c>
      <c r="I61" s="21" t="str">
        <f>IF(ISBLANK('Paste Full'!D61),"",'Paste Full'!D61)</f>
        <v>AM/ST R</v>
      </c>
      <c r="J61" s="14">
        <f>AVERAGE(SUMPRODUCT($S61:$BM61,AttWeights!$C$10:$AW$10)/SUM(AttWeights!$C$10:$AW$10),SUMPRODUCT($S61:$BM61,AttWeights!$C$17:$AW$17)/SUM(AttWeights!$C$17:$AW$17))*10</f>
        <v>61.858472998137799</v>
      </c>
      <c r="K61" s="14">
        <f>AVERAGE(SUMPRODUCT($S61:$BM61,AttWeights!$C$7:$AW$7)/SUM(AttWeights!$C$7:$AW$7),SUMPRODUCT($S61:$BM61,AttWeights!$C$15:$AW$15)/SUM(AttWeights!$C$15:$AW$15))*10</f>
        <v>67.705045696317839</v>
      </c>
      <c r="L61" s="14">
        <f>AVERAGE(SUMPRODUCT($S61:$BM61,AttWeights!$C$8:$AW$8)/SUM(AttWeights!$C$8:$AW$8),SUMPRODUCT($S61:$BM61,AttWeights!$C$16:$AW$16)/SUM(AttWeights!$C$16:$AW$16))*10</f>
        <v>67.63037744945126</v>
      </c>
      <c r="M61" s="14">
        <f>AVERAGE(SUMPRODUCT($S61:$BM61,AttWeights!$C$9:$AW$9)/SUM(AttWeights!$C$9:$AW$9),SUMPRODUCT($S61:$BM61,AttWeights!$C$15:$AW$15)/SUM(AttWeights!$C$15:$AW$15))*10</f>
        <v>68.935090950211617</v>
      </c>
      <c r="N61" s="14">
        <f>AVERAGE(SUMPRODUCT($S61:$BM61,AttWeights!$C$6:$AW$6)/SUM(AttWeights!$C$6:$AW$6),SUMPRODUCT($S61:$BM61,AttWeights!$C$14:$AW$14)/SUM(AttWeights!$C$14:$AW$14))*10</f>
        <v>60.200479319258946</v>
      </c>
      <c r="O61" s="14">
        <f>AVERAGE(SUMPRODUCT($S61:$BM61,AttWeights!$C$5:$AW$5)/SUM(AttWeights!$C$5:$AW$5),SUMPRODUCT($S61:$BM61,AttWeights!$C$14:$AW$14)/SUM(AttWeights!$C$14:$AW$14))*10</f>
        <v>57.892223940980486</v>
      </c>
      <c r="P61" s="14">
        <f>AVERAGE(SUMPRODUCT($S61:$BM61,AttWeights!$C$4:$AW$4)/SUM(AttWeights!$C$4:$AW$4),SUMPRODUCT($S61:$BM61,AttWeights!$C$13:$AW$13)/SUM(AttWeights!$C$13:$AW$13))*10</f>
        <v>54.749313186813183</v>
      </c>
      <c r="Q61" s="14">
        <f>AVERAGE(SUMPRODUCT($S61:$BM61,AttWeights!$C$3:$AW$3)/SUM(AttWeights!$C$3:$AW$3),SUMPRODUCT($S61:$BM61,AttWeights!$C$12:$AW$12)/SUM(AttWeights!$C$12:$AW$12))*10</f>
        <v>59.375156445556946</v>
      </c>
      <c r="R61" s="14">
        <f>AVERAGE(SUMPRODUCT($S61:$BM61,AttWeights!$C$2:$AW$2)/SUM(AttWeights!$C$2:$AW$2),SUMPRODUCT($S61:$BM61,AttWeights!$C$11:$AW$11)/SUM(AttWeights!$C$11:$AW$11))*10</f>
        <v>40.331256581256589</v>
      </c>
      <c r="S61" s="3">
        <f>IF(ISBLANK('Paste Full'!AC61),"",'Paste Full'!AC61)</f>
        <v>13</v>
      </c>
      <c r="T61" s="3">
        <f>IF(ISBLANK('Paste Full'!AD61),"",'Paste Full'!AD61)</f>
        <v>10</v>
      </c>
      <c r="U61" s="3" t="str">
        <f>IF(ISBLANK('Paste Full'!AE61),"",'Paste Full'!AE61)</f>
        <v>$14</v>
      </c>
      <c r="V61" s="3">
        <f>IF(ISBLANK('Paste Full'!AF61),"",'Paste Full'!AF61)</f>
        <v>4</v>
      </c>
      <c r="W61" s="3">
        <f>IF(ISBLANK('Paste Full'!AH61),"",'Paste Full'!AH61)</f>
        <v>12</v>
      </c>
      <c r="X61" s="3">
        <f>IF(ISBLANK('Paste Full'!AI61),"",'Paste Full'!AI61)</f>
        <v>12</v>
      </c>
      <c r="Y61" s="3">
        <f>IF(ISBLANK('Paste Full'!AK61),"",'Paste Full'!AK61)</f>
        <v>9</v>
      </c>
      <c r="Z61" s="3">
        <f>IF(ISBLANK('Paste Full'!AL61),"",'Paste Full'!AL61)</f>
        <v>4</v>
      </c>
      <c r="AA61" s="4">
        <f>IF(ISBLANK('Paste Full'!AM61),"",'Paste Full'!AM61)</f>
        <v>2</v>
      </c>
      <c r="AB61" s="4">
        <f>IF(ISBLANK('Paste Full'!AN61),"",'Paste Full'!AN61)</f>
        <v>3</v>
      </c>
      <c r="AC61" s="4">
        <f>IF(ISBLANK('Paste Full'!AO61),"",'Paste Full'!AO61)</f>
        <v>1</v>
      </c>
      <c r="AD61" s="4">
        <f>IF(ISBLANK('Paste Full'!AP61),"",'Paste Full'!AP61)</f>
        <v>2</v>
      </c>
      <c r="AE61" s="4">
        <f>IF(ISBLANK('Paste Full'!AQ61),"",'Paste Full'!AQ61)</f>
        <v>1</v>
      </c>
      <c r="AF61" s="4">
        <f>IF(ISBLANK('Paste Full'!AR61),"",'Paste Full'!AR61)</f>
        <v>3</v>
      </c>
      <c r="AG61" s="4">
        <f>IF(ISBLANK('Paste Full'!AS61),"",'Paste Full'!AS61)</f>
        <v>2</v>
      </c>
      <c r="AH61" s="4">
        <f>IF(ISBLANK('Paste Full'!AV61),"",'Paste Full'!AV61)</f>
        <v>2</v>
      </c>
      <c r="AI61" s="4">
        <f>IF(ISBLANK('Paste Full'!AT61),"",'Paste Full'!AT61)</f>
        <v>3</v>
      </c>
      <c r="AJ61" s="4">
        <f>IF(ISBLANK('Paste Full'!AU61),"",'Paste Full'!AU61)</f>
        <v>1</v>
      </c>
      <c r="AK61" s="4">
        <f>IF(ISBLANK('Paste Full'!AW61),"",'Paste Full'!AW61)</f>
        <v>2</v>
      </c>
      <c r="AL61" s="5">
        <f>IF(ISBLANK('Paste Full'!AX61),"",'Paste Full'!AX61)</f>
        <v>8</v>
      </c>
      <c r="AM61" s="5">
        <f>IF(ISBLANK('Paste Full'!AY61),"",'Paste Full'!AY61)</f>
        <v>6</v>
      </c>
      <c r="AN61" s="5">
        <f>IF(ISBLANK('Paste Full'!AZ61),"",'Paste Full'!AZ61)</f>
        <v>7</v>
      </c>
      <c r="AO61" s="5">
        <f>IF(ISBLANK('Paste Full'!BA61),"",'Paste Full'!BA61)</f>
        <v>6</v>
      </c>
      <c r="AP61" s="5">
        <f>IF(ISBLANK('Paste Full'!BB61),"",'Paste Full'!BB61)</f>
        <v>3</v>
      </c>
      <c r="AQ61" s="5">
        <f>IF(ISBLANK('Paste Full'!BC61),"",'Paste Full'!BC61)</f>
        <v>3</v>
      </c>
      <c r="AR61" s="5">
        <f>IF(ISBLANK('Paste Full'!BD61),"",'Paste Full'!BD61)</f>
        <v>9</v>
      </c>
      <c r="AS61" s="5">
        <f>IF(ISBLANK('Paste Full'!BE61),"",'Paste Full'!BE61)</f>
        <v>13</v>
      </c>
      <c r="AT61" s="5">
        <f>IF(ISBLANK('Paste Full'!BF61),"",'Paste Full'!BF61)</f>
        <v>14</v>
      </c>
      <c r="AU61" s="5">
        <f>IF(ISBLANK('Paste Full'!BG61),"",'Paste Full'!BG61)</f>
        <v>8</v>
      </c>
      <c r="AV61" s="5">
        <f>IF(ISBLANK('Paste Full'!BH61),"",'Paste Full'!BH61)</f>
        <v>1</v>
      </c>
      <c r="AW61" s="5">
        <f>IF(ISBLANK('Paste Full'!BI61),"",'Paste Full'!BI61)</f>
        <v>4</v>
      </c>
      <c r="AX61" s="5">
        <f>IF(ISBLANK('Paste Full'!BJ61),"",'Paste Full'!BJ61)</f>
        <v>4</v>
      </c>
      <c r="AY61" s="5">
        <f>IF(ISBLANK('Paste Full'!BK61),"",'Paste Full'!BK61)</f>
        <v>8</v>
      </c>
      <c r="AZ61" s="6">
        <f>IF(ISBLANK('Paste Full'!BM61),"",'Paste Full'!BM61)</f>
        <v>7</v>
      </c>
      <c r="BA61" s="6">
        <f>IF(ISBLANK('Paste Full'!BN61),"",'Paste Full'!BN61)</f>
        <v>10</v>
      </c>
      <c r="BB61" s="6">
        <f>IF(ISBLANK('Paste Full'!BO61),"",'Paste Full'!BO61)</f>
        <v>5</v>
      </c>
      <c r="BC61" s="6">
        <f>IF(ISBLANK('Paste Full'!BP61),"",'Paste Full'!BP61)</f>
        <v>8</v>
      </c>
      <c r="BD61" s="6">
        <f>IF(ISBLANK('Paste Full'!BR61),"",'Paste Full'!BR61)</f>
        <v>1</v>
      </c>
      <c r="BE61" s="6">
        <f>IF(ISBLANK('Paste Full'!BS61),"",'Paste Full'!BS61)</f>
        <v>3</v>
      </c>
      <c r="BF61" s="6">
        <f>IF(ISBLANK('Paste Full'!BU61),"",'Paste Full'!BU61)</f>
        <v>4</v>
      </c>
      <c r="BG61" s="6">
        <f>IF(ISBLANK('Paste Full'!BV61),"",'Paste Full'!BV61)</f>
        <v>7</v>
      </c>
      <c r="BH61" s="6">
        <f>IF(ISBLANK('Paste Full'!BX61),"",'Paste Full'!BX61)</f>
        <v>2</v>
      </c>
      <c r="BI61" s="6">
        <f>IF(ISBLANK('Paste Full'!BY61),"",'Paste Full'!BY61)</f>
        <v>13</v>
      </c>
      <c r="BJ61" s="13">
        <f>IF(ISBLANK('Paste Full'!BL61),"",'Paste Full'!BL61)</f>
        <v>3</v>
      </c>
      <c r="BK61" s="13">
        <f>IF(ISBLANK('Paste Full'!BQ61),"",'Paste Full'!BQ61)</f>
        <v>4</v>
      </c>
      <c r="BL61" s="13">
        <f>IF(ISBLANK('Paste Full'!BT61),"",'Paste Full'!BT61)</f>
        <v>2</v>
      </c>
      <c r="BM61" s="13">
        <f>IF(ISBLANK('Paste Full'!BW61),"",'Paste Full'!BW61)</f>
        <v>2</v>
      </c>
      <c r="BN61" s="41">
        <f>IF(ISBLANK('Paste Full'!BZ61),"",'Paste Full'!BZ61)</f>
        <v>1</v>
      </c>
      <c r="BO61" s="41">
        <f>IF(ISBLANK('Paste Full'!CA61),"",'Paste Full'!CA61)</f>
        <v>1</v>
      </c>
      <c r="BP61" s="41">
        <f>IF(ISBLANK('Paste Full'!CB61),"",'Paste Full'!CB61)</f>
        <v>1</v>
      </c>
      <c r="BQ61" s="41">
        <f>IF(ISBLANK('Paste Full'!CC61),"",'Paste Full'!CC61)</f>
        <v>1</v>
      </c>
      <c r="BR61" s="41">
        <f>IF(ISBLANK('Paste Full'!CD61),"",'Paste Full'!CD61)</f>
        <v>1</v>
      </c>
      <c r="BS61" s="41">
        <f>IF(ISBLANK('Paste Full'!CE61),"",'Paste Full'!CE61)</f>
        <v>20</v>
      </c>
      <c r="BT61" s="41">
        <f>IF(ISBLANK('Paste Full'!CF61),"",'Paste Full'!CF61)</f>
        <v>10</v>
      </c>
      <c r="BU61" s="41">
        <f>IF(ISBLANK('Paste Full'!CG61),"",'Paste Full'!CG61)</f>
        <v>2</v>
      </c>
      <c r="BV61" s="41">
        <f>IF(ISBLANK('Paste Full'!CH61),"",'Paste Full'!CH61)</f>
        <v>16</v>
      </c>
    </row>
    <row r="62" spans="1:74" x14ac:dyDescent="0.3">
      <c r="A62" t="str">
        <f>IF(ISBLANK('Paste Full'!C62),"",'Paste Full'!C62)</f>
        <v>Roy Lawal</v>
      </c>
      <c r="B62" t="str">
        <f t="shared" si="1"/>
        <v>AM(R)</v>
      </c>
      <c r="C62" s="2">
        <f>IF(ISBLANK('Paste Full'!H62),"",'Paste Full'!H62)</f>
        <v>16</v>
      </c>
      <c r="D62" s="2">
        <f>IF(ISBLANK('Paste Full'!F62),"",'Paste Full'!F62)</f>
        <v>58</v>
      </c>
      <c r="E62" s="2">
        <f>IF(ISBLANK('Paste Full'!G62),"",'Paste Full'!G62)</f>
        <v>66</v>
      </c>
      <c r="F62" s="21" t="str">
        <f>IF(ISBLANK('Paste Full'!E62),"",'Paste Full'!E62)</f>
        <v>England</v>
      </c>
      <c r="G62" t="str">
        <f>IF(ISBLANK('Paste Full'!CI62),"",'Paste Full'!CI62)</f>
        <v/>
      </c>
      <c r="H62" s="21" t="str">
        <f>IF(ISBLANK('Paste Full'!J62),"",'Paste Full'!J62)</f>
        <v>$43,753</v>
      </c>
      <c r="I62" s="21" t="str">
        <f>IF(ISBLANK('Paste Full'!D62),"",'Paste Full'!D62)</f>
        <v>WB/AM L</v>
      </c>
      <c r="J62" s="14">
        <f>AVERAGE(SUMPRODUCT($S62:$BM62,AttWeights!$C$10:$AW$10)/SUM(AttWeights!$C$10:$AW$10),SUMPRODUCT($S62:$BM62,AttWeights!$C$17:$AW$17)/SUM(AttWeights!$C$17:$AW$17))*10</f>
        <v>70.363128491620103</v>
      </c>
      <c r="K62" s="14">
        <f>AVERAGE(SUMPRODUCT($S62:$BM62,AttWeights!$C$7:$AW$7)/SUM(AttWeights!$C$7:$AW$7),SUMPRODUCT($S62:$BM62,AttWeights!$C$15:$AW$15)/SUM(AttWeights!$C$15:$AW$15))*10</f>
        <v>75.989009374357167</v>
      </c>
      <c r="L62" s="14">
        <f>AVERAGE(SUMPRODUCT($S62:$BM62,AttWeights!$C$8:$AW$8)/SUM(AttWeights!$C$8:$AW$8),SUMPRODUCT($S62:$BM62,AttWeights!$C$16:$AW$16)/SUM(AttWeights!$C$16:$AW$16))*10</f>
        <v>77.195076992882065</v>
      </c>
      <c r="M62" s="14">
        <f>AVERAGE(SUMPRODUCT($S62:$BM62,AttWeights!$C$9:$AW$9)/SUM(AttWeights!$C$9:$AW$9),SUMPRODUCT($S62:$BM62,AttWeights!$C$15:$AW$15)/SUM(AttWeights!$C$15:$AW$15))*10</f>
        <v>77.525281897192343</v>
      </c>
      <c r="N62" s="14">
        <f>AVERAGE(SUMPRODUCT($S62:$BM62,AttWeights!$C$6:$AW$6)/SUM(AttWeights!$C$6:$AW$6),SUMPRODUCT($S62:$BM62,AttWeights!$C$14:$AW$14)/SUM(AttWeights!$C$14:$AW$14))*10</f>
        <v>74.878958423093493</v>
      </c>
      <c r="O62" s="14">
        <f>AVERAGE(SUMPRODUCT($S62:$BM62,AttWeights!$C$5:$AW$5)/SUM(AttWeights!$C$5:$AW$5),SUMPRODUCT($S62:$BM62,AttWeights!$C$14:$AW$14)/SUM(AttWeights!$C$14:$AW$14))*10</f>
        <v>75.421376725368873</v>
      </c>
      <c r="P62" s="14">
        <f>AVERAGE(SUMPRODUCT($S62:$BM62,AttWeights!$C$4:$AW$4)/SUM(AttWeights!$C$4:$AW$4),SUMPRODUCT($S62:$BM62,AttWeights!$C$13:$AW$13)/SUM(AttWeights!$C$13:$AW$13))*10</f>
        <v>74.426510989010978</v>
      </c>
      <c r="Q62" s="14">
        <f>AVERAGE(SUMPRODUCT($S62:$BM62,AttWeights!$C$3:$AW$3)/SUM(AttWeights!$C$3:$AW$3),SUMPRODUCT($S62:$BM62,AttWeights!$C$12:$AW$12)/SUM(AttWeights!$C$12:$AW$12))*10</f>
        <v>77.124217772215275</v>
      </c>
      <c r="R62" s="14">
        <f>AVERAGE(SUMPRODUCT($S62:$BM62,AttWeights!$C$2:$AW$2)/SUM(AttWeights!$C$2:$AW$2),SUMPRODUCT($S62:$BM62,AttWeights!$C$11:$AW$11)/SUM(AttWeights!$C$11:$AW$11))*10</f>
        <v>52.198139698139698</v>
      </c>
      <c r="S62" s="3">
        <f>IF(ISBLANK('Paste Full'!AC62),"",'Paste Full'!AC62)</f>
        <v>12</v>
      </c>
      <c r="T62" s="3">
        <f>IF(ISBLANK('Paste Full'!AD62),"",'Paste Full'!AD62)</f>
        <v>10</v>
      </c>
      <c r="U62" s="3" t="str">
        <f>IF(ISBLANK('Paste Full'!AE62),"",'Paste Full'!AE62)</f>
        <v>$7</v>
      </c>
      <c r="V62" s="3">
        <f>IF(ISBLANK('Paste Full'!AF62),"",'Paste Full'!AF62)</f>
        <v>11</v>
      </c>
      <c r="W62" s="3">
        <f>IF(ISBLANK('Paste Full'!AH62),"",'Paste Full'!AH62)</f>
        <v>13</v>
      </c>
      <c r="X62" s="3">
        <f>IF(ISBLANK('Paste Full'!AI62),"",'Paste Full'!AI62)</f>
        <v>11</v>
      </c>
      <c r="Y62" s="3">
        <f>IF(ISBLANK('Paste Full'!AK62),"",'Paste Full'!AK62)</f>
        <v>10</v>
      </c>
      <c r="Z62" s="3">
        <f>IF(ISBLANK('Paste Full'!AL62),"",'Paste Full'!AL62)</f>
        <v>7</v>
      </c>
      <c r="AA62" s="4">
        <f>IF(ISBLANK('Paste Full'!AM62),"",'Paste Full'!AM62)</f>
        <v>1</v>
      </c>
      <c r="AB62" s="4">
        <f>IF(ISBLANK('Paste Full'!AN62),"",'Paste Full'!AN62)</f>
        <v>2</v>
      </c>
      <c r="AC62" s="4">
        <f>IF(ISBLANK('Paste Full'!AO62),"",'Paste Full'!AO62)</f>
        <v>2</v>
      </c>
      <c r="AD62" s="4">
        <f>IF(ISBLANK('Paste Full'!AP62),"",'Paste Full'!AP62)</f>
        <v>2</v>
      </c>
      <c r="AE62" s="4">
        <f>IF(ISBLANK('Paste Full'!AQ62),"",'Paste Full'!AQ62)</f>
        <v>2</v>
      </c>
      <c r="AF62" s="4">
        <f>IF(ISBLANK('Paste Full'!AR62),"",'Paste Full'!AR62)</f>
        <v>2</v>
      </c>
      <c r="AG62" s="4">
        <f>IF(ISBLANK('Paste Full'!AS62),"",'Paste Full'!AS62)</f>
        <v>3</v>
      </c>
      <c r="AH62" s="4">
        <f>IF(ISBLANK('Paste Full'!AV62),"",'Paste Full'!AV62)</f>
        <v>3</v>
      </c>
      <c r="AI62" s="4">
        <f>IF(ISBLANK('Paste Full'!AT62),"",'Paste Full'!AT62)</f>
        <v>3</v>
      </c>
      <c r="AJ62" s="4">
        <f>IF(ISBLANK('Paste Full'!AU62),"",'Paste Full'!AU62)</f>
        <v>2</v>
      </c>
      <c r="AK62" s="4">
        <f>IF(ISBLANK('Paste Full'!AW62),"",'Paste Full'!AW62)</f>
        <v>2</v>
      </c>
      <c r="AL62" s="5">
        <f>IF(ISBLANK('Paste Full'!AX62),"",'Paste Full'!AX62)</f>
        <v>10</v>
      </c>
      <c r="AM62" s="5">
        <f>IF(ISBLANK('Paste Full'!AY62),"",'Paste Full'!AY62)</f>
        <v>7</v>
      </c>
      <c r="AN62" s="5">
        <f>IF(ISBLANK('Paste Full'!AZ62),"",'Paste Full'!AZ62)</f>
        <v>10</v>
      </c>
      <c r="AO62" s="5">
        <f>IF(ISBLANK('Paste Full'!BA62),"",'Paste Full'!BA62)</f>
        <v>6</v>
      </c>
      <c r="AP62" s="5">
        <f>IF(ISBLANK('Paste Full'!BB62),"",'Paste Full'!BB62)</f>
        <v>6</v>
      </c>
      <c r="AQ62" s="5">
        <f>IF(ISBLANK('Paste Full'!BC62),"",'Paste Full'!BC62)</f>
        <v>11</v>
      </c>
      <c r="AR62" s="5">
        <f>IF(ISBLANK('Paste Full'!BD62),"",'Paste Full'!BD62)</f>
        <v>5</v>
      </c>
      <c r="AS62" s="5">
        <f>IF(ISBLANK('Paste Full'!BE62),"",'Paste Full'!BE62)</f>
        <v>6</v>
      </c>
      <c r="AT62" s="5">
        <f>IF(ISBLANK('Paste Full'!BF62),"",'Paste Full'!BF62)</f>
        <v>12</v>
      </c>
      <c r="AU62" s="5">
        <f>IF(ISBLANK('Paste Full'!BG62),"",'Paste Full'!BG62)</f>
        <v>8</v>
      </c>
      <c r="AV62" s="5">
        <f>IF(ISBLANK('Paste Full'!BH62),"",'Paste Full'!BH62)</f>
        <v>8</v>
      </c>
      <c r="AW62" s="5">
        <f>IF(ISBLANK('Paste Full'!BI62),"",'Paste Full'!BI62)</f>
        <v>9</v>
      </c>
      <c r="AX62" s="5">
        <f>IF(ISBLANK('Paste Full'!BJ62),"",'Paste Full'!BJ62)</f>
        <v>8</v>
      </c>
      <c r="AY62" s="5">
        <f>IF(ISBLANK('Paste Full'!BK62),"",'Paste Full'!BK62)</f>
        <v>12</v>
      </c>
      <c r="AZ62" s="6">
        <f>IF(ISBLANK('Paste Full'!BM62),"",'Paste Full'!BM62)</f>
        <v>9</v>
      </c>
      <c r="BA62" s="6">
        <f>IF(ISBLANK('Paste Full'!BN62),"",'Paste Full'!BN62)</f>
        <v>8</v>
      </c>
      <c r="BB62" s="6">
        <f>IF(ISBLANK('Paste Full'!BO62),"",'Paste Full'!BO62)</f>
        <v>3</v>
      </c>
      <c r="BC62" s="6">
        <f>IF(ISBLANK('Paste Full'!BP62),"",'Paste Full'!BP62)</f>
        <v>8</v>
      </c>
      <c r="BD62" s="6">
        <f>IF(ISBLANK('Paste Full'!BR62),"",'Paste Full'!BR62)</f>
        <v>5</v>
      </c>
      <c r="BE62" s="6">
        <f>IF(ISBLANK('Paste Full'!BS62),"",'Paste Full'!BS62)</f>
        <v>7</v>
      </c>
      <c r="BF62" s="6">
        <f>IF(ISBLANK('Paste Full'!BU62),"",'Paste Full'!BU62)</f>
        <v>5</v>
      </c>
      <c r="BG62" s="6">
        <f>IF(ISBLANK('Paste Full'!BV62),"",'Paste Full'!BV62)</f>
        <v>7</v>
      </c>
      <c r="BH62" s="6">
        <f>IF(ISBLANK('Paste Full'!BX62),"",'Paste Full'!BX62)</f>
        <v>8</v>
      </c>
      <c r="BI62" s="6">
        <f>IF(ISBLANK('Paste Full'!BY62),"",'Paste Full'!BY62)</f>
        <v>6</v>
      </c>
      <c r="BJ62" s="13">
        <f>IF(ISBLANK('Paste Full'!BL62),"",'Paste Full'!BL62)</f>
        <v>4</v>
      </c>
      <c r="BK62" s="13">
        <f>IF(ISBLANK('Paste Full'!BQ62),"",'Paste Full'!BQ62)</f>
        <v>5</v>
      </c>
      <c r="BL62" s="13">
        <f>IF(ISBLANK('Paste Full'!BT62),"",'Paste Full'!BT62)</f>
        <v>4</v>
      </c>
      <c r="BM62" s="13">
        <f>IF(ISBLANK('Paste Full'!BW62),"",'Paste Full'!BW62)</f>
        <v>5</v>
      </c>
      <c r="BN62" s="41">
        <f>IF(ISBLANK('Paste Full'!BZ62),"",'Paste Full'!BZ62)</f>
        <v>1</v>
      </c>
      <c r="BO62" s="41">
        <f>IF(ISBLANK('Paste Full'!CA62),"",'Paste Full'!CA62)</f>
        <v>1</v>
      </c>
      <c r="BP62" s="41">
        <f>IF(ISBLANK('Paste Full'!CB62),"",'Paste Full'!CB62)</f>
        <v>1</v>
      </c>
      <c r="BQ62" s="41">
        <f>IF(ISBLANK('Paste Full'!CC62),"",'Paste Full'!CC62)</f>
        <v>15</v>
      </c>
      <c r="BR62" s="41">
        <f>IF(ISBLANK('Paste Full'!CD62),"",'Paste Full'!CD62)</f>
        <v>1</v>
      </c>
      <c r="BS62" s="41">
        <f>IF(ISBLANK('Paste Full'!CE62),"",'Paste Full'!CE62)</f>
        <v>1</v>
      </c>
      <c r="BT62" s="41">
        <f>IF(ISBLANK('Paste Full'!CF62),"",'Paste Full'!CF62)</f>
        <v>1</v>
      </c>
      <c r="BU62" s="41">
        <f>IF(ISBLANK('Paste Full'!CG62),"",'Paste Full'!CG62)</f>
        <v>16</v>
      </c>
      <c r="BV62" s="41">
        <f>IF(ISBLANK('Paste Full'!CH62),"",'Paste Full'!CH62)</f>
        <v>1</v>
      </c>
    </row>
    <row r="63" spans="1:74" x14ac:dyDescent="0.3">
      <c r="A63" t="str">
        <f>IF(ISBLANK('Paste Full'!C63),"",'Paste Full'!C63)</f>
        <v>Scott Sykes</v>
      </c>
      <c r="B63" t="str">
        <f t="shared" si="1"/>
        <v>AM(R)</v>
      </c>
      <c r="C63" s="2">
        <f>IF(ISBLANK('Paste Full'!H63),"",'Paste Full'!H63)</f>
        <v>16</v>
      </c>
      <c r="D63" s="2">
        <f>IF(ISBLANK('Paste Full'!F63),"",'Paste Full'!F63)</f>
        <v>53</v>
      </c>
      <c r="E63" s="2">
        <f>IF(ISBLANK('Paste Full'!G63),"",'Paste Full'!G63)</f>
        <v>124</v>
      </c>
      <c r="F63" s="21" t="str">
        <f>IF(ISBLANK('Paste Full'!E63),"",'Paste Full'!E63)</f>
        <v>England</v>
      </c>
      <c r="G63" t="str">
        <f>IF(ISBLANK('Paste Full'!CI63),"",'Paste Full'!CI63)</f>
        <v/>
      </c>
      <c r="H63" s="21" t="str">
        <f>IF(ISBLANK('Paste Full'!J63),"",'Paste Full'!J63)</f>
        <v>$217,550</v>
      </c>
      <c r="I63" s="21" t="str">
        <f>IF(ISBLANK('Paste Full'!D63),"",'Paste Full'!D63)</f>
        <v>D L</v>
      </c>
      <c r="J63" s="14">
        <f>AVERAGE(SUMPRODUCT($S63:$BM63,AttWeights!$C$10:$AW$10)/SUM(AttWeights!$C$10:$AW$10),SUMPRODUCT($S63:$BM63,AttWeights!$C$17:$AW$17)/SUM(AttWeights!$C$17:$AW$17))*10</f>
        <v>68.53158573270305</v>
      </c>
      <c r="K63" s="14">
        <f>AVERAGE(SUMPRODUCT($S63:$BM63,AttWeights!$C$7:$AW$7)/SUM(AttWeights!$C$7:$AW$7),SUMPRODUCT($S63:$BM63,AttWeights!$C$15:$AW$15)/SUM(AttWeights!$C$15:$AW$15))*10</f>
        <v>75.505157365776242</v>
      </c>
      <c r="L63" s="14">
        <f>AVERAGE(SUMPRODUCT($S63:$BM63,AttWeights!$C$8:$AW$8)/SUM(AttWeights!$C$8:$AW$8),SUMPRODUCT($S63:$BM63,AttWeights!$C$16:$AW$16)/SUM(AttWeights!$C$16:$AW$16))*10</f>
        <v>74.933074327198483</v>
      </c>
      <c r="M63" s="14">
        <f>AVERAGE(SUMPRODUCT($S63:$BM63,AttWeights!$C$9:$AW$9)/SUM(AttWeights!$C$9:$AW$9),SUMPRODUCT($S63:$BM63,AttWeights!$C$15:$AW$15)/SUM(AttWeights!$C$15:$AW$15))*10</f>
        <v>79.582727537074732</v>
      </c>
      <c r="N63" s="14">
        <f>AVERAGE(SUMPRODUCT($S63:$BM63,AttWeights!$C$6:$AW$6)/SUM(AttWeights!$C$6:$AW$6),SUMPRODUCT($S63:$BM63,AttWeights!$C$14:$AW$14)/SUM(AttWeights!$C$14:$AW$14))*10</f>
        <v>71.273965962947003</v>
      </c>
      <c r="O63" s="14">
        <f>AVERAGE(SUMPRODUCT($S63:$BM63,AttWeights!$C$5:$AW$5)/SUM(AttWeights!$C$5:$AW$5),SUMPRODUCT($S63:$BM63,AttWeights!$C$14:$AW$14)/SUM(AttWeights!$C$14:$AW$14))*10</f>
        <v>72.850725844835793</v>
      </c>
      <c r="P63" s="14">
        <f>AVERAGE(SUMPRODUCT($S63:$BM63,AttWeights!$C$4:$AW$4)/SUM(AttWeights!$C$4:$AW$4),SUMPRODUCT($S63:$BM63,AttWeights!$C$13:$AW$13)/SUM(AttWeights!$C$13:$AW$13))*10</f>
        <v>67.249313186813183</v>
      </c>
      <c r="Q63" s="14">
        <f>AVERAGE(SUMPRODUCT($S63:$BM63,AttWeights!$C$3:$AW$3)/SUM(AttWeights!$C$3:$AW$3),SUMPRODUCT($S63:$BM63,AttWeights!$C$12:$AW$12)/SUM(AttWeights!$C$12:$AW$12))*10</f>
        <v>77.282227784730907</v>
      </c>
      <c r="R63" s="14">
        <f>AVERAGE(SUMPRODUCT($S63:$BM63,AttWeights!$C$2:$AW$2)/SUM(AttWeights!$C$2:$AW$2),SUMPRODUCT($S63:$BM63,AttWeights!$C$11:$AW$11)/SUM(AttWeights!$C$11:$AW$11))*10</f>
        <v>52.4008424008424</v>
      </c>
      <c r="S63" s="3">
        <f>IF(ISBLANK('Paste Full'!AC63),"",'Paste Full'!AC63)</f>
        <v>15</v>
      </c>
      <c r="T63" s="3">
        <f>IF(ISBLANK('Paste Full'!AD63),"",'Paste Full'!AD63)</f>
        <v>11</v>
      </c>
      <c r="U63" s="3" t="str">
        <f>IF(ISBLANK('Paste Full'!AE63),"",'Paste Full'!AE63)</f>
        <v>$14</v>
      </c>
      <c r="V63" s="3">
        <f>IF(ISBLANK('Paste Full'!AF63),"",'Paste Full'!AF63)</f>
        <v>8</v>
      </c>
      <c r="W63" s="3">
        <f>IF(ISBLANK('Paste Full'!AH63),"",'Paste Full'!AH63)</f>
        <v>10</v>
      </c>
      <c r="X63" s="3">
        <f>IF(ISBLANK('Paste Full'!AI63),"",'Paste Full'!AI63)</f>
        <v>12</v>
      </c>
      <c r="Y63" s="3">
        <f>IF(ISBLANK('Paste Full'!AK63),"",'Paste Full'!AK63)</f>
        <v>12</v>
      </c>
      <c r="Z63" s="3">
        <f>IF(ISBLANK('Paste Full'!AL63),"",'Paste Full'!AL63)</f>
        <v>2</v>
      </c>
      <c r="AA63" s="4">
        <f>IF(ISBLANK('Paste Full'!AM63),"",'Paste Full'!AM63)</f>
        <v>3</v>
      </c>
      <c r="AB63" s="4">
        <f>IF(ISBLANK('Paste Full'!AN63),"",'Paste Full'!AN63)</f>
        <v>3</v>
      </c>
      <c r="AC63" s="4">
        <f>IF(ISBLANK('Paste Full'!AO63),"",'Paste Full'!AO63)</f>
        <v>1</v>
      </c>
      <c r="AD63" s="4">
        <f>IF(ISBLANK('Paste Full'!AP63),"",'Paste Full'!AP63)</f>
        <v>3</v>
      </c>
      <c r="AE63" s="4">
        <f>IF(ISBLANK('Paste Full'!AQ63),"",'Paste Full'!AQ63)</f>
        <v>4</v>
      </c>
      <c r="AF63" s="4">
        <f>IF(ISBLANK('Paste Full'!AR63),"",'Paste Full'!AR63)</f>
        <v>3</v>
      </c>
      <c r="AG63" s="4">
        <f>IF(ISBLANK('Paste Full'!AS63),"",'Paste Full'!AS63)</f>
        <v>2</v>
      </c>
      <c r="AH63" s="4">
        <f>IF(ISBLANK('Paste Full'!AV63),"",'Paste Full'!AV63)</f>
        <v>2</v>
      </c>
      <c r="AI63" s="4">
        <f>IF(ISBLANK('Paste Full'!AT63),"",'Paste Full'!AT63)</f>
        <v>4</v>
      </c>
      <c r="AJ63" s="4">
        <f>IF(ISBLANK('Paste Full'!AU63),"",'Paste Full'!AU63)</f>
        <v>3</v>
      </c>
      <c r="AK63" s="4">
        <f>IF(ISBLANK('Paste Full'!AW63),"",'Paste Full'!AW63)</f>
        <v>1</v>
      </c>
      <c r="AL63" s="5">
        <f>IF(ISBLANK('Paste Full'!AX63),"",'Paste Full'!AX63)</f>
        <v>9</v>
      </c>
      <c r="AM63" s="5">
        <f>IF(ISBLANK('Paste Full'!AY63),"",'Paste Full'!AY63)</f>
        <v>7</v>
      </c>
      <c r="AN63" s="5">
        <f>IF(ISBLANK('Paste Full'!AZ63),"",'Paste Full'!AZ63)</f>
        <v>15</v>
      </c>
      <c r="AO63" s="5">
        <f>IF(ISBLANK('Paste Full'!BA63),"",'Paste Full'!BA63)</f>
        <v>6</v>
      </c>
      <c r="AP63" s="5">
        <f>IF(ISBLANK('Paste Full'!BB63),"",'Paste Full'!BB63)</f>
        <v>5</v>
      </c>
      <c r="AQ63" s="5">
        <f>IF(ISBLANK('Paste Full'!BC63),"",'Paste Full'!BC63)</f>
        <v>7</v>
      </c>
      <c r="AR63" s="5">
        <f>IF(ISBLANK('Paste Full'!BD63),"",'Paste Full'!BD63)</f>
        <v>8</v>
      </c>
      <c r="AS63" s="5">
        <f>IF(ISBLANK('Paste Full'!BE63),"",'Paste Full'!BE63)</f>
        <v>9</v>
      </c>
      <c r="AT63" s="5">
        <f>IF(ISBLANK('Paste Full'!BF63),"",'Paste Full'!BF63)</f>
        <v>6</v>
      </c>
      <c r="AU63" s="5">
        <f>IF(ISBLANK('Paste Full'!BG63),"",'Paste Full'!BG63)</f>
        <v>6</v>
      </c>
      <c r="AV63" s="5">
        <f>IF(ISBLANK('Paste Full'!BH63),"",'Paste Full'!BH63)</f>
        <v>7</v>
      </c>
      <c r="AW63" s="5">
        <f>IF(ISBLANK('Paste Full'!BI63),"",'Paste Full'!BI63)</f>
        <v>13</v>
      </c>
      <c r="AX63" s="5">
        <f>IF(ISBLANK('Paste Full'!BJ63),"",'Paste Full'!BJ63)</f>
        <v>2</v>
      </c>
      <c r="AY63" s="5">
        <f>IF(ISBLANK('Paste Full'!BK63),"",'Paste Full'!BK63)</f>
        <v>8</v>
      </c>
      <c r="AZ63" s="6">
        <f>IF(ISBLANK('Paste Full'!BM63),"",'Paste Full'!BM63)</f>
        <v>10</v>
      </c>
      <c r="BA63" s="6">
        <f>IF(ISBLANK('Paste Full'!BN63),"",'Paste Full'!BN63)</f>
        <v>14</v>
      </c>
      <c r="BB63" s="6">
        <f>IF(ISBLANK('Paste Full'!BO63),"",'Paste Full'!BO63)</f>
        <v>4</v>
      </c>
      <c r="BC63" s="6">
        <f>IF(ISBLANK('Paste Full'!BP63),"",'Paste Full'!BP63)</f>
        <v>9</v>
      </c>
      <c r="BD63" s="6">
        <f>IF(ISBLANK('Paste Full'!BR63),"",'Paste Full'!BR63)</f>
        <v>1</v>
      </c>
      <c r="BE63" s="6">
        <f>IF(ISBLANK('Paste Full'!BS63),"",'Paste Full'!BS63)</f>
        <v>2</v>
      </c>
      <c r="BF63" s="6">
        <f>IF(ISBLANK('Paste Full'!BU63),"",'Paste Full'!BU63)</f>
        <v>4</v>
      </c>
      <c r="BG63" s="6">
        <f>IF(ISBLANK('Paste Full'!BV63),"",'Paste Full'!BV63)</f>
        <v>7</v>
      </c>
      <c r="BH63" s="6">
        <f>IF(ISBLANK('Paste Full'!BX63),"",'Paste Full'!BX63)</f>
        <v>7</v>
      </c>
      <c r="BI63" s="6">
        <f>IF(ISBLANK('Paste Full'!BY63),"",'Paste Full'!BY63)</f>
        <v>4</v>
      </c>
      <c r="BJ63" s="13">
        <f>IF(ISBLANK('Paste Full'!BL63),"",'Paste Full'!BL63)</f>
        <v>5</v>
      </c>
      <c r="BK63" s="13">
        <f>IF(ISBLANK('Paste Full'!BQ63),"",'Paste Full'!BQ63)</f>
        <v>1</v>
      </c>
      <c r="BL63" s="13">
        <f>IF(ISBLANK('Paste Full'!BT63),"",'Paste Full'!BT63)</f>
        <v>3</v>
      </c>
      <c r="BM63" s="13">
        <f>IF(ISBLANK('Paste Full'!BW63),"",'Paste Full'!BW63)</f>
        <v>5</v>
      </c>
      <c r="BN63" s="41">
        <f>IF(ISBLANK('Paste Full'!BZ63),"",'Paste Full'!BZ63)</f>
        <v>1</v>
      </c>
      <c r="BO63" s="41">
        <f>IF(ISBLANK('Paste Full'!CA63),"",'Paste Full'!CA63)</f>
        <v>10</v>
      </c>
      <c r="BP63" s="41">
        <f>IF(ISBLANK('Paste Full'!CB63),"",'Paste Full'!CB63)</f>
        <v>1</v>
      </c>
      <c r="BQ63" s="41">
        <f>IF(ISBLANK('Paste Full'!CC63),"",'Paste Full'!CC63)</f>
        <v>20</v>
      </c>
      <c r="BR63" s="41">
        <f>IF(ISBLANK('Paste Full'!CD63),"",'Paste Full'!CD63)</f>
        <v>1</v>
      </c>
      <c r="BS63" s="41">
        <f>IF(ISBLANK('Paste Full'!CE63),"",'Paste Full'!CE63)</f>
        <v>1</v>
      </c>
      <c r="BT63" s="41">
        <f>IF(ISBLANK('Paste Full'!CF63),"",'Paste Full'!CF63)</f>
        <v>1</v>
      </c>
      <c r="BU63" s="41">
        <f>IF(ISBLANK('Paste Full'!CG63),"",'Paste Full'!CG63)</f>
        <v>2</v>
      </c>
      <c r="BV63" s="41">
        <f>IF(ISBLANK('Paste Full'!CH63),"",'Paste Full'!CH63)</f>
        <v>1</v>
      </c>
    </row>
    <row r="64" spans="1:74" x14ac:dyDescent="0.3">
      <c r="A64" t="str">
        <f>IF(ISBLANK('Paste Full'!C64),"",'Paste Full'!C64)</f>
        <v>Tony Clarke</v>
      </c>
      <c r="B64" t="str">
        <f t="shared" si="1"/>
        <v>AM(C)</v>
      </c>
      <c r="C64" s="2">
        <f>IF(ISBLANK('Paste Full'!H64),"",'Paste Full'!H64)</f>
        <v>16</v>
      </c>
      <c r="D64" s="2">
        <f>IF(ISBLANK('Paste Full'!F64),"",'Paste Full'!F64)</f>
        <v>65</v>
      </c>
      <c r="E64" s="2">
        <f>IF(ISBLANK('Paste Full'!G64),"",'Paste Full'!G64)</f>
        <v>129</v>
      </c>
      <c r="F64" s="21" t="str">
        <f>IF(ISBLANK('Paste Full'!E64),"",'Paste Full'!E64)</f>
        <v>England</v>
      </c>
      <c r="G64" t="str">
        <f>IF(ISBLANK('Paste Full'!CI64),"",'Paste Full'!CI64)</f>
        <v/>
      </c>
      <c r="H64" s="21" t="str">
        <f>IF(ISBLANK('Paste Full'!J64),"",'Paste Full'!J64)</f>
        <v>$345,811</v>
      </c>
      <c r="I64" s="21" t="str">
        <f>IF(ISBLANK('Paste Full'!D64),"",'Paste Full'!D64)</f>
        <v>DM/M/AM C</v>
      </c>
      <c r="J64" s="14">
        <f>AVERAGE(SUMPRODUCT($S64:$BM64,AttWeights!$C$10:$AW$10)/SUM(AttWeights!$C$10:$AW$10),SUMPRODUCT($S64:$BM64,AttWeights!$C$17:$AW$17)/SUM(AttWeights!$C$17:$AW$17))*10</f>
        <v>79.426299957026202</v>
      </c>
      <c r="K64" s="14">
        <f>AVERAGE(SUMPRODUCT($S64:$BM64,AttWeights!$C$7:$AW$7)/SUM(AttWeights!$C$7:$AW$7),SUMPRODUCT($S64:$BM64,AttWeights!$C$15:$AW$15)/SUM(AttWeights!$C$15:$AW$15))*10</f>
        <v>85.248317611449067</v>
      </c>
      <c r="L64" s="14">
        <f>AVERAGE(SUMPRODUCT($S64:$BM64,AttWeights!$C$8:$AW$8)/SUM(AttWeights!$C$8:$AW$8),SUMPRODUCT($S64:$BM64,AttWeights!$C$16:$AW$16)/SUM(AttWeights!$C$16:$AW$16))*10</f>
        <v>87.438107931826579</v>
      </c>
      <c r="M64" s="14">
        <f>AVERAGE(SUMPRODUCT($S64:$BM64,AttWeights!$C$9:$AW$9)/SUM(AttWeights!$C$9:$AW$9),SUMPRODUCT($S64:$BM64,AttWeights!$C$15:$AW$15)/SUM(AttWeights!$C$15:$AW$15))*10</f>
        <v>84.466091564085161</v>
      </c>
      <c r="N64" s="14">
        <f>AVERAGE(SUMPRODUCT($S64:$BM64,AttWeights!$C$6:$AW$6)/SUM(AttWeights!$C$6:$AW$6),SUMPRODUCT($S64:$BM64,AttWeights!$C$14:$AW$14)/SUM(AttWeights!$C$14:$AW$14))*10</f>
        <v>85.903974579922462</v>
      </c>
      <c r="O64" s="14">
        <f>AVERAGE(SUMPRODUCT($S64:$BM64,AttWeights!$C$5:$AW$5)/SUM(AttWeights!$C$5:$AW$5),SUMPRODUCT($S64:$BM64,AttWeights!$C$14:$AW$14)/SUM(AttWeights!$C$14:$AW$14))*10</f>
        <v>84.134043312708243</v>
      </c>
      <c r="P64" s="14">
        <f>AVERAGE(SUMPRODUCT($S64:$BM64,AttWeights!$C$4:$AW$4)/SUM(AttWeights!$C$4:$AW$4),SUMPRODUCT($S64:$BM64,AttWeights!$C$13:$AW$13)/SUM(AttWeights!$C$13:$AW$13))*10</f>
        <v>80.28502747252746</v>
      </c>
      <c r="Q64" s="14">
        <f>AVERAGE(SUMPRODUCT($S64:$BM64,AttWeights!$C$3:$AW$3)/SUM(AttWeights!$C$3:$AW$3),SUMPRODUCT($S64:$BM64,AttWeights!$C$12:$AW$12)/SUM(AttWeights!$C$12:$AW$12))*10</f>
        <v>84.434292866082615</v>
      </c>
      <c r="R64" s="14">
        <f>AVERAGE(SUMPRODUCT($S64:$BM64,AttWeights!$C$2:$AW$2)/SUM(AttWeights!$C$2:$AW$2),SUMPRODUCT($S64:$BM64,AttWeights!$C$11:$AW$11)/SUM(AttWeights!$C$11:$AW$11))*10</f>
        <v>60.019743769743776</v>
      </c>
      <c r="S64" s="3">
        <f>IF(ISBLANK('Paste Full'!AC64),"",'Paste Full'!AC64)</f>
        <v>8</v>
      </c>
      <c r="T64" s="3">
        <f>IF(ISBLANK('Paste Full'!AD64),"",'Paste Full'!AD64)</f>
        <v>8</v>
      </c>
      <c r="U64" s="3" t="str">
        <f>IF(ISBLANK('Paste Full'!AE64),"",'Paste Full'!AE64)</f>
        <v>$9</v>
      </c>
      <c r="V64" s="3">
        <f>IF(ISBLANK('Paste Full'!AF64),"",'Paste Full'!AF64)</f>
        <v>7</v>
      </c>
      <c r="W64" s="3">
        <f>IF(ISBLANK('Paste Full'!AH64),"",'Paste Full'!AH64)</f>
        <v>14</v>
      </c>
      <c r="X64" s="3">
        <f>IF(ISBLANK('Paste Full'!AI64),"",'Paste Full'!AI64)</f>
        <v>8</v>
      </c>
      <c r="Y64" s="3">
        <f>IF(ISBLANK('Paste Full'!AK64),"",'Paste Full'!AK64)</f>
        <v>9</v>
      </c>
      <c r="Z64" s="3">
        <f>IF(ISBLANK('Paste Full'!AL64),"",'Paste Full'!AL64)</f>
        <v>3</v>
      </c>
      <c r="AA64" s="4">
        <f>IF(ISBLANK('Paste Full'!AM64),"",'Paste Full'!AM64)</f>
        <v>2</v>
      </c>
      <c r="AB64" s="4">
        <f>IF(ISBLANK('Paste Full'!AN64),"",'Paste Full'!AN64)</f>
        <v>4</v>
      </c>
      <c r="AC64" s="4">
        <f>IF(ISBLANK('Paste Full'!AO64),"",'Paste Full'!AO64)</f>
        <v>3</v>
      </c>
      <c r="AD64" s="4">
        <f>IF(ISBLANK('Paste Full'!AP64),"",'Paste Full'!AP64)</f>
        <v>2</v>
      </c>
      <c r="AE64" s="4">
        <f>IF(ISBLANK('Paste Full'!AQ64),"",'Paste Full'!AQ64)</f>
        <v>3</v>
      </c>
      <c r="AF64" s="4">
        <f>IF(ISBLANK('Paste Full'!AR64),"",'Paste Full'!AR64)</f>
        <v>3</v>
      </c>
      <c r="AG64" s="4">
        <f>IF(ISBLANK('Paste Full'!AS64),"",'Paste Full'!AS64)</f>
        <v>2</v>
      </c>
      <c r="AH64" s="4">
        <f>IF(ISBLANK('Paste Full'!AV64),"",'Paste Full'!AV64)</f>
        <v>3</v>
      </c>
      <c r="AI64" s="4">
        <f>IF(ISBLANK('Paste Full'!AT64),"",'Paste Full'!AT64)</f>
        <v>1</v>
      </c>
      <c r="AJ64" s="4">
        <f>IF(ISBLANK('Paste Full'!AU64),"",'Paste Full'!AU64)</f>
        <v>4</v>
      </c>
      <c r="AK64" s="4">
        <f>IF(ISBLANK('Paste Full'!AW64),"",'Paste Full'!AW64)</f>
        <v>2</v>
      </c>
      <c r="AL64" s="5">
        <f>IF(ISBLANK('Paste Full'!AX64),"",'Paste Full'!AX64)</f>
        <v>11</v>
      </c>
      <c r="AM64" s="5">
        <f>IF(ISBLANK('Paste Full'!AY64),"",'Paste Full'!AY64)</f>
        <v>10</v>
      </c>
      <c r="AN64" s="5">
        <f>IF(ISBLANK('Paste Full'!AZ64),"",'Paste Full'!AZ64)</f>
        <v>8</v>
      </c>
      <c r="AO64" s="5">
        <f>IF(ISBLANK('Paste Full'!BA64),"",'Paste Full'!BA64)</f>
        <v>11</v>
      </c>
      <c r="AP64" s="5">
        <f>IF(ISBLANK('Paste Full'!BB64),"",'Paste Full'!BB64)</f>
        <v>9</v>
      </c>
      <c r="AQ64" s="5">
        <f>IF(ISBLANK('Paste Full'!BC64),"",'Paste Full'!BC64)</f>
        <v>12</v>
      </c>
      <c r="AR64" s="5">
        <f>IF(ISBLANK('Paste Full'!BD64),"",'Paste Full'!BD64)</f>
        <v>19</v>
      </c>
      <c r="AS64" s="5">
        <f>IF(ISBLANK('Paste Full'!BE64),"",'Paste Full'!BE64)</f>
        <v>8</v>
      </c>
      <c r="AT64" s="5">
        <f>IF(ISBLANK('Paste Full'!BF64),"",'Paste Full'!BF64)</f>
        <v>15</v>
      </c>
      <c r="AU64" s="5">
        <f>IF(ISBLANK('Paste Full'!BG64),"",'Paste Full'!BG64)</f>
        <v>8</v>
      </c>
      <c r="AV64" s="5">
        <f>IF(ISBLANK('Paste Full'!BH64),"",'Paste Full'!BH64)</f>
        <v>5</v>
      </c>
      <c r="AW64" s="5">
        <f>IF(ISBLANK('Paste Full'!BI64),"",'Paste Full'!BI64)</f>
        <v>10</v>
      </c>
      <c r="AX64" s="5">
        <f>IF(ISBLANK('Paste Full'!BJ64),"",'Paste Full'!BJ64)</f>
        <v>11</v>
      </c>
      <c r="AY64" s="5">
        <f>IF(ISBLANK('Paste Full'!BK64),"",'Paste Full'!BK64)</f>
        <v>14</v>
      </c>
      <c r="AZ64" s="6">
        <f>IF(ISBLANK('Paste Full'!BM64),"",'Paste Full'!BM64)</f>
        <v>7</v>
      </c>
      <c r="BA64" s="6">
        <f>IF(ISBLANK('Paste Full'!BN64),"",'Paste Full'!BN64)</f>
        <v>6</v>
      </c>
      <c r="BB64" s="6">
        <f>IF(ISBLANK('Paste Full'!BO64),"",'Paste Full'!BO64)</f>
        <v>6</v>
      </c>
      <c r="BC64" s="6">
        <f>IF(ISBLANK('Paste Full'!BP64),"",'Paste Full'!BP64)</f>
        <v>13</v>
      </c>
      <c r="BD64" s="6">
        <f>IF(ISBLANK('Paste Full'!BR64),"",'Paste Full'!BR64)</f>
        <v>4</v>
      </c>
      <c r="BE64" s="6">
        <f>IF(ISBLANK('Paste Full'!BS64),"",'Paste Full'!BS64)</f>
        <v>8</v>
      </c>
      <c r="BF64" s="6">
        <f>IF(ISBLANK('Paste Full'!BU64),"",'Paste Full'!BU64)</f>
        <v>10</v>
      </c>
      <c r="BG64" s="6">
        <f>IF(ISBLANK('Paste Full'!BV64),"",'Paste Full'!BV64)</f>
        <v>13</v>
      </c>
      <c r="BH64" s="6">
        <f>IF(ISBLANK('Paste Full'!BX64),"",'Paste Full'!BX64)</f>
        <v>9</v>
      </c>
      <c r="BI64" s="6">
        <f>IF(ISBLANK('Paste Full'!BY64),"",'Paste Full'!BY64)</f>
        <v>11</v>
      </c>
      <c r="BJ64" s="13">
        <f>IF(ISBLANK('Paste Full'!BL64),"",'Paste Full'!BL64)</f>
        <v>3</v>
      </c>
      <c r="BK64" s="13">
        <f>IF(ISBLANK('Paste Full'!BQ64),"",'Paste Full'!BQ64)</f>
        <v>5</v>
      </c>
      <c r="BL64" s="13">
        <f>IF(ISBLANK('Paste Full'!BT64),"",'Paste Full'!BT64)</f>
        <v>5</v>
      </c>
      <c r="BM64" s="13">
        <f>IF(ISBLANK('Paste Full'!BW64),"",'Paste Full'!BW64)</f>
        <v>5</v>
      </c>
      <c r="BN64" s="41">
        <f>IF(ISBLANK('Paste Full'!BZ64),"",'Paste Full'!BZ64)</f>
        <v>1</v>
      </c>
      <c r="BO64" s="41">
        <f>IF(ISBLANK('Paste Full'!CA64),"",'Paste Full'!CA64)</f>
        <v>1</v>
      </c>
      <c r="BP64" s="41">
        <f>IF(ISBLANK('Paste Full'!CB64),"",'Paste Full'!CB64)</f>
        <v>2</v>
      </c>
      <c r="BQ64" s="41">
        <f>IF(ISBLANK('Paste Full'!CC64),"",'Paste Full'!CC64)</f>
        <v>1</v>
      </c>
      <c r="BR64" s="41">
        <f>IF(ISBLANK('Paste Full'!CD64),"",'Paste Full'!CD64)</f>
        <v>16</v>
      </c>
      <c r="BS64" s="41">
        <f>IF(ISBLANK('Paste Full'!CE64),"",'Paste Full'!CE64)</f>
        <v>1</v>
      </c>
      <c r="BT64" s="41">
        <f>IF(ISBLANK('Paste Full'!CF64),"",'Paste Full'!CF64)</f>
        <v>16</v>
      </c>
      <c r="BU64" s="41">
        <f>IF(ISBLANK('Paste Full'!CG64),"",'Paste Full'!CG64)</f>
        <v>1</v>
      </c>
      <c r="BV64" s="41">
        <f>IF(ISBLANK('Paste Full'!CH64),"",'Paste Full'!CH64)</f>
        <v>1</v>
      </c>
    </row>
    <row r="65" spans="1:74" x14ac:dyDescent="0.3">
      <c r="A65" t="str">
        <f>IF(ISBLANK('Paste Full'!C65),"",'Paste Full'!C65)</f>
        <v>Vashirn Rodney</v>
      </c>
      <c r="B65" t="str">
        <f t="shared" si="1"/>
        <v>D(R/L)</v>
      </c>
      <c r="C65" s="2">
        <f>IF(ISBLANK('Paste Full'!H65),"",'Paste Full'!H65)</f>
        <v>18</v>
      </c>
      <c r="D65" s="2">
        <f>IF(ISBLANK('Paste Full'!F65),"",'Paste Full'!F65)</f>
        <v>67</v>
      </c>
      <c r="E65" s="2">
        <f>IF(ISBLANK('Paste Full'!G65),"",'Paste Full'!G65)</f>
        <v>94</v>
      </c>
      <c r="F65" s="21" t="str">
        <f>IF(ISBLANK('Paste Full'!E65),"",'Paste Full'!E65)</f>
        <v>England,Montserrat</v>
      </c>
      <c r="G65" t="str">
        <f>IF(ISBLANK('Paste Full'!CI65),"",'Paste Full'!CI65)</f>
        <v>Bath City</v>
      </c>
      <c r="H65" s="21" t="str">
        <f>IF(ISBLANK('Paste Full'!J65),"",'Paste Full'!J65)</f>
        <v>$45,692</v>
      </c>
      <c r="I65" s="21" t="str">
        <f>IF(ISBLANK('Paste Full'!D65),"",'Paste Full'!D65)</f>
        <v>D/DM/M C</v>
      </c>
      <c r="J65" s="14">
        <f>AVERAGE(SUMPRODUCT($S65:$BM65,AttWeights!$C$10:$AW$10)/SUM(AttWeights!$C$10:$AW$10),SUMPRODUCT($S65:$BM65,AttWeights!$C$17:$AW$17)/SUM(AttWeights!$C$17:$AW$17))*10</f>
        <v>75.922074201403817</v>
      </c>
      <c r="K65" s="14">
        <f>AVERAGE(SUMPRODUCT($S65:$BM65,AttWeights!$C$7:$AW$7)/SUM(AttWeights!$C$7:$AW$7),SUMPRODUCT($S65:$BM65,AttWeights!$C$15:$AW$15)/SUM(AttWeights!$C$15:$AW$15))*10</f>
        <v>83.03300126362808</v>
      </c>
      <c r="L65" s="14">
        <f>AVERAGE(SUMPRODUCT($S65:$BM65,AttWeights!$C$8:$AW$8)/SUM(AttWeights!$C$8:$AW$8),SUMPRODUCT($S65:$BM65,AttWeights!$C$16:$AW$16)/SUM(AttWeights!$C$16:$AW$16))*10</f>
        <v>84.28976547656184</v>
      </c>
      <c r="M65" s="14">
        <f>AVERAGE(SUMPRODUCT($S65:$BM65,AttWeights!$C$9:$AW$9)/SUM(AttWeights!$C$9:$AW$9),SUMPRODUCT($S65:$BM65,AttWeights!$C$15:$AW$15)/SUM(AttWeights!$C$15:$AW$15))*10</f>
        <v>84.624244773997617</v>
      </c>
      <c r="N65" s="14">
        <f>AVERAGE(SUMPRODUCT($S65:$BM65,AttWeights!$C$6:$AW$6)/SUM(AttWeights!$C$6:$AW$6),SUMPRODUCT($S65:$BM65,AttWeights!$C$14:$AW$14)/SUM(AttWeights!$C$14:$AW$14))*10</f>
        <v>86.603295993106428</v>
      </c>
      <c r="O65" s="14">
        <f>AVERAGE(SUMPRODUCT($S65:$BM65,AttWeights!$C$5:$AW$5)/SUM(AttWeights!$C$5:$AW$5),SUMPRODUCT($S65:$BM65,AttWeights!$C$14:$AW$14)/SUM(AttWeights!$C$14:$AW$14))*10</f>
        <v>88.103879105188014</v>
      </c>
      <c r="P65" s="14">
        <f>AVERAGE(SUMPRODUCT($S65:$BM65,AttWeights!$C$4:$AW$4)/SUM(AttWeights!$C$4:$AW$4),SUMPRODUCT($S65:$BM65,AttWeights!$C$13:$AW$13)/SUM(AttWeights!$C$13:$AW$13))*10</f>
        <v>85.638736263736263</v>
      </c>
      <c r="Q65" s="14">
        <f>AVERAGE(SUMPRODUCT($S65:$BM65,AttWeights!$C$3:$AW$3)/SUM(AttWeights!$C$3:$AW$3),SUMPRODUCT($S65:$BM65,AttWeights!$C$12:$AW$12)/SUM(AttWeights!$C$12:$AW$12))*10</f>
        <v>89.40988735919899</v>
      </c>
      <c r="R65" s="14">
        <f>AVERAGE(SUMPRODUCT($S65:$BM65,AttWeights!$C$2:$AW$2)/SUM(AttWeights!$C$2:$AW$2),SUMPRODUCT($S65:$BM65,AttWeights!$C$11:$AW$11)/SUM(AttWeights!$C$11:$AW$11))*10</f>
        <v>60.144348894348894</v>
      </c>
      <c r="S65" s="3">
        <f>IF(ISBLANK('Paste Full'!AC65),"",'Paste Full'!AC65)</f>
        <v>7</v>
      </c>
      <c r="T65" s="3">
        <f>IF(ISBLANK('Paste Full'!AD65),"",'Paste Full'!AD65)</f>
        <v>7</v>
      </c>
      <c r="U65" s="3" t="str">
        <f>IF(ISBLANK('Paste Full'!AE65),"",'Paste Full'!AE65)</f>
        <v>$9</v>
      </c>
      <c r="V65" s="3">
        <f>IF(ISBLANK('Paste Full'!AF65),"",'Paste Full'!AF65)</f>
        <v>6</v>
      </c>
      <c r="W65" s="3">
        <f>IF(ISBLANK('Paste Full'!AH65),"",'Paste Full'!AH65)</f>
        <v>9</v>
      </c>
      <c r="X65" s="3">
        <f>IF(ISBLANK('Paste Full'!AI65),"",'Paste Full'!AI65)</f>
        <v>8</v>
      </c>
      <c r="Y65" s="3">
        <f>IF(ISBLANK('Paste Full'!AK65),"",'Paste Full'!AK65)</f>
        <v>12</v>
      </c>
      <c r="Z65" s="3">
        <f>IF(ISBLANK('Paste Full'!AL65),"",'Paste Full'!AL65)</f>
        <v>7</v>
      </c>
      <c r="AA65" s="4">
        <f>IF(ISBLANK('Paste Full'!AM65),"",'Paste Full'!AM65)</f>
        <v>3</v>
      </c>
      <c r="AB65" s="4">
        <f>IF(ISBLANK('Paste Full'!AN65),"",'Paste Full'!AN65)</f>
        <v>3</v>
      </c>
      <c r="AC65" s="4">
        <f>IF(ISBLANK('Paste Full'!AO65),"",'Paste Full'!AO65)</f>
        <v>3</v>
      </c>
      <c r="AD65" s="4">
        <f>IF(ISBLANK('Paste Full'!AP65),"",'Paste Full'!AP65)</f>
        <v>3</v>
      </c>
      <c r="AE65" s="4">
        <f>IF(ISBLANK('Paste Full'!AQ65),"",'Paste Full'!AQ65)</f>
        <v>2</v>
      </c>
      <c r="AF65" s="4">
        <f>IF(ISBLANK('Paste Full'!AR65),"",'Paste Full'!AR65)</f>
        <v>4</v>
      </c>
      <c r="AG65" s="4">
        <f>IF(ISBLANK('Paste Full'!AS65),"",'Paste Full'!AS65)</f>
        <v>2</v>
      </c>
      <c r="AH65" s="4">
        <f>IF(ISBLANK('Paste Full'!AV65),"",'Paste Full'!AV65)</f>
        <v>1</v>
      </c>
      <c r="AI65" s="4">
        <f>IF(ISBLANK('Paste Full'!AT65),"",'Paste Full'!AT65)</f>
        <v>1</v>
      </c>
      <c r="AJ65" s="4">
        <f>IF(ISBLANK('Paste Full'!AU65),"",'Paste Full'!AU65)</f>
        <v>3</v>
      </c>
      <c r="AK65" s="4">
        <f>IF(ISBLANK('Paste Full'!AW65),"",'Paste Full'!AW65)</f>
        <v>2</v>
      </c>
      <c r="AL65" s="5">
        <f>IF(ISBLANK('Paste Full'!AX65),"",'Paste Full'!AX65)</f>
        <v>19</v>
      </c>
      <c r="AM65" s="5">
        <f>IF(ISBLANK('Paste Full'!AY65),"",'Paste Full'!AY65)</f>
        <v>11</v>
      </c>
      <c r="AN65" s="5">
        <f>IF(ISBLANK('Paste Full'!AZ65),"",'Paste Full'!AZ65)</f>
        <v>5</v>
      </c>
      <c r="AO65" s="5">
        <f>IF(ISBLANK('Paste Full'!BA65),"",'Paste Full'!BA65)</f>
        <v>9</v>
      </c>
      <c r="AP65" s="5">
        <f>IF(ISBLANK('Paste Full'!BB65),"",'Paste Full'!BB65)</f>
        <v>8</v>
      </c>
      <c r="AQ65" s="5">
        <f>IF(ISBLANK('Paste Full'!BC65),"",'Paste Full'!BC65)</f>
        <v>11</v>
      </c>
      <c r="AR65" s="5">
        <f>IF(ISBLANK('Paste Full'!BD65),"",'Paste Full'!BD65)</f>
        <v>12</v>
      </c>
      <c r="AS65" s="5">
        <f>IF(ISBLANK('Paste Full'!BE65),"",'Paste Full'!BE65)</f>
        <v>4</v>
      </c>
      <c r="AT65" s="5">
        <f>IF(ISBLANK('Paste Full'!BF65),"",'Paste Full'!BF65)</f>
        <v>11</v>
      </c>
      <c r="AU65" s="5">
        <f>IF(ISBLANK('Paste Full'!BG65),"",'Paste Full'!BG65)</f>
        <v>7</v>
      </c>
      <c r="AV65" s="5">
        <f>IF(ISBLANK('Paste Full'!BH65),"",'Paste Full'!BH65)</f>
        <v>14</v>
      </c>
      <c r="AW65" s="5">
        <f>IF(ISBLANK('Paste Full'!BI65),"",'Paste Full'!BI65)</f>
        <v>16</v>
      </c>
      <c r="AX65" s="5">
        <f>IF(ISBLANK('Paste Full'!BJ65),"",'Paste Full'!BJ65)</f>
        <v>8</v>
      </c>
      <c r="AY65" s="5">
        <f>IF(ISBLANK('Paste Full'!BK65),"",'Paste Full'!BK65)</f>
        <v>15</v>
      </c>
      <c r="AZ65" s="6">
        <f>IF(ISBLANK('Paste Full'!BM65),"",'Paste Full'!BM65)</f>
        <v>2</v>
      </c>
      <c r="BA65" s="6">
        <f>IF(ISBLANK('Paste Full'!BN65),"",'Paste Full'!BN65)</f>
        <v>5</v>
      </c>
      <c r="BB65" s="6">
        <f>IF(ISBLANK('Paste Full'!BO65),"",'Paste Full'!BO65)</f>
        <v>3</v>
      </c>
      <c r="BC65" s="6">
        <f>IF(ISBLANK('Paste Full'!BP65),"",'Paste Full'!BP65)</f>
        <v>9</v>
      </c>
      <c r="BD65" s="6">
        <f>IF(ISBLANK('Paste Full'!BR65),"",'Paste Full'!BR65)</f>
        <v>12</v>
      </c>
      <c r="BE65" s="6">
        <f>IF(ISBLANK('Paste Full'!BS65),"",'Paste Full'!BS65)</f>
        <v>5</v>
      </c>
      <c r="BF65" s="6">
        <f>IF(ISBLANK('Paste Full'!BU65),"",'Paste Full'!BU65)</f>
        <v>12</v>
      </c>
      <c r="BG65" s="6">
        <f>IF(ISBLANK('Paste Full'!BV65),"",'Paste Full'!BV65)</f>
        <v>9</v>
      </c>
      <c r="BH65" s="6">
        <f>IF(ISBLANK('Paste Full'!BX65),"",'Paste Full'!BX65)</f>
        <v>7</v>
      </c>
      <c r="BI65" s="6">
        <f>IF(ISBLANK('Paste Full'!BY65),"",'Paste Full'!BY65)</f>
        <v>11</v>
      </c>
      <c r="BJ65" s="13">
        <f>IF(ISBLANK('Paste Full'!BL65),"",'Paste Full'!BL65)</f>
        <v>5</v>
      </c>
      <c r="BK65" s="13">
        <f>IF(ISBLANK('Paste Full'!BQ65),"",'Paste Full'!BQ65)</f>
        <v>7</v>
      </c>
      <c r="BL65" s="13">
        <f>IF(ISBLANK('Paste Full'!BT65),"",'Paste Full'!BT65)</f>
        <v>5</v>
      </c>
      <c r="BM65" s="13">
        <f>IF(ISBLANK('Paste Full'!BW65),"",'Paste Full'!BW65)</f>
        <v>4</v>
      </c>
      <c r="BN65" s="41">
        <f>IF(ISBLANK('Paste Full'!BZ65),"",'Paste Full'!BZ65)</f>
        <v>1</v>
      </c>
      <c r="BO65" s="41">
        <f>IF(ISBLANK('Paste Full'!CA65),"",'Paste Full'!CA65)</f>
        <v>1</v>
      </c>
      <c r="BP65" s="41">
        <f>IF(ISBLANK('Paste Full'!CB65),"",'Paste Full'!CB65)</f>
        <v>16</v>
      </c>
      <c r="BQ65" s="41">
        <f>IF(ISBLANK('Paste Full'!CC65),"",'Paste Full'!CC65)</f>
        <v>1</v>
      </c>
      <c r="BR65" s="41">
        <f>IF(ISBLANK('Paste Full'!CD65),"",'Paste Full'!CD65)</f>
        <v>20</v>
      </c>
      <c r="BS65" s="41">
        <f>IF(ISBLANK('Paste Full'!CE65),"",'Paste Full'!CE65)</f>
        <v>1</v>
      </c>
      <c r="BT65" s="41">
        <f>IF(ISBLANK('Paste Full'!CF65),"",'Paste Full'!CF65)</f>
        <v>1</v>
      </c>
      <c r="BU65" s="41">
        <f>IF(ISBLANK('Paste Full'!CG65),"",'Paste Full'!CG65)</f>
        <v>1</v>
      </c>
      <c r="BV65" s="41">
        <f>IF(ISBLANK('Paste Full'!CH65),"",'Paste Full'!CH65)</f>
        <v>1</v>
      </c>
    </row>
    <row r="66" spans="1:74" x14ac:dyDescent="0.3">
      <c r="A66" t="str">
        <f>IF(ISBLANK('Paste Full'!C66),"",'Paste Full'!C66)</f>
        <v/>
      </c>
      <c r="B66" t="str">
        <f t="shared" ref="B66:B100" si="2">INDEX($J$1:$R$1, MATCH(MAX($J66:$R66), $J66:$R66, 0))</f>
        <v>Striker</v>
      </c>
      <c r="C66" s="2" t="str">
        <f>IF(ISBLANK('Paste Full'!H66),"",'Paste Full'!H66)</f>
        <v/>
      </c>
      <c r="D66" s="2" t="str">
        <f>IF(ISBLANK('Paste Full'!F66),"",'Paste Full'!F66)</f>
        <v/>
      </c>
      <c r="E66" s="2" t="str">
        <f>IF(ISBLANK('Paste Full'!G66),"",'Paste Full'!G66)</f>
        <v/>
      </c>
      <c r="F66" s="21" t="str">
        <f>IF(ISBLANK('Paste Full'!E66),"",'Paste Full'!E66)</f>
        <v/>
      </c>
      <c r="G66" t="str">
        <f>IF(ISBLANK('Paste Full'!CI66),"",'Paste Full'!CI66)</f>
        <v/>
      </c>
      <c r="H66" s="21" t="str">
        <f>IF(ISBLANK('Paste Full'!J66),"",'Paste Full'!J66)</f>
        <v/>
      </c>
      <c r="I66" s="21" t="str">
        <f>IF(ISBLANK('Paste Full'!D66),"",'Paste Full'!D66)</f>
        <v/>
      </c>
      <c r="J66" s="14">
        <f>AVERAGE(SUMPRODUCT($S66:$BM66,AttWeights!$C$10:$AW$10)/SUM(AttWeights!$C$10:$AW$10),SUMPRODUCT($S66:$BM66,AttWeights!$C$17:$AW$17)/SUM(AttWeights!$C$17:$AW$17))*10</f>
        <v>0</v>
      </c>
      <c r="K66" s="14">
        <f>AVERAGE(SUMPRODUCT($S66:$BM66,AttWeights!$C$7:$AW$7)/SUM(AttWeights!$C$7:$AW$7),SUMPRODUCT($S66:$BM66,AttWeights!$C$15:$AW$15)/SUM(AttWeights!$C$15:$AW$15))*10</f>
        <v>0</v>
      </c>
      <c r="L66" s="14">
        <f>AVERAGE(SUMPRODUCT($S66:$BM66,AttWeights!$C$8:$AW$8)/SUM(AttWeights!$C$8:$AW$8),SUMPRODUCT($S66:$BM66,AttWeights!$C$16:$AW$16)/SUM(AttWeights!$C$16:$AW$16))*10</f>
        <v>0</v>
      </c>
      <c r="M66" s="14">
        <f>AVERAGE(SUMPRODUCT($S66:$BM66,AttWeights!$C$9:$AW$9)/SUM(AttWeights!$C$9:$AW$9),SUMPRODUCT($S66:$BM66,AttWeights!$C$15:$AW$15)/SUM(AttWeights!$C$15:$AW$15))*10</f>
        <v>0</v>
      </c>
      <c r="N66" s="14">
        <f>AVERAGE(SUMPRODUCT($S66:$BM66,AttWeights!$C$6:$AW$6)/SUM(AttWeights!$C$6:$AW$6),SUMPRODUCT($S66:$BM66,AttWeights!$C$14:$AW$14)/SUM(AttWeights!$C$14:$AW$14))*10</f>
        <v>0</v>
      </c>
      <c r="O66" s="14">
        <f>AVERAGE(SUMPRODUCT($S66:$BM66,AttWeights!$C$5:$AW$5)/SUM(AttWeights!$C$5:$AW$5),SUMPRODUCT($S66:$BM66,AttWeights!$C$14:$AW$14)/SUM(AttWeights!$C$14:$AW$14))*10</f>
        <v>0</v>
      </c>
      <c r="P66" s="14">
        <f>AVERAGE(SUMPRODUCT($S66:$BM66,AttWeights!$C$4:$AW$4)/SUM(AttWeights!$C$4:$AW$4),SUMPRODUCT($S66:$BM66,AttWeights!$C$13:$AW$13)/SUM(AttWeights!$C$13:$AW$13))*10</f>
        <v>0</v>
      </c>
      <c r="Q66" s="14">
        <f>AVERAGE(SUMPRODUCT($S66:$BM66,AttWeights!$C$3:$AW$3)/SUM(AttWeights!$C$3:$AW$3),SUMPRODUCT($S66:$BM66,AttWeights!$C$12:$AW$12)/SUM(AttWeights!$C$12:$AW$12))*10</f>
        <v>0</v>
      </c>
      <c r="R66" s="14">
        <f>AVERAGE(SUMPRODUCT($S66:$BM66,AttWeights!$C$2:$AW$2)/SUM(AttWeights!$C$2:$AW$2),SUMPRODUCT($S66:$BM66,AttWeights!$C$11:$AW$11)/SUM(AttWeights!$C$11:$AW$11))*10</f>
        <v>0</v>
      </c>
      <c r="S66" s="3" t="str">
        <f>IF(ISBLANK('Paste Full'!AC66),"",'Paste Full'!AC66)</f>
        <v/>
      </c>
      <c r="T66" s="3" t="str">
        <f>IF(ISBLANK('Paste Full'!AD66),"",'Paste Full'!AD66)</f>
        <v/>
      </c>
      <c r="U66" s="3" t="str">
        <f>IF(ISBLANK('Paste Full'!AE66),"",'Paste Full'!AE66)</f>
        <v/>
      </c>
      <c r="V66" s="3" t="str">
        <f>IF(ISBLANK('Paste Full'!AF66),"",'Paste Full'!AF66)</f>
        <v/>
      </c>
      <c r="W66" s="3" t="str">
        <f>IF(ISBLANK('Paste Full'!AH66),"",'Paste Full'!AH66)</f>
        <v/>
      </c>
      <c r="X66" s="3" t="str">
        <f>IF(ISBLANK('Paste Full'!AI66),"",'Paste Full'!AI66)</f>
        <v/>
      </c>
      <c r="Y66" s="3" t="str">
        <f>IF(ISBLANK('Paste Full'!AK66),"",'Paste Full'!AK66)</f>
        <v/>
      </c>
      <c r="Z66" s="3" t="str">
        <f>IF(ISBLANK('Paste Full'!AL66),"",'Paste Full'!AL66)</f>
        <v/>
      </c>
      <c r="AA66" s="4" t="str">
        <f>IF(ISBLANK('Paste Full'!AM66),"",'Paste Full'!AM66)</f>
        <v/>
      </c>
      <c r="AB66" s="4" t="str">
        <f>IF(ISBLANK('Paste Full'!AN66),"",'Paste Full'!AN66)</f>
        <v/>
      </c>
      <c r="AC66" s="4" t="str">
        <f>IF(ISBLANK('Paste Full'!AO66),"",'Paste Full'!AO66)</f>
        <v/>
      </c>
      <c r="AD66" s="4" t="str">
        <f>IF(ISBLANK('Paste Full'!AP66),"",'Paste Full'!AP66)</f>
        <v/>
      </c>
      <c r="AE66" s="4" t="str">
        <f>IF(ISBLANK('Paste Full'!AQ66),"",'Paste Full'!AQ66)</f>
        <v/>
      </c>
      <c r="AF66" s="4" t="str">
        <f>IF(ISBLANK('Paste Full'!AR66),"",'Paste Full'!AR66)</f>
        <v/>
      </c>
      <c r="AG66" s="4" t="str">
        <f>IF(ISBLANK('Paste Full'!AS66),"",'Paste Full'!AS66)</f>
        <v/>
      </c>
      <c r="AH66" s="4" t="str">
        <f>IF(ISBLANK('Paste Full'!AV66),"",'Paste Full'!AV66)</f>
        <v/>
      </c>
      <c r="AI66" s="4" t="str">
        <f>IF(ISBLANK('Paste Full'!AT66),"",'Paste Full'!AT66)</f>
        <v/>
      </c>
      <c r="AJ66" s="4" t="str">
        <f>IF(ISBLANK('Paste Full'!AU66),"",'Paste Full'!AU66)</f>
        <v/>
      </c>
      <c r="AK66" s="4" t="str">
        <f>IF(ISBLANK('Paste Full'!AW66),"",'Paste Full'!AW66)</f>
        <v/>
      </c>
      <c r="AL66" s="5" t="str">
        <f>IF(ISBLANK('Paste Full'!AX66),"",'Paste Full'!AX66)</f>
        <v/>
      </c>
      <c r="AM66" s="5" t="str">
        <f>IF(ISBLANK('Paste Full'!AY66),"",'Paste Full'!AY66)</f>
        <v/>
      </c>
      <c r="AN66" s="5" t="str">
        <f>IF(ISBLANK('Paste Full'!AZ66),"",'Paste Full'!AZ66)</f>
        <v/>
      </c>
      <c r="AO66" s="5" t="str">
        <f>IF(ISBLANK('Paste Full'!BA66),"",'Paste Full'!BA66)</f>
        <v/>
      </c>
      <c r="AP66" s="5" t="str">
        <f>IF(ISBLANK('Paste Full'!BB66),"",'Paste Full'!BB66)</f>
        <v/>
      </c>
      <c r="AQ66" s="5" t="str">
        <f>IF(ISBLANK('Paste Full'!BC66),"",'Paste Full'!BC66)</f>
        <v/>
      </c>
      <c r="AR66" s="5" t="str">
        <f>IF(ISBLANK('Paste Full'!BD66),"",'Paste Full'!BD66)</f>
        <v/>
      </c>
      <c r="AS66" s="5" t="str">
        <f>IF(ISBLANK('Paste Full'!BE66),"",'Paste Full'!BE66)</f>
        <v/>
      </c>
      <c r="AT66" s="5" t="str">
        <f>IF(ISBLANK('Paste Full'!BF66),"",'Paste Full'!BF66)</f>
        <v/>
      </c>
      <c r="AU66" s="5" t="str">
        <f>IF(ISBLANK('Paste Full'!BG66),"",'Paste Full'!BG66)</f>
        <v/>
      </c>
      <c r="AV66" s="5" t="str">
        <f>IF(ISBLANK('Paste Full'!BH66),"",'Paste Full'!BH66)</f>
        <v/>
      </c>
      <c r="AW66" s="5" t="str">
        <f>IF(ISBLANK('Paste Full'!BI66),"",'Paste Full'!BI66)</f>
        <v/>
      </c>
      <c r="AX66" s="5" t="str">
        <f>IF(ISBLANK('Paste Full'!BJ66),"",'Paste Full'!BJ66)</f>
        <v/>
      </c>
      <c r="AY66" s="5" t="str">
        <f>IF(ISBLANK('Paste Full'!BK66),"",'Paste Full'!BK66)</f>
        <v/>
      </c>
      <c r="AZ66" s="6" t="str">
        <f>IF(ISBLANK('Paste Full'!BM66),"",'Paste Full'!BM66)</f>
        <v/>
      </c>
      <c r="BA66" s="6" t="str">
        <f>IF(ISBLANK('Paste Full'!BN66),"",'Paste Full'!BN66)</f>
        <v/>
      </c>
      <c r="BB66" s="6" t="str">
        <f>IF(ISBLANK('Paste Full'!BO66),"",'Paste Full'!BO66)</f>
        <v/>
      </c>
      <c r="BC66" s="6" t="str">
        <f>IF(ISBLANK('Paste Full'!BP66),"",'Paste Full'!BP66)</f>
        <v/>
      </c>
      <c r="BD66" s="6" t="str">
        <f>IF(ISBLANK('Paste Full'!BR66),"",'Paste Full'!BR66)</f>
        <v/>
      </c>
      <c r="BE66" s="6" t="str">
        <f>IF(ISBLANK('Paste Full'!BS66),"",'Paste Full'!BS66)</f>
        <v/>
      </c>
      <c r="BF66" s="6" t="str">
        <f>IF(ISBLANK('Paste Full'!BU66),"",'Paste Full'!BU66)</f>
        <v/>
      </c>
      <c r="BG66" s="6" t="str">
        <f>IF(ISBLANK('Paste Full'!BV66),"",'Paste Full'!BV66)</f>
        <v/>
      </c>
      <c r="BH66" s="6" t="str">
        <f>IF(ISBLANK('Paste Full'!BX66),"",'Paste Full'!BX66)</f>
        <v/>
      </c>
      <c r="BI66" s="6" t="str">
        <f>IF(ISBLANK('Paste Full'!BY66),"",'Paste Full'!BY66)</f>
        <v/>
      </c>
      <c r="BJ66" s="13" t="str">
        <f>IF(ISBLANK('Paste Full'!BL66),"",'Paste Full'!BL66)</f>
        <v/>
      </c>
      <c r="BK66" s="13" t="str">
        <f>IF(ISBLANK('Paste Full'!BQ66),"",'Paste Full'!BQ66)</f>
        <v/>
      </c>
      <c r="BL66" s="13" t="str">
        <f>IF(ISBLANK('Paste Full'!BT66),"",'Paste Full'!BT66)</f>
        <v/>
      </c>
      <c r="BM66" s="13" t="str">
        <f>IF(ISBLANK('Paste Full'!BW66),"",'Paste Full'!BW66)</f>
        <v/>
      </c>
      <c r="BN66" s="41" t="str">
        <f>IF(ISBLANK('Paste Full'!BZ66),"",'Paste Full'!BZ66)</f>
        <v/>
      </c>
      <c r="BO66" s="41" t="str">
        <f>IF(ISBLANK('Paste Full'!CA66),"",'Paste Full'!CA66)</f>
        <v/>
      </c>
      <c r="BP66" s="41" t="str">
        <f>IF(ISBLANK('Paste Full'!CB66),"",'Paste Full'!CB66)</f>
        <v/>
      </c>
      <c r="BQ66" s="41" t="str">
        <f>IF(ISBLANK('Paste Full'!CC66),"",'Paste Full'!CC66)</f>
        <v/>
      </c>
      <c r="BR66" s="41" t="str">
        <f>IF(ISBLANK('Paste Full'!CD66),"",'Paste Full'!CD66)</f>
        <v/>
      </c>
      <c r="BS66" s="41" t="str">
        <f>IF(ISBLANK('Paste Full'!CE66),"",'Paste Full'!CE66)</f>
        <v/>
      </c>
      <c r="BT66" s="41" t="str">
        <f>IF(ISBLANK('Paste Full'!CF66),"",'Paste Full'!CF66)</f>
        <v/>
      </c>
      <c r="BU66" s="41" t="str">
        <f>IF(ISBLANK('Paste Full'!CG66),"",'Paste Full'!CG66)</f>
        <v/>
      </c>
      <c r="BV66" s="41" t="str">
        <f>IF(ISBLANK('Paste Full'!CH66),"",'Paste Full'!CH66)</f>
        <v/>
      </c>
    </row>
    <row r="67" spans="1:74" x14ac:dyDescent="0.3">
      <c r="A67" t="str">
        <f>IF(ISBLANK('Paste Full'!C67),"",'Paste Full'!C67)</f>
        <v/>
      </c>
      <c r="B67" t="str">
        <f t="shared" si="2"/>
        <v>Striker</v>
      </c>
      <c r="C67" s="2" t="str">
        <f>IF(ISBLANK('Paste Full'!H67),"",'Paste Full'!H67)</f>
        <v/>
      </c>
      <c r="D67" s="2" t="str">
        <f>IF(ISBLANK('Paste Full'!F67),"",'Paste Full'!F67)</f>
        <v/>
      </c>
      <c r="E67" s="2" t="str">
        <f>IF(ISBLANK('Paste Full'!G67),"",'Paste Full'!G67)</f>
        <v/>
      </c>
      <c r="F67" s="21" t="str">
        <f>IF(ISBLANK('Paste Full'!E67),"",'Paste Full'!E67)</f>
        <v/>
      </c>
      <c r="G67" t="str">
        <f>IF(ISBLANK('Paste Full'!CI67),"",'Paste Full'!CI67)</f>
        <v/>
      </c>
      <c r="H67" s="21" t="str">
        <f>IF(ISBLANK('Paste Full'!J67),"",'Paste Full'!J67)</f>
        <v/>
      </c>
      <c r="I67" s="21" t="str">
        <f>IF(ISBLANK('Paste Full'!D67),"",'Paste Full'!D67)</f>
        <v/>
      </c>
      <c r="J67" s="14">
        <f>AVERAGE(SUMPRODUCT($S67:$BM67,AttWeights!$C$10:$AW$10)/SUM(AttWeights!$C$10:$AW$10),SUMPRODUCT($S67:$BM67,AttWeights!$C$17:$AW$17)/SUM(AttWeights!$C$17:$AW$17))*10</f>
        <v>0</v>
      </c>
      <c r="K67" s="14">
        <f>AVERAGE(SUMPRODUCT($S67:$BM67,AttWeights!$C$7:$AW$7)/SUM(AttWeights!$C$7:$AW$7),SUMPRODUCT($S67:$BM67,AttWeights!$C$15:$AW$15)/SUM(AttWeights!$C$15:$AW$15))*10</f>
        <v>0</v>
      </c>
      <c r="L67" s="14">
        <f>AVERAGE(SUMPRODUCT($S67:$BM67,AttWeights!$C$8:$AW$8)/SUM(AttWeights!$C$8:$AW$8),SUMPRODUCT($S67:$BM67,AttWeights!$C$16:$AW$16)/SUM(AttWeights!$C$16:$AW$16))*10</f>
        <v>0</v>
      </c>
      <c r="M67" s="14">
        <f>AVERAGE(SUMPRODUCT($S67:$BM67,AttWeights!$C$9:$AW$9)/SUM(AttWeights!$C$9:$AW$9),SUMPRODUCT($S67:$BM67,AttWeights!$C$15:$AW$15)/SUM(AttWeights!$C$15:$AW$15))*10</f>
        <v>0</v>
      </c>
      <c r="N67" s="14">
        <f>AVERAGE(SUMPRODUCT($S67:$BM67,AttWeights!$C$6:$AW$6)/SUM(AttWeights!$C$6:$AW$6),SUMPRODUCT($S67:$BM67,AttWeights!$C$14:$AW$14)/SUM(AttWeights!$C$14:$AW$14))*10</f>
        <v>0</v>
      </c>
      <c r="O67" s="14">
        <f>AVERAGE(SUMPRODUCT($S67:$BM67,AttWeights!$C$5:$AW$5)/SUM(AttWeights!$C$5:$AW$5),SUMPRODUCT($S67:$BM67,AttWeights!$C$14:$AW$14)/SUM(AttWeights!$C$14:$AW$14))*10</f>
        <v>0</v>
      </c>
      <c r="P67" s="14">
        <f>AVERAGE(SUMPRODUCT($S67:$BM67,AttWeights!$C$4:$AW$4)/SUM(AttWeights!$C$4:$AW$4),SUMPRODUCT($S67:$BM67,AttWeights!$C$13:$AW$13)/SUM(AttWeights!$C$13:$AW$13))*10</f>
        <v>0</v>
      </c>
      <c r="Q67" s="14">
        <f>AVERAGE(SUMPRODUCT($S67:$BM67,AttWeights!$C$3:$AW$3)/SUM(AttWeights!$C$3:$AW$3),SUMPRODUCT($S67:$BM67,AttWeights!$C$12:$AW$12)/SUM(AttWeights!$C$12:$AW$12))*10</f>
        <v>0</v>
      </c>
      <c r="R67" s="14">
        <f>AVERAGE(SUMPRODUCT($S67:$BM67,AttWeights!$C$2:$AW$2)/SUM(AttWeights!$C$2:$AW$2),SUMPRODUCT($S67:$BM67,AttWeights!$C$11:$AW$11)/SUM(AttWeights!$C$11:$AW$11))*10</f>
        <v>0</v>
      </c>
      <c r="S67" s="3" t="str">
        <f>IF(ISBLANK('Paste Full'!AC67),"",'Paste Full'!AC67)</f>
        <v/>
      </c>
      <c r="T67" s="3" t="str">
        <f>IF(ISBLANK('Paste Full'!AD67),"",'Paste Full'!AD67)</f>
        <v/>
      </c>
      <c r="U67" s="3" t="str">
        <f>IF(ISBLANK('Paste Full'!AE67),"",'Paste Full'!AE67)</f>
        <v/>
      </c>
      <c r="V67" s="3" t="str">
        <f>IF(ISBLANK('Paste Full'!AF67),"",'Paste Full'!AF67)</f>
        <v/>
      </c>
      <c r="W67" s="3" t="str">
        <f>IF(ISBLANK('Paste Full'!AH67),"",'Paste Full'!AH67)</f>
        <v/>
      </c>
      <c r="X67" s="3" t="str">
        <f>IF(ISBLANK('Paste Full'!AI67),"",'Paste Full'!AI67)</f>
        <v/>
      </c>
      <c r="Y67" s="3" t="str">
        <f>IF(ISBLANK('Paste Full'!AK67),"",'Paste Full'!AK67)</f>
        <v/>
      </c>
      <c r="Z67" s="3" t="str">
        <f>IF(ISBLANK('Paste Full'!AL67),"",'Paste Full'!AL67)</f>
        <v/>
      </c>
      <c r="AA67" s="4" t="str">
        <f>IF(ISBLANK('Paste Full'!AM67),"",'Paste Full'!AM67)</f>
        <v/>
      </c>
      <c r="AB67" s="4" t="str">
        <f>IF(ISBLANK('Paste Full'!AN67),"",'Paste Full'!AN67)</f>
        <v/>
      </c>
      <c r="AC67" s="4" t="str">
        <f>IF(ISBLANK('Paste Full'!AO67),"",'Paste Full'!AO67)</f>
        <v/>
      </c>
      <c r="AD67" s="4" t="str">
        <f>IF(ISBLANK('Paste Full'!AP67),"",'Paste Full'!AP67)</f>
        <v/>
      </c>
      <c r="AE67" s="4" t="str">
        <f>IF(ISBLANK('Paste Full'!AQ67),"",'Paste Full'!AQ67)</f>
        <v/>
      </c>
      <c r="AF67" s="4" t="str">
        <f>IF(ISBLANK('Paste Full'!AR67),"",'Paste Full'!AR67)</f>
        <v/>
      </c>
      <c r="AG67" s="4" t="str">
        <f>IF(ISBLANK('Paste Full'!AS67),"",'Paste Full'!AS67)</f>
        <v/>
      </c>
      <c r="AH67" s="4" t="str">
        <f>IF(ISBLANK('Paste Full'!AV67),"",'Paste Full'!AV67)</f>
        <v/>
      </c>
      <c r="AI67" s="4" t="str">
        <f>IF(ISBLANK('Paste Full'!AT67),"",'Paste Full'!AT67)</f>
        <v/>
      </c>
      <c r="AJ67" s="4" t="str">
        <f>IF(ISBLANK('Paste Full'!AU67),"",'Paste Full'!AU67)</f>
        <v/>
      </c>
      <c r="AK67" s="4" t="str">
        <f>IF(ISBLANK('Paste Full'!AW67),"",'Paste Full'!AW67)</f>
        <v/>
      </c>
      <c r="AL67" s="5" t="str">
        <f>IF(ISBLANK('Paste Full'!AX67),"",'Paste Full'!AX67)</f>
        <v/>
      </c>
      <c r="AM67" s="5" t="str">
        <f>IF(ISBLANK('Paste Full'!AY67),"",'Paste Full'!AY67)</f>
        <v/>
      </c>
      <c r="AN67" s="5" t="str">
        <f>IF(ISBLANK('Paste Full'!AZ67),"",'Paste Full'!AZ67)</f>
        <v/>
      </c>
      <c r="AO67" s="5" t="str">
        <f>IF(ISBLANK('Paste Full'!BA67),"",'Paste Full'!BA67)</f>
        <v/>
      </c>
      <c r="AP67" s="5" t="str">
        <f>IF(ISBLANK('Paste Full'!BB67),"",'Paste Full'!BB67)</f>
        <v/>
      </c>
      <c r="AQ67" s="5" t="str">
        <f>IF(ISBLANK('Paste Full'!BC67),"",'Paste Full'!BC67)</f>
        <v/>
      </c>
      <c r="AR67" s="5" t="str">
        <f>IF(ISBLANK('Paste Full'!BD67),"",'Paste Full'!BD67)</f>
        <v/>
      </c>
      <c r="AS67" s="5" t="str">
        <f>IF(ISBLANK('Paste Full'!BE67),"",'Paste Full'!BE67)</f>
        <v/>
      </c>
      <c r="AT67" s="5" t="str">
        <f>IF(ISBLANK('Paste Full'!BF67),"",'Paste Full'!BF67)</f>
        <v/>
      </c>
      <c r="AU67" s="5" t="str">
        <f>IF(ISBLANK('Paste Full'!BG67),"",'Paste Full'!BG67)</f>
        <v/>
      </c>
      <c r="AV67" s="5" t="str">
        <f>IF(ISBLANK('Paste Full'!BH67),"",'Paste Full'!BH67)</f>
        <v/>
      </c>
      <c r="AW67" s="5" t="str">
        <f>IF(ISBLANK('Paste Full'!BI67),"",'Paste Full'!BI67)</f>
        <v/>
      </c>
      <c r="AX67" s="5" t="str">
        <f>IF(ISBLANK('Paste Full'!BJ67),"",'Paste Full'!BJ67)</f>
        <v/>
      </c>
      <c r="AY67" s="5" t="str">
        <f>IF(ISBLANK('Paste Full'!BK67),"",'Paste Full'!BK67)</f>
        <v/>
      </c>
      <c r="AZ67" s="6" t="str">
        <f>IF(ISBLANK('Paste Full'!BM67),"",'Paste Full'!BM67)</f>
        <v/>
      </c>
      <c r="BA67" s="6" t="str">
        <f>IF(ISBLANK('Paste Full'!BN67),"",'Paste Full'!BN67)</f>
        <v/>
      </c>
      <c r="BB67" s="6" t="str">
        <f>IF(ISBLANK('Paste Full'!BO67),"",'Paste Full'!BO67)</f>
        <v/>
      </c>
      <c r="BC67" s="6" t="str">
        <f>IF(ISBLANK('Paste Full'!BP67),"",'Paste Full'!BP67)</f>
        <v/>
      </c>
      <c r="BD67" s="6" t="str">
        <f>IF(ISBLANK('Paste Full'!BR67),"",'Paste Full'!BR67)</f>
        <v/>
      </c>
      <c r="BE67" s="6" t="str">
        <f>IF(ISBLANK('Paste Full'!BS67),"",'Paste Full'!BS67)</f>
        <v/>
      </c>
      <c r="BF67" s="6" t="str">
        <f>IF(ISBLANK('Paste Full'!BU67),"",'Paste Full'!BU67)</f>
        <v/>
      </c>
      <c r="BG67" s="6" t="str">
        <f>IF(ISBLANK('Paste Full'!BV67),"",'Paste Full'!BV67)</f>
        <v/>
      </c>
      <c r="BH67" s="6" t="str">
        <f>IF(ISBLANK('Paste Full'!BX67),"",'Paste Full'!BX67)</f>
        <v/>
      </c>
      <c r="BI67" s="6" t="str">
        <f>IF(ISBLANK('Paste Full'!BY67),"",'Paste Full'!BY67)</f>
        <v/>
      </c>
      <c r="BJ67" s="13" t="str">
        <f>IF(ISBLANK('Paste Full'!BL67),"",'Paste Full'!BL67)</f>
        <v/>
      </c>
      <c r="BK67" s="13" t="str">
        <f>IF(ISBLANK('Paste Full'!BQ67),"",'Paste Full'!BQ67)</f>
        <v/>
      </c>
      <c r="BL67" s="13" t="str">
        <f>IF(ISBLANK('Paste Full'!BT67),"",'Paste Full'!BT67)</f>
        <v/>
      </c>
      <c r="BM67" s="13" t="str">
        <f>IF(ISBLANK('Paste Full'!BW67),"",'Paste Full'!BW67)</f>
        <v/>
      </c>
      <c r="BN67" s="41" t="str">
        <f>IF(ISBLANK('Paste Full'!BZ67),"",'Paste Full'!BZ67)</f>
        <v/>
      </c>
      <c r="BO67" s="41" t="str">
        <f>IF(ISBLANK('Paste Full'!CA67),"",'Paste Full'!CA67)</f>
        <v/>
      </c>
      <c r="BP67" s="41" t="str">
        <f>IF(ISBLANK('Paste Full'!CB67),"",'Paste Full'!CB67)</f>
        <v/>
      </c>
      <c r="BQ67" s="41" t="str">
        <f>IF(ISBLANK('Paste Full'!CC67),"",'Paste Full'!CC67)</f>
        <v/>
      </c>
      <c r="BR67" s="41" t="str">
        <f>IF(ISBLANK('Paste Full'!CD67),"",'Paste Full'!CD67)</f>
        <v/>
      </c>
      <c r="BS67" s="41" t="str">
        <f>IF(ISBLANK('Paste Full'!CE67),"",'Paste Full'!CE67)</f>
        <v/>
      </c>
      <c r="BT67" s="41" t="str">
        <f>IF(ISBLANK('Paste Full'!CF67),"",'Paste Full'!CF67)</f>
        <v/>
      </c>
      <c r="BU67" s="41" t="str">
        <f>IF(ISBLANK('Paste Full'!CG67),"",'Paste Full'!CG67)</f>
        <v/>
      </c>
      <c r="BV67" s="41" t="str">
        <f>IF(ISBLANK('Paste Full'!CH67),"",'Paste Full'!CH67)</f>
        <v/>
      </c>
    </row>
    <row r="68" spans="1:74" x14ac:dyDescent="0.3">
      <c r="A68" t="str">
        <f>IF(ISBLANK('Paste Full'!C68),"",'Paste Full'!C68)</f>
        <v/>
      </c>
      <c r="B68" t="str">
        <f t="shared" si="2"/>
        <v>Striker</v>
      </c>
      <c r="C68" s="2" t="str">
        <f>IF(ISBLANK('Paste Full'!H68),"",'Paste Full'!H68)</f>
        <v/>
      </c>
      <c r="D68" s="2" t="str">
        <f>IF(ISBLANK('Paste Full'!F68),"",'Paste Full'!F68)</f>
        <v/>
      </c>
      <c r="E68" s="2" t="str">
        <f>IF(ISBLANK('Paste Full'!G68),"",'Paste Full'!G68)</f>
        <v/>
      </c>
      <c r="F68" s="21" t="str">
        <f>IF(ISBLANK('Paste Full'!E68),"",'Paste Full'!E68)</f>
        <v/>
      </c>
      <c r="G68" t="str">
        <f>IF(ISBLANK('Paste Full'!CI68),"",'Paste Full'!CI68)</f>
        <v/>
      </c>
      <c r="H68" s="21" t="str">
        <f>IF(ISBLANK('Paste Full'!J68),"",'Paste Full'!J68)</f>
        <v/>
      </c>
      <c r="I68" s="21" t="str">
        <f>IF(ISBLANK('Paste Full'!D68),"",'Paste Full'!D68)</f>
        <v/>
      </c>
      <c r="J68" s="14">
        <f>AVERAGE(SUMPRODUCT($S68:$BM68,AttWeights!$C$10:$AW$10)/SUM(AttWeights!$C$10:$AW$10),SUMPRODUCT($S68:$BM68,AttWeights!$C$17:$AW$17)/SUM(AttWeights!$C$17:$AW$17))*10</f>
        <v>0</v>
      </c>
      <c r="K68" s="14">
        <f>AVERAGE(SUMPRODUCT($S68:$BM68,AttWeights!$C$7:$AW$7)/SUM(AttWeights!$C$7:$AW$7),SUMPRODUCT($S68:$BM68,AttWeights!$C$15:$AW$15)/SUM(AttWeights!$C$15:$AW$15))*10</f>
        <v>0</v>
      </c>
      <c r="L68" s="14">
        <f>AVERAGE(SUMPRODUCT($S68:$BM68,AttWeights!$C$8:$AW$8)/SUM(AttWeights!$C$8:$AW$8),SUMPRODUCT($S68:$BM68,AttWeights!$C$16:$AW$16)/SUM(AttWeights!$C$16:$AW$16))*10</f>
        <v>0</v>
      </c>
      <c r="M68" s="14">
        <f>AVERAGE(SUMPRODUCT($S68:$BM68,AttWeights!$C$9:$AW$9)/SUM(AttWeights!$C$9:$AW$9),SUMPRODUCT($S68:$BM68,AttWeights!$C$15:$AW$15)/SUM(AttWeights!$C$15:$AW$15))*10</f>
        <v>0</v>
      </c>
      <c r="N68" s="14">
        <f>AVERAGE(SUMPRODUCT($S68:$BM68,AttWeights!$C$6:$AW$6)/SUM(AttWeights!$C$6:$AW$6),SUMPRODUCT($S68:$BM68,AttWeights!$C$14:$AW$14)/SUM(AttWeights!$C$14:$AW$14))*10</f>
        <v>0</v>
      </c>
      <c r="O68" s="14">
        <f>AVERAGE(SUMPRODUCT($S68:$BM68,AttWeights!$C$5:$AW$5)/SUM(AttWeights!$C$5:$AW$5),SUMPRODUCT($S68:$BM68,AttWeights!$C$14:$AW$14)/SUM(AttWeights!$C$14:$AW$14))*10</f>
        <v>0</v>
      </c>
      <c r="P68" s="14">
        <f>AVERAGE(SUMPRODUCT($S68:$BM68,AttWeights!$C$4:$AW$4)/SUM(AttWeights!$C$4:$AW$4),SUMPRODUCT($S68:$BM68,AttWeights!$C$13:$AW$13)/SUM(AttWeights!$C$13:$AW$13))*10</f>
        <v>0</v>
      </c>
      <c r="Q68" s="14">
        <f>AVERAGE(SUMPRODUCT($S68:$BM68,AttWeights!$C$3:$AW$3)/SUM(AttWeights!$C$3:$AW$3),SUMPRODUCT($S68:$BM68,AttWeights!$C$12:$AW$12)/SUM(AttWeights!$C$12:$AW$12))*10</f>
        <v>0</v>
      </c>
      <c r="R68" s="14">
        <f>AVERAGE(SUMPRODUCT($S68:$BM68,AttWeights!$C$2:$AW$2)/SUM(AttWeights!$C$2:$AW$2),SUMPRODUCT($S68:$BM68,AttWeights!$C$11:$AW$11)/SUM(AttWeights!$C$11:$AW$11))*10</f>
        <v>0</v>
      </c>
      <c r="S68" s="3" t="str">
        <f>IF(ISBLANK('Paste Full'!AC68),"",'Paste Full'!AC68)</f>
        <v/>
      </c>
      <c r="T68" s="3" t="str">
        <f>IF(ISBLANK('Paste Full'!AD68),"",'Paste Full'!AD68)</f>
        <v/>
      </c>
      <c r="U68" s="3" t="str">
        <f>IF(ISBLANK('Paste Full'!AE68),"",'Paste Full'!AE68)</f>
        <v/>
      </c>
      <c r="V68" s="3" t="str">
        <f>IF(ISBLANK('Paste Full'!AF68),"",'Paste Full'!AF68)</f>
        <v/>
      </c>
      <c r="W68" s="3" t="str">
        <f>IF(ISBLANK('Paste Full'!AH68),"",'Paste Full'!AH68)</f>
        <v/>
      </c>
      <c r="X68" s="3" t="str">
        <f>IF(ISBLANK('Paste Full'!AI68),"",'Paste Full'!AI68)</f>
        <v/>
      </c>
      <c r="Y68" s="3" t="str">
        <f>IF(ISBLANK('Paste Full'!AK68),"",'Paste Full'!AK68)</f>
        <v/>
      </c>
      <c r="Z68" s="3" t="str">
        <f>IF(ISBLANK('Paste Full'!AL68),"",'Paste Full'!AL68)</f>
        <v/>
      </c>
      <c r="AA68" s="4" t="str">
        <f>IF(ISBLANK('Paste Full'!AM68),"",'Paste Full'!AM68)</f>
        <v/>
      </c>
      <c r="AB68" s="4" t="str">
        <f>IF(ISBLANK('Paste Full'!AN68),"",'Paste Full'!AN68)</f>
        <v/>
      </c>
      <c r="AC68" s="4" t="str">
        <f>IF(ISBLANK('Paste Full'!AO68),"",'Paste Full'!AO68)</f>
        <v/>
      </c>
      <c r="AD68" s="4" t="str">
        <f>IF(ISBLANK('Paste Full'!AP68),"",'Paste Full'!AP68)</f>
        <v/>
      </c>
      <c r="AE68" s="4" t="str">
        <f>IF(ISBLANK('Paste Full'!AQ68),"",'Paste Full'!AQ68)</f>
        <v/>
      </c>
      <c r="AF68" s="4" t="str">
        <f>IF(ISBLANK('Paste Full'!AR68),"",'Paste Full'!AR68)</f>
        <v/>
      </c>
      <c r="AG68" s="4" t="str">
        <f>IF(ISBLANK('Paste Full'!AS68),"",'Paste Full'!AS68)</f>
        <v/>
      </c>
      <c r="AH68" s="4" t="str">
        <f>IF(ISBLANK('Paste Full'!AV68),"",'Paste Full'!AV68)</f>
        <v/>
      </c>
      <c r="AI68" s="4" t="str">
        <f>IF(ISBLANK('Paste Full'!AT68),"",'Paste Full'!AT68)</f>
        <v/>
      </c>
      <c r="AJ68" s="4" t="str">
        <f>IF(ISBLANK('Paste Full'!AU68),"",'Paste Full'!AU68)</f>
        <v/>
      </c>
      <c r="AK68" s="4" t="str">
        <f>IF(ISBLANK('Paste Full'!AW68),"",'Paste Full'!AW68)</f>
        <v/>
      </c>
      <c r="AL68" s="5" t="str">
        <f>IF(ISBLANK('Paste Full'!AX68),"",'Paste Full'!AX68)</f>
        <v/>
      </c>
      <c r="AM68" s="5" t="str">
        <f>IF(ISBLANK('Paste Full'!AY68),"",'Paste Full'!AY68)</f>
        <v/>
      </c>
      <c r="AN68" s="5" t="str">
        <f>IF(ISBLANK('Paste Full'!AZ68),"",'Paste Full'!AZ68)</f>
        <v/>
      </c>
      <c r="AO68" s="5" t="str">
        <f>IF(ISBLANK('Paste Full'!BA68),"",'Paste Full'!BA68)</f>
        <v/>
      </c>
      <c r="AP68" s="5" t="str">
        <f>IF(ISBLANK('Paste Full'!BB68),"",'Paste Full'!BB68)</f>
        <v/>
      </c>
      <c r="AQ68" s="5" t="str">
        <f>IF(ISBLANK('Paste Full'!BC68),"",'Paste Full'!BC68)</f>
        <v/>
      </c>
      <c r="AR68" s="5" t="str">
        <f>IF(ISBLANK('Paste Full'!BD68),"",'Paste Full'!BD68)</f>
        <v/>
      </c>
      <c r="AS68" s="5" t="str">
        <f>IF(ISBLANK('Paste Full'!BE68),"",'Paste Full'!BE68)</f>
        <v/>
      </c>
      <c r="AT68" s="5" t="str">
        <f>IF(ISBLANK('Paste Full'!BF68),"",'Paste Full'!BF68)</f>
        <v/>
      </c>
      <c r="AU68" s="5" t="str">
        <f>IF(ISBLANK('Paste Full'!BG68),"",'Paste Full'!BG68)</f>
        <v/>
      </c>
      <c r="AV68" s="5" t="str">
        <f>IF(ISBLANK('Paste Full'!BH68),"",'Paste Full'!BH68)</f>
        <v/>
      </c>
      <c r="AW68" s="5" t="str">
        <f>IF(ISBLANK('Paste Full'!BI68),"",'Paste Full'!BI68)</f>
        <v/>
      </c>
      <c r="AX68" s="5" t="str">
        <f>IF(ISBLANK('Paste Full'!BJ68),"",'Paste Full'!BJ68)</f>
        <v/>
      </c>
      <c r="AY68" s="5" t="str">
        <f>IF(ISBLANK('Paste Full'!BK68),"",'Paste Full'!BK68)</f>
        <v/>
      </c>
      <c r="AZ68" s="6" t="str">
        <f>IF(ISBLANK('Paste Full'!BM68),"",'Paste Full'!BM68)</f>
        <v/>
      </c>
      <c r="BA68" s="6" t="str">
        <f>IF(ISBLANK('Paste Full'!BN68),"",'Paste Full'!BN68)</f>
        <v/>
      </c>
      <c r="BB68" s="6" t="str">
        <f>IF(ISBLANK('Paste Full'!BO68),"",'Paste Full'!BO68)</f>
        <v/>
      </c>
      <c r="BC68" s="6" t="str">
        <f>IF(ISBLANK('Paste Full'!BP68),"",'Paste Full'!BP68)</f>
        <v/>
      </c>
      <c r="BD68" s="6" t="str">
        <f>IF(ISBLANK('Paste Full'!BR68),"",'Paste Full'!BR68)</f>
        <v/>
      </c>
      <c r="BE68" s="6" t="str">
        <f>IF(ISBLANK('Paste Full'!BS68),"",'Paste Full'!BS68)</f>
        <v/>
      </c>
      <c r="BF68" s="6" t="str">
        <f>IF(ISBLANK('Paste Full'!BU68),"",'Paste Full'!BU68)</f>
        <v/>
      </c>
      <c r="BG68" s="6" t="str">
        <f>IF(ISBLANK('Paste Full'!BV68),"",'Paste Full'!BV68)</f>
        <v/>
      </c>
      <c r="BH68" s="6" t="str">
        <f>IF(ISBLANK('Paste Full'!BX68),"",'Paste Full'!BX68)</f>
        <v/>
      </c>
      <c r="BI68" s="6" t="str">
        <f>IF(ISBLANK('Paste Full'!BY68),"",'Paste Full'!BY68)</f>
        <v/>
      </c>
      <c r="BJ68" s="13" t="str">
        <f>IF(ISBLANK('Paste Full'!BL68),"",'Paste Full'!BL68)</f>
        <v/>
      </c>
      <c r="BK68" s="13" t="str">
        <f>IF(ISBLANK('Paste Full'!BQ68),"",'Paste Full'!BQ68)</f>
        <v/>
      </c>
      <c r="BL68" s="13" t="str">
        <f>IF(ISBLANK('Paste Full'!BT68),"",'Paste Full'!BT68)</f>
        <v/>
      </c>
      <c r="BM68" s="13" t="str">
        <f>IF(ISBLANK('Paste Full'!BW68),"",'Paste Full'!BW68)</f>
        <v/>
      </c>
      <c r="BN68" s="41" t="str">
        <f>IF(ISBLANK('Paste Full'!BZ68),"",'Paste Full'!BZ68)</f>
        <v/>
      </c>
      <c r="BO68" s="41" t="str">
        <f>IF(ISBLANK('Paste Full'!CA68),"",'Paste Full'!CA68)</f>
        <v/>
      </c>
      <c r="BP68" s="41" t="str">
        <f>IF(ISBLANK('Paste Full'!CB68),"",'Paste Full'!CB68)</f>
        <v/>
      </c>
      <c r="BQ68" s="41" t="str">
        <f>IF(ISBLANK('Paste Full'!CC68),"",'Paste Full'!CC68)</f>
        <v/>
      </c>
      <c r="BR68" s="41" t="str">
        <f>IF(ISBLANK('Paste Full'!CD68),"",'Paste Full'!CD68)</f>
        <v/>
      </c>
      <c r="BS68" s="41" t="str">
        <f>IF(ISBLANK('Paste Full'!CE68),"",'Paste Full'!CE68)</f>
        <v/>
      </c>
      <c r="BT68" s="41" t="str">
        <f>IF(ISBLANK('Paste Full'!CF68),"",'Paste Full'!CF68)</f>
        <v/>
      </c>
      <c r="BU68" s="41" t="str">
        <f>IF(ISBLANK('Paste Full'!CG68),"",'Paste Full'!CG68)</f>
        <v/>
      </c>
      <c r="BV68" s="41" t="str">
        <f>IF(ISBLANK('Paste Full'!CH68),"",'Paste Full'!CH68)</f>
        <v/>
      </c>
    </row>
    <row r="69" spans="1:74" x14ac:dyDescent="0.3">
      <c r="A69" t="str">
        <f>IF(ISBLANK('Paste Full'!C69),"",'Paste Full'!C69)</f>
        <v/>
      </c>
      <c r="B69" t="str">
        <f t="shared" si="2"/>
        <v>Striker</v>
      </c>
      <c r="C69" s="2" t="str">
        <f>IF(ISBLANK('Paste Full'!H69),"",'Paste Full'!H69)</f>
        <v/>
      </c>
      <c r="D69" s="2" t="str">
        <f>IF(ISBLANK('Paste Full'!F69),"",'Paste Full'!F69)</f>
        <v/>
      </c>
      <c r="E69" s="2" t="str">
        <f>IF(ISBLANK('Paste Full'!G69),"",'Paste Full'!G69)</f>
        <v/>
      </c>
      <c r="F69" s="21" t="str">
        <f>IF(ISBLANK('Paste Full'!E69),"",'Paste Full'!E69)</f>
        <v/>
      </c>
      <c r="G69" t="str">
        <f>IF(ISBLANK('Paste Full'!CI69),"",'Paste Full'!CI69)</f>
        <v/>
      </c>
      <c r="H69" s="21" t="str">
        <f>IF(ISBLANK('Paste Full'!J69),"",'Paste Full'!J69)</f>
        <v/>
      </c>
      <c r="I69" s="21" t="str">
        <f>IF(ISBLANK('Paste Full'!D69),"",'Paste Full'!D69)</f>
        <v/>
      </c>
      <c r="J69" s="14">
        <f>AVERAGE(SUMPRODUCT($S69:$BM69,AttWeights!$C$10:$AW$10)/SUM(AttWeights!$C$10:$AW$10),SUMPRODUCT($S69:$BM69,AttWeights!$C$17:$AW$17)/SUM(AttWeights!$C$17:$AW$17))*10</f>
        <v>0</v>
      </c>
      <c r="K69" s="14">
        <f>AVERAGE(SUMPRODUCT($S69:$BM69,AttWeights!$C$7:$AW$7)/SUM(AttWeights!$C$7:$AW$7),SUMPRODUCT($S69:$BM69,AttWeights!$C$15:$AW$15)/SUM(AttWeights!$C$15:$AW$15))*10</f>
        <v>0</v>
      </c>
      <c r="L69" s="14">
        <f>AVERAGE(SUMPRODUCT($S69:$BM69,AttWeights!$C$8:$AW$8)/SUM(AttWeights!$C$8:$AW$8),SUMPRODUCT($S69:$BM69,AttWeights!$C$16:$AW$16)/SUM(AttWeights!$C$16:$AW$16))*10</f>
        <v>0</v>
      </c>
      <c r="M69" s="14">
        <f>AVERAGE(SUMPRODUCT($S69:$BM69,AttWeights!$C$9:$AW$9)/SUM(AttWeights!$C$9:$AW$9),SUMPRODUCT($S69:$BM69,AttWeights!$C$15:$AW$15)/SUM(AttWeights!$C$15:$AW$15))*10</f>
        <v>0</v>
      </c>
      <c r="N69" s="14">
        <f>AVERAGE(SUMPRODUCT($S69:$BM69,AttWeights!$C$6:$AW$6)/SUM(AttWeights!$C$6:$AW$6),SUMPRODUCT($S69:$BM69,AttWeights!$C$14:$AW$14)/SUM(AttWeights!$C$14:$AW$14))*10</f>
        <v>0</v>
      </c>
      <c r="O69" s="14">
        <f>AVERAGE(SUMPRODUCT($S69:$BM69,AttWeights!$C$5:$AW$5)/SUM(AttWeights!$C$5:$AW$5),SUMPRODUCT($S69:$BM69,AttWeights!$C$14:$AW$14)/SUM(AttWeights!$C$14:$AW$14))*10</f>
        <v>0</v>
      </c>
      <c r="P69" s="14">
        <f>AVERAGE(SUMPRODUCT($S69:$BM69,AttWeights!$C$4:$AW$4)/SUM(AttWeights!$C$4:$AW$4),SUMPRODUCT($S69:$BM69,AttWeights!$C$13:$AW$13)/SUM(AttWeights!$C$13:$AW$13))*10</f>
        <v>0</v>
      </c>
      <c r="Q69" s="14">
        <f>AVERAGE(SUMPRODUCT($S69:$BM69,AttWeights!$C$3:$AW$3)/SUM(AttWeights!$C$3:$AW$3),SUMPRODUCT($S69:$BM69,AttWeights!$C$12:$AW$12)/SUM(AttWeights!$C$12:$AW$12))*10</f>
        <v>0</v>
      </c>
      <c r="R69" s="14">
        <f>AVERAGE(SUMPRODUCT($S69:$BM69,AttWeights!$C$2:$AW$2)/SUM(AttWeights!$C$2:$AW$2),SUMPRODUCT($S69:$BM69,AttWeights!$C$11:$AW$11)/SUM(AttWeights!$C$11:$AW$11))*10</f>
        <v>0</v>
      </c>
      <c r="S69" s="3" t="str">
        <f>IF(ISBLANK('Paste Full'!AC69),"",'Paste Full'!AC69)</f>
        <v/>
      </c>
      <c r="T69" s="3" t="str">
        <f>IF(ISBLANK('Paste Full'!AD69),"",'Paste Full'!AD69)</f>
        <v/>
      </c>
      <c r="U69" s="3" t="str">
        <f>IF(ISBLANK('Paste Full'!AE69),"",'Paste Full'!AE69)</f>
        <v/>
      </c>
      <c r="V69" s="3" t="str">
        <f>IF(ISBLANK('Paste Full'!AF69),"",'Paste Full'!AF69)</f>
        <v/>
      </c>
      <c r="W69" s="3" t="str">
        <f>IF(ISBLANK('Paste Full'!AH69),"",'Paste Full'!AH69)</f>
        <v/>
      </c>
      <c r="X69" s="3" t="str">
        <f>IF(ISBLANK('Paste Full'!AI69),"",'Paste Full'!AI69)</f>
        <v/>
      </c>
      <c r="Y69" s="3" t="str">
        <f>IF(ISBLANK('Paste Full'!AK69),"",'Paste Full'!AK69)</f>
        <v/>
      </c>
      <c r="Z69" s="3" t="str">
        <f>IF(ISBLANK('Paste Full'!AL69),"",'Paste Full'!AL69)</f>
        <v/>
      </c>
      <c r="AA69" s="4" t="str">
        <f>IF(ISBLANK('Paste Full'!AM69),"",'Paste Full'!AM69)</f>
        <v/>
      </c>
      <c r="AB69" s="4" t="str">
        <f>IF(ISBLANK('Paste Full'!AN69),"",'Paste Full'!AN69)</f>
        <v/>
      </c>
      <c r="AC69" s="4" t="str">
        <f>IF(ISBLANK('Paste Full'!AO69),"",'Paste Full'!AO69)</f>
        <v/>
      </c>
      <c r="AD69" s="4" t="str">
        <f>IF(ISBLANK('Paste Full'!AP69),"",'Paste Full'!AP69)</f>
        <v/>
      </c>
      <c r="AE69" s="4" t="str">
        <f>IF(ISBLANK('Paste Full'!AQ69),"",'Paste Full'!AQ69)</f>
        <v/>
      </c>
      <c r="AF69" s="4" t="str">
        <f>IF(ISBLANK('Paste Full'!AR69),"",'Paste Full'!AR69)</f>
        <v/>
      </c>
      <c r="AG69" s="4" t="str">
        <f>IF(ISBLANK('Paste Full'!AS69),"",'Paste Full'!AS69)</f>
        <v/>
      </c>
      <c r="AH69" s="4" t="str">
        <f>IF(ISBLANK('Paste Full'!AV69),"",'Paste Full'!AV69)</f>
        <v/>
      </c>
      <c r="AI69" s="4" t="str">
        <f>IF(ISBLANK('Paste Full'!AT69),"",'Paste Full'!AT69)</f>
        <v/>
      </c>
      <c r="AJ69" s="4" t="str">
        <f>IF(ISBLANK('Paste Full'!AU69),"",'Paste Full'!AU69)</f>
        <v/>
      </c>
      <c r="AK69" s="4" t="str">
        <f>IF(ISBLANK('Paste Full'!AW69),"",'Paste Full'!AW69)</f>
        <v/>
      </c>
      <c r="AL69" s="5" t="str">
        <f>IF(ISBLANK('Paste Full'!AX69),"",'Paste Full'!AX69)</f>
        <v/>
      </c>
      <c r="AM69" s="5" t="str">
        <f>IF(ISBLANK('Paste Full'!AY69),"",'Paste Full'!AY69)</f>
        <v/>
      </c>
      <c r="AN69" s="5" t="str">
        <f>IF(ISBLANK('Paste Full'!AZ69),"",'Paste Full'!AZ69)</f>
        <v/>
      </c>
      <c r="AO69" s="5" t="str">
        <f>IF(ISBLANK('Paste Full'!BA69),"",'Paste Full'!BA69)</f>
        <v/>
      </c>
      <c r="AP69" s="5" t="str">
        <f>IF(ISBLANK('Paste Full'!BB69),"",'Paste Full'!BB69)</f>
        <v/>
      </c>
      <c r="AQ69" s="5" t="str">
        <f>IF(ISBLANK('Paste Full'!BC69),"",'Paste Full'!BC69)</f>
        <v/>
      </c>
      <c r="AR69" s="5" t="str">
        <f>IF(ISBLANK('Paste Full'!BD69),"",'Paste Full'!BD69)</f>
        <v/>
      </c>
      <c r="AS69" s="5" t="str">
        <f>IF(ISBLANK('Paste Full'!BE69),"",'Paste Full'!BE69)</f>
        <v/>
      </c>
      <c r="AT69" s="5" t="str">
        <f>IF(ISBLANK('Paste Full'!BF69),"",'Paste Full'!BF69)</f>
        <v/>
      </c>
      <c r="AU69" s="5" t="str">
        <f>IF(ISBLANK('Paste Full'!BG69),"",'Paste Full'!BG69)</f>
        <v/>
      </c>
      <c r="AV69" s="5" t="str">
        <f>IF(ISBLANK('Paste Full'!BH69),"",'Paste Full'!BH69)</f>
        <v/>
      </c>
      <c r="AW69" s="5" t="str">
        <f>IF(ISBLANK('Paste Full'!BI69),"",'Paste Full'!BI69)</f>
        <v/>
      </c>
      <c r="AX69" s="5" t="str">
        <f>IF(ISBLANK('Paste Full'!BJ69),"",'Paste Full'!BJ69)</f>
        <v/>
      </c>
      <c r="AY69" s="5" t="str">
        <f>IF(ISBLANK('Paste Full'!BK69),"",'Paste Full'!BK69)</f>
        <v/>
      </c>
      <c r="AZ69" s="6" t="str">
        <f>IF(ISBLANK('Paste Full'!BM69),"",'Paste Full'!BM69)</f>
        <v/>
      </c>
      <c r="BA69" s="6" t="str">
        <f>IF(ISBLANK('Paste Full'!BN69),"",'Paste Full'!BN69)</f>
        <v/>
      </c>
      <c r="BB69" s="6" t="str">
        <f>IF(ISBLANK('Paste Full'!BO69),"",'Paste Full'!BO69)</f>
        <v/>
      </c>
      <c r="BC69" s="6" t="str">
        <f>IF(ISBLANK('Paste Full'!BP69),"",'Paste Full'!BP69)</f>
        <v/>
      </c>
      <c r="BD69" s="6" t="str">
        <f>IF(ISBLANK('Paste Full'!BR69),"",'Paste Full'!BR69)</f>
        <v/>
      </c>
      <c r="BE69" s="6" t="str">
        <f>IF(ISBLANK('Paste Full'!BS69),"",'Paste Full'!BS69)</f>
        <v/>
      </c>
      <c r="BF69" s="6" t="str">
        <f>IF(ISBLANK('Paste Full'!BU69),"",'Paste Full'!BU69)</f>
        <v/>
      </c>
      <c r="BG69" s="6" t="str">
        <f>IF(ISBLANK('Paste Full'!BV69),"",'Paste Full'!BV69)</f>
        <v/>
      </c>
      <c r="BH69" s="6" t="str">
        <f>IF(ISBLANK('Paste Full'!BX69),"",'Paste Full'!BX69)</f>
        <v/>
      </c>
      <c r="BI69" s="6" t="str">
        <f>IF(ISBLANK('Paste Full'!BY69),"",'Paste Full'!BY69)</f>
        <v/>
      </c>
      <c r="BJ69" s="13" t="str">
        <f>IF(ISBLANK('Paste Full'!BL69),"",'Paste Full'!BL69)</f>
        <v/>
      </c>
      <c r="BK69" s="13" t="str">
        <f>IF(ISBLANK('Paste Full'!BQ69),"",'Paste Full'!BQ69)</f>
        <v/>
      </c>
      <c r="BL69" s="13" t="str">
        <f>IF(ISBLANK('Paste Full'!BT69),"",'Paste Full'!BT69)</f>
        <v/>
      </c>
      <c r="BM69" s="13" t="str">
        <f>IF(ISBLANK('Paste Full'!BW69),"",'Paste Full'!BW69)</f>
        <v/>
      </c>
      <c r="BN69" s="41" t="str">
        <f>IF(ISBLANK('Paste Full'!BZ69),"",'Paste Full'!BZ69)</f>
        <v/>
      </c>
      <c r="BO69" s="41" t="str">
        <f>IF(ISBLANK('Paste Full'!CA69),"",'Paste Full'!CA69)</f>
        <v/>
      </c>
      <c r="BP69" s="41" t="str">
        <f>IF(ISBLANK('Paste Full'!CB69),"",'Paste Full'!CB69)</f>
        <v/>
      </c>
      <c r="BQ69" s="41" t="str">
        <f>IF(ISBLANK('Paste Full'!CC69),"",'Paste Full'!CC69)</f>
        <v/>
      </c>
      <c r="BR69" s="41" t="str">
        <f>IF(ISBLANK('Paste Full'!CD69),"",'Paste Full'!CD69)</f>
        <v/>
      </c>
      <c r="BS69" s="41" t="str">
        <f>IF(ISBLANK('Paste Full'!CE69),"",'Paste Full'!CE69)</f>
        <v/>
      </c>
      <c r="BT69" s="41" t="str">
        <f>IF(ISBLANK('Paste Full'!CF69),"",'Paste Full'!CF69)</f>
        <v/>
      </c>
      <c r="BU69" s="41" t="str">
        <f>IF(ISBLANK('Paste Full'!CG69),"",'Paste Full'!CG69)</f>
        <v/>
      </c>
      <c r="BV69" s="41" t="str">
        <f>IF(ISBLANK('Paste Full'!CH69),"",'Paste Full'!CH69)</f>
        <v/>
      </c>
    </row>
    <row r="70" spans="1:74" x14ac:dyDescent="0.3">
      <c r="A70" t="str">
        <f>IF(ISBLANK('Paste Full'!C70),"",'Paste Full'!C70)</f>
        <v/>
      </c>
      <c r="B70" t="str">
        <f t="shared" si="2"/>
        <v>Striker</v>
      </c>
      <c r="C70" s="2" t="str">
        <f>IF(ISBLANK('Paste Full'!H70),"",'Paste Full'!H70)</f>
        <v/>
      </c>
      <c r="D70" s="2" t="str">
        <f>IF(ISBLANK('Paste Full'!F70),"",'Paste Full'!F70)</f>
        <v/>
      </c>
      <c r="E70" s="2" t="str">
        <f>IF(ISBLANK('Paste Full'!G70),"",'Paste Full'!G70)</f>
        <v/>
      </c>
      <c r="F70" s="21" t="str">
        <f>IF(ISBLANK('Paste Full'!E70),"",'Paste Full'!E70)</f>
        <v/>
      </c>
      <c r="G70" t="str">
        <f>IF(ISBLANK('Paste Full'!CI70),"",'Paste Full'!CI70)</f>
        <v/>
      </c>
      <c r="H70" s="21" t="str">
        <f>IF(ISBLANK('Paste Full'!J70),"",'Paste Full'!J70)</f>
        <v/>
      </c>
      <c r="I70" s="21" t="str">
        <f>IF(ISBLANK('Paste Full'!D70),"",'Paste Full'!D70)</f>
        <v/>
      </c>
      <c r="J70" s="14">
        <f>AVERAGE(SUMPRODUCT($S70:$BM70,AttWeights!$C$10:$AW$10)/SUM(AttWeights!$C$10:$AW$10),SUMPRODUCT($S70:$BM70,AttWeights!$C$17:$AW$17)/SUM(AttWeights!$C$17:$AW$17))*10</f>
        <v>0</v>
      </c>
      <c r="K70" s="14">
        <f>AVERAGE(SUMPRODUCT($S70:$BM70,AttWeights!$C$7:$AW$7)/SUM(AttWeights!$C$7:$AW$7),SUMPRODUCT($S70:$BM70,AttWeights!$C$15:$AW$15)/SUM(AttWeights!$C$15:$AW$15))*10</f>
        <v>0</v>
      </c>
      <c r="L70" s="14">
        <f>AVERAGE(SUMPRODUCT($S70:$BM70,AttWeights!$C$8:$AW$8)/SUM(AttWeights!$C$8:$AW$8),SUMPRODUCT($S70:$BM70,AttWeights!$C$16:$AW$16)/SUM(AttWeights!$C$16:$AW$16))*10</f>
        <v>0</v>
      </c>
      <c r="M70" s="14">
        <f>AVERAGE(SUMPRODUCT($S70:$BM70,AttWeights!$C$9:$AW$9)/SUM(AttWeights!$C$9:$AW$9),SUMPRODUCT($S70:$BM70,AttWeights!$C$15:$AW$15)/SUM(AttWeights!$C$15:$AW$15))*10</f>
        <v>0</v>
      </c>
      <c r="N70" s="14">
        <f>AVERAGE(SUMPRODUCT($S70:$BM70,AttWeights!$C$6:$AW$6)/SUM(AttWeights!$C$6:$AW$6),SUMPRODUCT($S70:$BM70,AttWeights!$C$14:$AW$14)/SUM(AttWeights!$C$14:$AW$14))*10</f>
        <v>0</v>
      </c>
      <c r="O70" s="14">
        <f>AVERAGE(SUMPRODUCT($S70:$BM70,AttWeights!$C$5:$AW$5)/SUM(AttWeights!$C$5:$AW$5),SUMPRODUCT($S70:$BM70,AttWeights!$C$14:$AW$14)/SUM(AttWeights!$C$14:$AW$14))*10</f>
        <v>0</v>
      </c>
      <c r="P70" s="14">
        <f>AVERAGE(SUMPRODUCT($S70:$BM70,AttWeights!$C$4:$AW$4)/SUM(AttWeights!$C$4:$AW$4),SUMPRODUCT($S70:$BM70,AttWeights!$C$13:$AW$13)/SUM(AttWeights!$C$13:$AW$13))*10</f>
        <v>0</v>
      </c>
      <c r="Q70" s="14">
        <f>AVERAGE(SUMPRODUCT($S70:$BM70,AttWeights!$C$3:$AW$3)/SUM(AttWeights!$C$3:$AW$3),SUMPRODUCT($S70:$BM70,AttWeights!$C$12:$AW$12)/SUM(AttWeights!$C$12:$AW$12))*10</f>
        <v>0</v>
      </c>
      <c r="R70" s="14">
        <f>AVERAGE(SUMPRODUCT($S70:$BM70,AttWeights!$C$2:$AW$2)/SUM(AttWeights!$C$2:$AW$2),SUMPRODUCT($S70:$BM70,AttWeights!$C$11:$AW$11)/SUM(AttWeights!$C$11:$AW$11))*10</f>
        <v>0</v>
      </c>
      <c r="S70" s="3" t="str">
        <f>IF(ISBLANK('Paste Full'!AC70),"",'Paste Full'!AC70)</f>
        <v/>
      </c>
      <c r="T70" s="3" t="str">
        <f>IF(ISBLANK('Paste Full'!AD70),"",'Paste Full'!AD70)</f>
        <v/>
      </c>
      <c r="U70" s="3" t="str">
        <f>IF(ISBLANK('Paste Full'!AE70),"",'Paste Full'!AE70)</f>
        <v/>
      </c>
      <c r="V70" s="3" t="str">
        <f>IF(ISBLANK('Paste Full'!AF70),"",'Paste Full'!AF70)</f>
        <v/>
      </c>
      <c r="W70" s="3" t="str">
        <f>IF(ISBLANK('Paste Full'!AH70),"",'Paste Full'!AH70)</f>
        <v/>
      </c>
      <c r="X70" s="3" t="str">
        <f>IF(ISBLANK('Paste Full'!AI70),"",'Paste Full'!AI70)</f>
        <v/>
      </c>
      <c r="Y70" s="3" t="str">
        <f>IF(ISBLANK('Paste Full'!AK70),"",'Paste Full'!AK70)</f>
        <v/>
      </c>
      <c r="Z70" s="3" t="str">
        <f>IF(ISBLANK('Paste Full'!AL70),"",'Paste Full'!AL70)</f>
        <v/>
      </c>
      <c r="AA70" s="4" t="str">
        <f>IF(ISBLANK('Paste Full'!AM70),"",'Paste Full'!AM70)</f>
        <v/>
      </c>
      <c r="AB70" s="4" t="str">
        <f>IF(ISBLANK('Paste Full'!AN70),"",'Paste Full'!AN70)</f>
        <v/>
      </c>
      <c r="AC70" s="4" t="str">
        <f>IF(ISBLANK('Paste Full'!AO70),"",'Paste Full'!AO70)</f>
        <v/>
      </c>
      <c r="AD70" s="4" t="str">
        <f>IF(ISBLANK('Paste Full'!AP70),"",'Paste Full'!AP70)</f>
        <v/>
      </c>
      <c r="AE70" s="4" t="str">
        <f>IF(ISBLANK('Paste Full'!AQ70),"",'Paste Full'!AQ70)</f>
        <v/>
      </c>
      <c r="AF70" s="4" t="str">
        <f>IF(ISBLANK('Paste Full'!AR70),"",'Paste Full'!AR70)</f>
        <v/>
      </c>
      <c r="AG70" s="4" t="str">
        <f>IF(ISBLANK('Paste Full'!AS70),"",'Paste Full'!AS70)</f>
        <v/>
      </c>
      <c r="AH70" s="4" t="str">
        <f>IF(ISBLANK('Paste Full'!AV70),"",'Paste Full'!AV70)</f>
        <v/>
      </c>
      <c r="AI70" s="4" t="str">
        <f>IF(ISBLANK('Paste Full'!AT70),"",'Paste Full'!AT70)</f>
        <v/>
      </c>
      <c r="AJ70" s="4" t="str">
        <f>IF(ISBLANK('Paste Full'!AU70),"",'Paste Full'!AU70)</f>
        <v/>
      </c>
      <c r="AK70" s="4" t="str">
        <f>IF(ISBLANK('Paste Full'!AW70),"",'Paste Full'!AW70)</f>
        <v/>
      </c>
      <c r="AL70" s="5" t="str">
        <f>IF(ISBLANK('Paste Full'!AX70),"",'Paste Full'!AX70)</f>
        <v/>
      </c>
      <c r="AM70" s="5" t="str">
        <f>IF(ISBLANK('Paste Full'!AY70),"",'Paste Full'!AY70)</f>
        <v/>
      </c>
      <c r="AN70" s="5" t="str">
        <f>IF(ISBLANK('Paste Full'!AZ70),"",'Paste Full'!AZ70)</f>
        <v/>
      </c>
      <c r="AO70" s="5" t="str">
        <f>IF(ISBLANK('Paste Full'!BA70),"",'Paste Full'!BA70)</f>
        <v/>
      </c>
      <c r="AP70" s="5" t="str">
        <f>IF(ISBLANK('Paste Full'!BB70),"",'Paste Full'!BB70)</f>
        <v/>
      </c>
      <c r="AQ70" s="5" t="str">
        <f>IF(ISBLANK('Paste Full'!BC70),"",'Paste Full'!BC70)</f>
        <v/>
      </c>
      <c r="AR70" s="5" t="str">
        <f>IF(ISBLANK('Paste Full'!BD70),"",'Paste Full'!BD70)</f>
        <v/>
      </c>
      <c r="AS70" s="5" t="str">
        <f>IF(ISBLANK('Paste Full'!BE70),"",'Paste Full'!BE70)</f>
        <v/>
      </c>
      <c r="AT70" s="5" t="str">
        <f>IF(ISBLANK('Paste Full'!BF70),"",'Paste Full'!BF70)</f>
        <v/>
      </c>
      <c r="AU70" s="5" t="str">
        <f>IF(ISBLANK('Paste Full'!BG70),"",'Paste Full'!BG70)</f>
        <v/>
      </c>
      <c r="AV70" s="5" t="str">
        <f>IF(ISBLANK('Paste Full'!BH70),"",'Paste Full'!BH70)</f>
        <v/>
      </c>
      <c r="AW70" s="5" t="str">
        <f>IF(ISBLANK('Paste Full'!BI70),"",'Paste Full'!BI70)</f>
        <v/>
      </c>
      <c r="AX70" s="5" t="str">
        <f>IF(ISBLANK('Paste Full'!BJ70),"",'Paste Full'!BJ70)</f>
        <v/>
      </c>
      <c r="AY70" s="5" t="str">
        <f>IF(ISBLANK('Paste Full'!BK70),"",'Paste Full'!BK70)</f>
        <v/>
      </c>
      <c r="AZ70" s="6" t="str">
        <f>IF(ISBLANK('Paste Full'!BM70),"",'Paste Full'!BM70)</f>
        <v/>
      </c>
      <c r="BA70" s="6" t="str">
        <f>IF(ISBLANK('Paste Full'!BN70),"",'Paste Full'!BN70)</f>
        <v/>
      </c>
      <c r="BB70" s="6" t="str">
        <f>IF(ISBLANK('Paste Full'!BO70),"",'Paste Full'!BO70)</f>
        <v/>
      </c>
      <c r="BC70" s="6" t="str">
        <f>IF(ISBLANK('Paste Full'!BP70),"",'Paste Full'!BP70)</f>
        <v/>
      </c>
      <c r="BD70" s="6" t="str">
        <f>IF(ISBLANK('Paste Full'!BR70),"",'Paste Full'!BR70)</f>
        <v/>
      </c>
      <c r="BE70" s="6" t="str">
        <f>IF(ISBLANK('Paste Full'!BS70),"",'Paste Full'!BS70)</f>
        <v/>
      </c>
      <c r="BF70" s="6" t="str">
        <f>IF(ISBLANK('Paste Full'!BU70),"",'Paste Full'!BU70)</f>
        <v/>
      </c>
      <c r="BG70" s="6" t="str">
        <f>IF(ISBLANK('Paste Full'!BV70),"",'Paste Full'!BV70)</f>
        <v/>
      </c>
      <c r="BH70" s="6" t="str">
        <f>IF(ISBLANK('Paste Full'!BX70),"",'Paste Full'!BX70)</f>
        <v/>
      </c>
      <c r="BI70" s="6" t="str">
        <f>IF(ISBLANK('Paste Full'!BY70),"",'Paste Full'!BY70)</f>
        <v/>
      </c>
      <c r="BJ70" s="13" t="str">
        <f>IF(ISBLANK('Paste Full'!BL70),"",'Paste Full'!BL70)</f>
        <v/>
      </c>
      <c r="BK70" s="13" t="str">
        <f>IF(ISBLANK('Paste Full'!BQ70),"",'Paste Full'!BQ70)</f>
        <v/>
      </c>
      <c r="BL70" s="13" t="str">
        <f>IF(ISBLANK('Paste Full'!BT70),"",'Paste Full'!BT70)</f>
        <v/>
      </c>
      <c r="BM70" s="13" t="str">
        <f>IF(ISBLANK('Paste Full'!BW70),"",'Paste Full'!BW70)</f>
        <v/>
      </c>
      <c r="BN70" s="41" t="str">
        <f>IF(ISBLANK('Paste Full'!BZ70),"",'Paste Full'!BZ70)</f>
        <v/>
      </c>
      <c r="BO70" s="41" t="str">
        <f>IF(ISBLANK('Paste Full'!CA70),"",'Paste Full'!CA70)</f>
        <v/>
      </c>
      <c r="BP70" s="41" t="str">
        <f>IF(ISBLANK('Paste Full'!CB70),"",'Paste Full'!CB70)</f>
        <v/>
      </c>
      <c r="BQ70" s="41" t="str">
        <f>IF(ISBLANK('Paste Full'!CC70),"",'Paste Full'!CC70)</f>
        <v/>
      </c>
      <c r="BR70" s="41" t="str">
        <f>IF(ISBLANK('Paste Full'!CD70),"",'Paste Full'!CD70)</f>
        <v/>
      </c>
      <c r="BS70" s="41" t="str">
        <f>IF(ISBLANK('Paste Full'!CE70),"",'Paste Full'!CE70)</f>
        <v/>
      </c>
      <c r="BT70" s="41" t="str">
        <f>IF(ISBLANK('Paste Full'!CF70),"",'Paste Full'!CF70)</f>
        <v/>
      </c>
      <c r="BU70" s="41" t="str">
        <f>IF(ISBLANK('Paste Full'!CG70),"",'Paste Full'!CG70)</f>
        <v/>
      </c>
      <c r="BV70" s="41" t="str">
        <f>IF(ISBLANK('Paste Full'!CH70),"",'Paste Full'!CH70)</f>
        <v/>
      </c>
    </row>
    <row r="71" spans="1:74" x14ac:dyDescent="0.3">
      <c r="A71" t="str">
        <f>IF(ISBLANK('Paste Full'!C71),"",'Paste Full'!C71)</f>
        <v/>
      </c>
      <c r="B71" t="str">
        <f t="shared" si="2"/>
        <v>Striker</v>
      </c>
      <c r="C71" s="2" t="str">
        <f>IF(ISBLANK('Paste Full'!H71),"",'Paste Full'!H71)</f>
        <v/>
      </c>
      <c r="D71" s="2" t="str">
        <f>IF(ISBLANK('Paste Full'!F71),"",'Paste Full'!F71)</f>
        <v/>
      </c>
      <c r="E71" s="2" t="str">
        <f>IF(ISBLANK('Paste Full'!G71),"",'Paste Full'!G71)</f>
        <v/>
      </c>
      <c r="F71" s="21" t="str">
        <f>IF(ISBLANK('Paste Full'!E71),"",'Paste Full'!E71)</f>
        <v/>
      </c>
      <c r="G71" t="str">
        <f>IF(ISBLANK('Paste Full'!CI71),"",'Paste Full'!CI71)</f>
        <v/>
      </c>
      <c r="H71" s="21" t="str">
        <f>IF(ISBLANK('Paste Full'!J71),"",'Paste Full'!J71)</f>
        <v/>
      </c>
      <c r="I71" s="21" t="str">
        <f>IF(ISBLANK('Paste Full'!D71),"",'Paste Full'!D71)</f>
        <v/>
      </c>
      <c r="J71" s="14">
        <f>AVERAGE(SUMPRODUCT($S71:$BM71,AttWeights!$C$10:$AW$10)/SUM(AttWeights!$C$10:$AW$10),SUMPRODUCT($S71:$BM71,AttWeights!$C$17:$AW$17)/SUM(AttWeights!$C$17:$AW$17))*10</f>
        <v>0</v>
      </c>
      <c r="K71" s="14">
        <f>AVERAGE(SUMPRODUCT($S71:$BM71,AttWeights!$C$7:$AW$7)/SUM(AttWeights!$C$7:$AW$7),SUMPRODUCT($S71:$BM71,AttWeights!$C$15:$AW$15)/SUM(AttWeights!$C$15:$AW$15))*10</f>
        <v>0</v>
      </c>
      <c r="L71" s="14">
        <f>AVERAGE(SUMPRODUCT($S71:$BM71,AttWeights!$C$8:$AW$8)/SUM(AttWeights!$C$8:$AW$8),SUMPRODUCT($S71:$BM71,AttWeights!$C$16:$AW$16)/SUM(AttWeights!$C$16:$AW$16))*10</f>
        <v>0</v>
      </c>
      <c r="M71" s="14">
        <f>AVERAGE(SUMPRODUCT($S71:$BM71,AttWeights!$C$9:$AW$9)/SUM(AttWeights!$C$9:$AW$9),SUMPRODUCT($S71:$BM71,AttWeights!$C$15:$AW$15)/SUM(AttWeights!$C$15:$AW$15))*10</f>
        <v>0</v>
      </c>
      <c r="N71" s="14">
        <f>AVERAGE(SUMPRODUCT($S71:$BM71,AttWeights!$C$6:$AW$6)/SUM(AttWeights!$C$6:$AW$6),SUMPRODUCT($S71:$BM71,AttWeights!$C$14:$AW$14)/SUM(AttWeights!$C$14:$AW$14))*10</f>
        <v>0</v>
      </c>
      <c r="O71" s="14">
        <f>AVERAGE(SUMPRODUCT($S71:$BM71,AttWeights!$C$5:$AW$5)/SUM(AttWeights!$C$5:$AW$5),SUMPRODUCT($S71:$BM71,AttWeights!$C$14:$AW$14)/SUM(AttWeights!$C$14:$AW$14))*10</f>
        <v>0</v>
      </c>
      <c r="P71" s="14">
        <f>AVERAGE(SUMPRODUCT($S71:$BM71,AttWeights!$C$4:$AW$4)/SUM(AttWeights!$C$4:$AW$4),SUMPRODUCT($S71:$BM71,AttWeights!$C$13:$AW$13)/SUM(AttWeights!$C$13:$AW$13))*10</f>
        <v>0</v>
      </c>
      <c r="Q71" s="14">
        <f>AVERAGE(SUMPRODUCT($S71:$BM71,AttWeights!$C$3:$AW$3)/SUM(AttWeights!$C$3:$AW$3),SUMPRODUCT($S71:$BM71,AttWeights!$C$12:$AW$12)/SUM(AttWeights!$C$12:$AW$12))*10</f>
        <v>0</v>
      </c>
      <c r="R71" s="14">
        <f>AVERAGE(SUMPRODUCT($S71:$BM71,AttWeights!$C$2:$AW$2)/SUM(AttWeights!$C$2:$AW$2),SUMPRODUCT($S71:$BM71,AttWeights!$C$11:$AW$11)/SUM(AttWeights!$C$11:$AW$11))*10</f>
        <v>0</v>
      </c>
      <c r="S71" s="3" t="str">
        <f>IF(ISBLANK('Paste Full'!AC71),"",'Paste Full'!AC71)</f>
        <v/>
      </c>
      <c r="T71" s="3" t="str">
        <f>IF(ISBLANK('Paste Full'!AD71),"",'Paste Full'!AD71)</f>
        <v/>
      </c>
      <c r="U71" s="3" t="str">
        <f>IF(ISBLANK('Paste Full'!AE71),"",'Paste Full'!AE71)</f>
        <v/>
      </c>
      <c r="V71" s="3" t="str">
        <f>IF(ISBLANK('Paste Full'!AF71),"",'Paste Full'!AF71)</f>
        <v/>
      </c>
      <c r="W71" s="3" t="str">
        <f>IF(ISBLANK('Paste Full'!AH71),"",'Paste Full'!AH71)</f>
        <v/>
      </c>
      <c r="X71" s="3" t="str">
        <f>IF(ISBLANK('Paste Full'!AI71),"",'Paste Full'!AI71)</f>
        <v/>
      </c>
      <c r="Y71" s="3" t="str">
        <f>IF(ISBLANK('Paste Full'!AK71),"",'Paste Full'!AK71)</f>
        <v/>
      </c>
      <c r="Z71" s="3" t="str">
        <f>IF(ISBLANK('Paste Full'!AL71),"",'Paste Full'!AL71)</f>
        <v/>
      </c>
      <c r="AA71" s="4" t="str">
        <f>IF(ISBLANK('Paste Full'!AM71),"",'Paste Full'!AM71)</f>
        <v/>
      </c>
      <c r="AB71" s="4" t="str">
        <f>IF(ISBLANK('Paste Full'!AN71),"",'Paste Full'!AN71)</f>
        <v/>
      </c>
      <c r="AC71" s="4" t="str">
        <f>IF(ISBLANK('Paste Full'!AO71),"",'Paste Full'!AO71)</f>
        <v/>
      </c>
      <c r="AD71" s="4" t="str">
        <f>IF(ISBLANK('Paste Full'!AP71),"",'Paste Full'!AP71)</f>
        <v/>
      </c>
      <c r="AE71" s="4" t="str">
        <f>IF(ISBLANK('Paste Full'!AQ71),"",'Paste Full'!AQ71)</f>
        <v/>
      </c>
      <c r="AF71" s="4" t="str">
        <f>IF(ISBLANK('Paste Full'!AR71),"",'Paste Full'!AR71)</f>
        <v/>
      </c>
      <c r="AG71" s="4" t="str">
        <f>IF(ISBLANK('Paste Full'!AS71),"",'Paste Full'!AS71)</f>
        <v/>
      </c>
      <c r="AH71" s="4" t="str">
        <f>IF(ISBLANK('Paste Full'!AV71),"",'Paste Full'!AV71)</f>
        <v/>
      </c>
      <c r="AI71" s="4" t="str">
        <f>IF(ISBLANK('Paste Full'!AT71),"",'Paste Full'!AT71)</f>
        <v/>
      </c>
      <c r="AJ71" s="4" t="str">
        <f>IF(ISBLANK('Paste Full'!AU71),"",'Paste Full'!AU71)</f>
        <v/>
      </c>
      <c r="AK71" s="4" t="str">
        <f>IF(ISBLANK('Paste Full'!AW71),"",'Paste Full'!AW71)</f>
        <v/>
      </c>
      <c r="AL71" s="5" t="str">
        <f>IF(ISBLANK('Paste Full'!AX71),"",'Paste Full'!AX71)</f>
        <v/>
      </c>
      <c r="AM71" s="5" t="str">
        <f>IF(ISBLANK('Paste Full'!AY71),"",'Paste Full'!AY71)</f>
        <v/>
      </c>
      <c r="AN71" s="5" t="str">
        <f>IF(ISBLANK('Paste Full'!AZ71),"",'Paste Full'!AZ71)</f>
        <v/>
      </c>
      <c r="AO71" s="5" t="str">
        <f>IF(ISBLANK('Paste Full'!BA71),"",'Paste Full'!BA71)</f>
        <v/>
      </c>
      <c r="AP71" s="5" t="str">
        <f>IF(ISBLANK('Paste Full'!BB71),"",'Paste Full'!BB71)</f>
        <v/>
      </c>
      <c r="AQ71" s="5" t="str">
        <f>IF(ISBLANK('Paste Full'!BC71),"",'Paste Full'!BC71)</f>
        <v/>
      </c>
      <c r="AR71" s="5" t="str">
        <f>IF(ISBLANK('Paste Full'!BD71),"",'Paste Full'!BD71)</f>
        <v/>
      </c>
      <c r="AS71" s="5" t="str">
        <f>IF(ISBLANK('Paste Full'!BE71),"",'Paste Full'!BE71)</f>
        <v/>
      </c>
      <c r="AT71" s="5" t="str">
        <f>IF(ISBLANK('Paste Full'!BF71),"",'Paste Full'!BF71)</f>
        <v/>
      </c>
      <c r="AU71" s="5" t="str">
        <f>IF(ISBLANK('Paste Full'!BG71),"",'Paste Full'!BG71)</f>
        <v/>
      </c>
      <c r="AV71" s="5" t="str">
        <f>IF(ISBLANK('Paste Full'!BH71),"",'Paste Full'!BH71)</f>
        <v/>
      </c>
      <c r="AW71" s="5" t="str">
        <f>IF(ISBLANK('Paste Full'!BI71),"",'Paste Full'!BI71)</f>
        <v/>
      </c>
      <c r="AX71" s="5" t="str">
        <f>IF(ISBLANK('Paste Full'!BJ71),"",'Paste Full'!BJ71)</f>
        <v/>
      </c>
      <c r="AY71" s="5" t="str">
        <f>IF(ISBLANK('Paste Full'!BK71),"",'Paste Full'!BK71)</f>
        <v/>
      </c>
      <c r="AZ71" s="6" t="str">
        <f>IF(ISBLANK('Paste Full'!BM71),"",'Paste Full'!BM71)</f>
        <v/>
      </c>
      <c r="BA71" s="6" t="str">
        <f>IF(ISBLANK('Paste Full'!BN71),"",'Paste Full'!BN71)</f>
        <v/>
      </c>
      <c r="BB71" s="6" t="str">
        <f>IF(ISBLANK('Paste Full'!BO71),"",'Paste Full'!BO71)</f>
        <v/>
      </c>
      <c r="BC71" s="6" t="str">
        <f>IF(ISBLANK('Paste Full'!BP71),"",'Paste Full'!BP71)</f>
        <v/>
      </c>
      <c r="BD71" s="6" t="str">
        <f>IF(ISBLANK('Paste Full'!BR71),"",'Paste Full'!BR71)</f>
        <v/>
      </c>
      <c r="BE71" s="6" t="str">
        <f>IF(ISBLANK('Paste Full'!BS71),"",'Paste Full'!BS71)</f>
        <v/>
      </c>
      <c r="BF71" s="6" t="str">
        <f>IF(ISBLANK('Paste Full'!BU71),"",'Paste Full'!BU71)</f>
        <v/>
      </c>
      <c r="BG71" s="6" t="str">
        <f>IF(ISBLANK('Paste Full'!BV71),"",'Paste Full'!BV71)</f>
        <v/>
      </c>
      <c r="BH71" s="6" t="str">
        <f>IF(ISBLANK('Paste Full'!BX71),"",'Paste Full'!BX71)</f>
        <v/>
      </c>
      <c r="BI71" s="6" t="str">
        <f>IF(ISBLANK('Paste Full'!BY71),"",'Paste Full'!BY71)</f>
        <v/>
      </c>
      <c r="BJ71" s="13" t="str">
        <f>IF(ISBLANK('Paste Full'!BL71),"",'Paste Full'!BL71)</f>
        <v/>
      </c>
      <c r="BK71" s="13" t="str">
        <f>IF(ISBLANK('Paste Full'!BQ71),"",'Paste Full'!BQ71)</f>
        <v/>
      </c>
      <c r="BL71" s="13" t="str">
        <f>IF(ISBLANK('Paste Full'!BT71),"",'Paste Full'!BT71)</f>
        <v/>
      </c>
      <c r="BM71" s="13" t="str">
        <f>IF(ISBLANK('Paste Full'!BW71),"",'Paste Full'!BW71)</f>
        <v/>
      </c>
      <c r="BN71" s="41" t="str">
        <f>IF(ISBLANK('Paste Full'!BZ71),"",'Paste Full'!BZ71)</f>
        <v/>
      </c>
      <c r="BO71" s="41" t="str">
        <f>IF(ISBLANK('Paste Full'!CA71),"",'Paste Full'!CA71)</f>
        <v/>
      </c>
      <c r="BP71" s="41" t="str">
        <f>IF(ISBLANK('Paste Full'!CB71),"",'Paste Full'!CB71)</f>
        <v/>
      </c>
      <c r="BQ71" s="41" t="str">
        <f>IF(ISBLANK('Paste Full'!CC71),"",'Paste Full'!CC71)</f>
        <v/>
      </c>
      <c r="BR71" s="41" t="str">
        <f>IF(ISBLANK('Paste Full'!CD71),"",'Paste Full'!CD71)</f>
        <v/>
      </c>
      <c r="BS71" s="41" t="str">
        <f>IF(ISBLANK('Paste Full'!CE71),"",'Paste Full'!CE71)</f>
        <v/>
      </c>
      <c r="BT71" s="41" t="str">
        <f>IF(ISBLANK('Paste Full'!CF71),"",'Paste Full'!CF71)</f>
        <v/>
      </c>
      <c r="BU71" s="41" t="str">
        <f>IF(ISBLANK('Paste Full'!CG71),"",'Paste Full'!CG71)</f>
        <v/>
      </c>
      <c r="BV71" s="41" t="str">
        <f>IF(ISBLANK('Paste Full'!CH71),"",'Paste Full'!CH71)</f>
        <v/>
      </c>
    </row>
    <row r="72" spans="1:74" x14ac:dyDescent="0.3">
      <c r="A72" t="str">
        <f>IF(ISBLANK('Paste Full'!C72),"",'Paste Full'!C72)</f>
        <v/>
      </c>
      <c r="B72" t="str">
        <f t="shared" si="2"/>
        <v>Striker</v>
      </c>
      <c r="C72" s="2" t="str">
        <f>IF(ISBLANK('Paste Full'!H72),"",'Paste Full'!H72)</f>
        <v/>
      </c>
      <c r="D72" s="2" t="str">
        <f>IF(ISBLANK('Paste Full'!F72),"",'Paste Full'!F72)</f>
        <v/>
      </c>
      <c r="E72" s="2" t="str">
        <f>IF(ISBLANK('Paste Full'!G72),"",'Paste Full'!G72)</f>
        <v/>
      </c>
      <c r="F72" s="21" t="str">
        <f>IF(ISBLANK('Paste Full'!E72),"",'Paste Full'!E72)</f>
        <v/>
      </c>
      <c r="G72" t="str">
        <f>IF(ISBLANK('Paste Full'!CI72),"",'Paste Full'!CI72)</f>
        <v/>
      </c>
      <c r="H72" s="21" t="str">
        <f>IF(ISBLANK('Paste Full'!J72),"",'Paste Full'!J72)</f>
        <v/>
      </c>
      <c r="I72" s="21" t="str">
        <f>IF(ISBLANK('Paste Full'!D72),"",'Paste Full'!D72)</f>
        <v/>
      </c>
      <c r="J72" s="14">
        <f>AVERAGE(SUMPRODUCT($S72:$BM72,AttWeights!$C$10:$AW$10)/SUM(AttWeights!$C$10:$AW$10),SUMPRODUCT($S72:$BM72,AttWeights!$C$17:$AW$17)/SUM(AttWeights!$C$17:$AW$17))*10</f>
        <v>0</v>
      </c>
      <c r="K72" s="14">
        <f>AVERAGE(SUMPRODUCT($S72:$BM72,AttWeights!$C$7:$AW$7)/SUM(AttWeights!$C$7:$AW$7),SUMPRODUCT($S72:$BM72,AttWeights!$C$15:$AW$15)/SUM(AttWeights!$C$15:$AW$15))*10</f>
        <v>0</v>
      </c>
      <c r="L72" s="14">
        <f>AVERAGE(SUMPRODUCT($S72:$BM72,AttWeights!$C$8:$AW$8)/SUM(AttWeights!$C$8:$AW$8),SUMPRODUCT($S72:$BM72,AttWeights!$C$16:$AW$16)/SUM(AttWeights!$C$16:$AW$16))*10</f>
        <v>0</v>
      </c>
      <c r="M72" s="14">
        <f>AVERAGE(SUMPRODUCT($S72:$BM72,AttWeights!$C$9:$AW$9)/SUM(AttWeights!$C$9:$AW$9),SUMPRODUCT($S72:$BM72,AttWeights!$C$15:$AW$15)/SUM(AttWeights!$C$15:$AW$15))*10</f>
        <v>0</v>
      </c>
      <c r="N72" s="14">
        <f>AVERAGE(SUMPRODUCT($S72:$BM72,AttWeights!$C$6:$AW$6)/SUM(AttWeights!$C$6:$AW$6),SUMPRODUCT($S72:$BM72,AttWeights!$C$14:$AW$14)/SUM(AttWeights!$C$14:$AW$14))*10</f>
        <v>0</v>
      </c>
      <c r="O72" s="14">
        <f>AVERAGE(SUMPRODUCT($S72:$BM72,AttWeights!$C$5:$AW$5)/SUM(AttWeights!$C$5:$AW$5),SUMPRODUCT($S72:$BM72,AttWeights!$C$14:$AW$14)/SUM(AttWeights!$C$14:$AW$14))*10</f>
        <v>0</v>
      </c>
      <c r="P72" s="14">
        <f>AVERAGE(SUMPRODUCT($S72:$BM72,AttWeights!$C$4:$AW$4)/SUM(AttWeights!$C$4:$AW$4),SUMPRODUCT($S72:$BM72,AttWeights!$C$13:$AW$13)/SUM(AttWeights!$C$13:$AW$13))*10</f>
        <v>0</v>
      </c>
      <c r="Q72" s="14">
        <f>AVERAGE(SUMPRODUCT($S72:$BM72,AttWeights!$C$3:$AW$3)/SUM(AttWeights!$C$3:$AW$3),SUMPRODUCT($S72:$BM72,AttWeights!$C$12:$AW$12)/SUM(AttWeights!$C$12:$AW$12))*10</f>
        <v>0</v>
      </c>
      <c r="R72" s="14">
        <f>AVERAGE(SUMPRODUCT($S72:$BM72,AttWeights!$C$2:$AW$2)/SUM(AttWeights!$C$2:$AW$2),SUMPRODUCT($S72:$BM72,AttWeights!$C$11:$AW$11)/SUM(AttWeights!$C$11:$AW$11))*10</f>
        <v>0</v>
      </c>
      <c r="S72" s="3" t="str">
        <f>IF(ISBLANK('Paste Full'!AC72),"",'Paste Full'!AC72)</f>
        <v/>
      </c>
      <c r="T72" s="3" t="str">
        <f>IF(ISBLANK('Paste Full'!AD72),"",'Paste Full'!AD72)</f>
        <v/>
      </c>
      <c r="U72" s="3" t="str">
        <f>IF(ISBLANK('Paste Full'!AE72),"",'Paste Full'!AE72)</f>
        <v/>
      </c>
      <c r="V72" s="3" t="str">
        <f>IF(ISBLANK('Paste Full'!AF72),"",'Paste Full'!AF72)</f>
        <v/>
      </c>
      <c r="W72" s="3" t="str">
        <f>IF(ISBLANK('Paste Full'!AH72),"",'Paste Full'!AH72)</f>
        <v/>
      </c>
      <c r="X72" s="3" t="str">
        <f>IF(ISBLANK('Paste Full'!AI72),"",'Paste Full'!AI72)</f>
        <v/>
      </c>
      <c r="Y72" s="3" t="str">
        <f>IF(ISBLANK('Paste Full'!AK72),"",'Paste Full'!AK72)</f>
        <v/>
      </c>
      <c r="Z72" s="3" t="str">
        <f>IF(ISBLANK('Paste Full'!AL72),"",'Paste Full'!AL72)</f>
        <v/>
      </c>
      <c r="AA72" s="4" t="str">
        <f>IF(ISBLANK('Paste Full'!AM72),"",'Paste Full'!AM72)</f>
        <v/>
      </c>
      <c r="AB72" s="4" t="str">
        <f>IF(ISBLANK('Paste Full'!AN72),"",'Paste Full'!AN72)</f>
        <v/>
      </c>
      <c r="AC72" s="4" t="str">
        <f>IF(ISBLANK('Paste Full'!AO72),"",'Paste Full'!AO72)</f>
        <v/>
      </c>
      <c r="AD72" s="4" t="str">
        <f>IF(ISBLANK('Paste Full'!AP72),"",'Paste Full'!AP72)</f>
        <v/>
      </c>
      <c r="AE72" s="4" t="str">
        <f>IF(ISBLANK('Paste Full'!AQ72),"",'Paste Full'!AQ72)</f>
        <v/>
      </c>
      <c r="AF72" s="4" t="str">
        <f>IF(ISBLANK('Paste Full'!AR72),"",'Paste Full'!AR72)</f>
        <v/>
      </c>
      <c r="AG72" s="4" t="str">
        <f>IF(ISBLANK('Paste Full'!AS72),"",'Paste Full'!AS72)</f>
        <v/>
      </c>
      <c r="AH72" s="4" t="str">
        <f>IF(ISBLANK('Paste Full'!AV72),"",'Paste Full'!AV72)</f>
        <v/>
      </c>
      <c r="AI72" s="4" t="str">
        <f>IF(ISBLANK('Paste Full'!AT72),"",'Paste Full'!AT72)</f>
        <v/>
      </c>
      <c r="AJ72" s="4" t="str">
        <f>IF(ISBLANK('Paste Full'!AU72),"",'Paste Full'!AU72)</f>
        <v/>
      </c>
      <c r="AK72" s="4" t="str">
        <f>IF(ISBLANK('Paste Full'!AW72),"",'Paste Full'!AW72)</f>
        <v/>
      </c>
      <c r="AL72" s="5" t="str">
        <f>IF(ISBLANK('Paste Full'!AX72),"",'Paste Full'!AX72)</f>
        <v/>
      </c>
      <c r="AM72" s="5" t="str">
        <f>IF(ISBLANK('Paste Full'!AY72),"",'Paste Full'!AY72)</f>
        <v/>
      </c>
      <c r="AN72" s="5" t="str">
        <f>IF(ISBLANK('Paste Full'!AZ72),"",'Paste Full'!AZ72)</f>
        <v/>
      </c>
      <c r="AO72" s="5" t="str">
        <f>IF(ISBLANK('Paste Full'!BA72),"",'Paste Full'!BA72)</f>
        <v/>
      </c>
      <c r="AP72" s="5" t="str">
        <f>IF(ISBLANK('Paste Full'!BB72),"",'Paste Full'!BB72)</f>
        <v/>
      </c>
      <c r="AQ72" s="5" t="str">
        <f>IF(ISBLANK('Paste Full'!BC72),"",'Paste Full'!BC72)</f>
        <v/>
      </c>
      <c r="AR72" s="5" t="str">
        <f>IF(ISBLANK('Paste Full'!BD72),"",'Paste Full'!BD72)</f>
        <v/>
      </c>
      <c r="AS72" s="5" t="str">
        <f>IF(ISBLANK('Paste Full'!BE72),"",'Paste Full'!BE72)</f>
        <v/>
      </c>
      <c r="AT72" s="5" t="str">
        <f>IF(ISBLANK('Paste Full'!BF72),"",'Paste Full'!BF72)</f>
        <v/>
      </c>
      <c r="AU72" s="5" t="str">
        <f>IF(ISBLANK('Paste Full'!BG72),"",'Paste Full'!BG72)</f>
        <v/>
      </c>
      <c r="AV72" s="5" t="str">
        <f>IF(ISBLANK('Paste Full'!BH72),"",'Paste Full'!BH72)</f>
        <v/>
      </c>
      <c r="AW72" s="5" t="str">
        <f>IF(ISBLANK('Paste Full'!BI72),"",'Paste Full'!BI72)</f>
        <v/>
      </c>
      <c r="AX72" s="5" t="str">
        <f>IF(ISBLANK('Paste Full'!BJ72),"",'Paste Full'!BJ72)</f>
        <v/>
      </c>
      <c r="AY72" s="5" t="str">
        <f>IF(ISBLANK('Paste Full'!BK72),"",'Paste Full'!BK72)</f>
        <v/>
      </c>
      <c r="AZ72" s="6" t="str">
        <f>IF(ISBLANK('Paste Full'!BM72),"",'Paste Full'!BM72)</f>
        <v/>
      </c>
      <c r="BA72" s="6" t="str">
        <f>IF(ISBLANK('Paste Full'!BN72),"",'Paste Full'!BN72)</f>
        <v/>
      </c>
      <c r="BB72" s="6" t="str">
        <f>IF(ISBLANK('Paste Full'!BO72),"",'Paste Full'!BO72)</f>
        <v/>
      </c>
      <c r="BC72" s="6" t="str">
        <f>IF(ISBLANK('Paste Full'!BP72),"",'Paste Full'!BP72)</f>
        <v/>
      </c>
      <c r="BD72" s="6" t="str">
        <f>IF(ISBLANK('Paste Full'!BR72),"",'Paste Full'!BR72)</f>
        <v/>
      </c>
      <c r="BE72" s="6" t="str">
        <f>IF(ISBLANK('Paste Full'!BS72),"",'Paste Full'!BS72)</f>
        <v/>
      </c>
      <c r="BF72" s="6" t="str">
        <f>IF(ISBLANK('Paste Full'!BU72),"",'Paste Full'!BU72)</f>
        <v/>
      </c>
      <c r="BG72" s="6" t="str">
        <f>IF(ISBLANK('Paste Full'!BV72),"",'Paste Full'!BV72)</f>
        <v/>
      </c>
      <c r="BH72" s="6" t="str">
        <f>IF(ISBLANK('Paste Full'!BX72),"",'Paste Full'!BX72)</f>
        <v/>
      </c>
      <c r="BI72" s="6" t="str">
        <f>IF(ISBLANK('Paste Full'!BY72),"",'Paste Full'!BY72)</f>
        <v/>
      </c>
      <c r="BJ72" s="13" t="str">
        <f>IF(ISBLANK('Paste Full'!BL72),"",'Paste Full'!BL72)</f>
        <v/>
      </c>
      <c r="BK72" s="13" t="str">
        <f>IF(ISBLANK('Paste Full'!BQ72),"",'Paste Full'!BQ72)</f>
        <v/>
      </c>
      <c r="BL72" s="13" t="str">
        <f>IF(ISBLANK('Paste Full'!BT72),"",'Paste Full'!BT72)</f>
        <v/>
      </c>
      <c r="BM72" s="13" t="str">
        <f>IF(ISBLANK('Paste Full'!BW72),"",'Paste Full'!BW72)</f>
        <v/>
      </c>
      <c r="BN72" s="41" t="str">
        <f>IF(ISBLANK('Paste Full'!BZ72),"",'Paste Full'!BZ72)</f>
        <v/>
      </c>
      <c r="BO72" s="41" t="str">
        <f>IF(ISBLANK('Paste Full'!CA72),"",'Paste Full'!CA72)</f>
        <v/>
      </c>
      <c r="BP72" s="41" t="str">
        <f>IF(ISBLANK('Paste Full'!CB72),"",'Paste Full'!CB72)</f>
        <v/>
      </c>
      <c r="BQ72" s="41" t="str">
        <f>IF(ISBLANK('Paste Full'!CC72),"",'Paste Full'!CC72)</f>
        <v/>
      </c>
      <c r="BR72" s="41" t="str">
        <f>IF(ISBLANK('Paste Full'!CD72),"",'Paste Full'!CD72)</f>
        <v/>
      </c>
      <c r="BS72" s="41" t="str">
        <f>IF(ISBLANK('Paste Full'!CE72),"",'Paste Full'!CE72)</f>
        <v/>
      </c>
      <c r="BT72" s="41" t="str">
        <f>IF(ISBLANK('Paste Full'!CF72),"",'Paste Full'!CF72)</f>
        <v/>
      </c>
      <c r="BU72" s="41" t="str">
        <f>IF(ISBLANK('Paste Full'!CG72),"",'Paste Full'!CG72)</f>
        <v/>
      </c>
      <c r="BV72" s="41" t="str">
        <f>IF(ISBLANK('Paste Full'!CH72),"",'Paste Full'!CH72)</f>
        <v/>
      </c>
    </row>
    <row r="73" spans="1:74" x14ac:dyDescent="0.3">
      <c r="A73" t="str">
        <f>IF(ISBLANK('Paste Full'!C73),"",'Paste Full'!C73)</f>
        <v/>
      </c>
      <c r="B73" t="str">
        <f t="shared" si="2"/>
        <v>Striker</v>
      </c>
      <c r="C73" s="2" t="str">
        <f>IF(ISBLANK('Paste Full'!H73),"",'Paste Full'!H73)</f>
        <v/>
      </c>
      <c r="D73" s="2" t="str">
        <f>IF(ISBLANK('Paste Full'!F73),"",'Paste Full'!F73)</f>
        <v/>
      </c>
      <c r="E73" s="2" t="str">
        <f>IF(ISBLANK('Paste Full'!G73),"",'Paste Full'!G73)</f>
        <v/>
      </c>
      <c r="F73" s="21" t="str">
        <f>IF(ISBLANK('Paste Full'!E73),"",'Paste Full'!E73)</f>
        <v/>
      </c>
      <c r="G73" t="str">
        <f>IF(ISBLANK('Paste Full'!CI73),"",'Paste Full'!CI73)</f>
        <v/>
      </c>
      <c r="H73" s="21" t="str">
        <f>IF(ISBLANK('Paste Full'!J73),"",'Paste Full'!J73)</f>
        <v/>
      </c>
      <c r="I73" s="21" t="str">
        <f>IF(ISBLANK('Paste Full'!D73),"",'Paste Full'!D73)</f>
        <v/>
      </c>
      <c r="J73" s="14">
        <f>AVERAGE(SUMPRODUCT($S73:$BM73,AttWeights!$C$10:$AW$10)/SUM(AttWeights!$C$10:$AW$10),SUMPRODUCT($S73:$BM73,AttWeights!$C$17:$AW$17)/SUM(AttWeights!$C$17:$AW$17))*10</f>
        <v>0</v>
      </c>
      <c r="K73" s="14">
        <f>AVERAGE(SUMPRODUCT($S73:$BM73,AttWeights!$C$7:$AW$7)/SUM(AttWeights!$C$7:$AW$7),SUMPRODUCT($S73:$BM73,AttWeights!$C$15:$AW$15)/SUM(AttWeights!$C$15:$AW$15))*10</f>
        <v>0</v>
      </c>
      <c r="L73" s="14">
        <f>AVERAGE(SUMPRODUCT($S73:$BM73,AttWeights!$C$8:$AW$8)/SUM(AttWeights!$C$8:$AW$8),SUMPRODUCT($S73:$BM73,AttWeights!$C$16:$AW$16)/SUM(AttWeights!$C$16:$AW$16))*10</f>
        <v>0</v>
      </c>
      <c r="M73" s="14">
        <f>AVERAGE(SUMPRODUCT($S73:$BM73,AttWeights!$C$9:$AW$9)/SUM(AttWeights!$C$9:$AW$9),SUMPRODUCT($S73:$BM73,AttWeights!$C$15:$AW$15)/SUM(AttWeights!$C$15:$AW$15))*10</f>
        <v>0</v>
      </c>
      <c r="N73" s="14">
        <f>AVERAGE(SUMPRODUCT($S73:$BM73,AttWeights!$C$6:$AW$6)/SUM(AttWeights!$C$6:$AW$6),SUMPRODUCT($S73:$BM73,AttWeights!$C$14:$AW$14)/SUM(AttWeights!$C$14:$AW$14))*10</f>
        <v>0</v>
      </c>
      <c r="O73" s="14">
        <f>AVERAGE(SUMPRODUCT($S73:$BM73,AttWeights!$C$5:$AW$5)/SUM(AttWeights!$C$5:$AW$5),SUMPRODUCT($S73:$BM73,AttWeights!$C$14:$AW$14)/SUM(AttWeights!$C$14:$AW$14))*10</f>
        <v>0</v>
      </c>
      <c r="P73" s="14">
        <f>AVERAGE(SUMPRODUCT($S73:$BM73,AttWeights!$C$4:$AW$4)/SUM(AttWeights!$C$4:$AW$4),SUMPRODUCT($S73:$BM73,AttWeights!$C$13:$AW$13)/SUM(AttWeights!$C$13:$AW$13))*10</f>
        <v>0</v>
      </c>
      <c r="Q73" s="14">
        <f>AVERAGE(SUMPRODUCT($S73:$BM73,AttWeights!$C$3:$AW$3)/SUM(AttWeights!$C$3:$AW$3),SUMPRODUCT($S73:$BM73,AttWeights!$C$12:$AW$12)/SUM(AttWeights!$C$12:$AW$12))*10</f>
        <v>0</v>
      </c>
      <c r="R73" s="14">
        <f>AVERAGE(SUMPRODUCT($S73:$BM73,AttWeights!$C$2:$AW$2)/SUM(AttWeights!$C$2:$AW$2),SUMPRODUCT($S73:$BM73,AttWeights!$C$11:$AW$11)/SUM(AttWeights!$C$11:$AW$11))*10</f>
        <v>0</v>
      </c>
      <c r="S73" s="3" t="str">
        <f>IF(ISBLANK('Paste Full'!AC73),"",'Paste Full'!AC73)</f>
        <v/>
      </c>
      <c r="T73" s="3" t="str">
        <f>IF(ISBLANK('Paste Full'!AD73),"",'Paste Full'!AD73)</f>
        <v/>
      </c>
      <c r="U73" s="3" t="str">
        <f>IF(ISBLANK('Paste Full'!AE73),"",'Paste Full'!AE73)</f>
        <v/>
      </c>
      <c r="V73" s="3" t="str">
        <f>IF(ISBLANK('Paste Full'!AF73),"",'Paste Full'!AF73)</f>
        <v/>
      </c>
      <c r="W73" s="3" t="str">
        <f>IF(ISBLANK('Paste Full'!AH73),"",'Paste Full'!AH73)</f>
        <v/>
      </c>
      <c r="X73" s="3" t="str">
        <f>IF(ISBLANK('Paste Full'!AI73),"",'Paste Full'!AI73)</f>
        <v/>
      </c>
      <c r="Y73" s="3" t="str">
        <f>IF(ISBLANK('Paste Full'!AK73),"",'Paste Full'!AK73)</f>
        <v/>
      </c>
      <c r="Z73" s="3" t="str">
        <f>IF(ISBLANK('Paste Full'!AL73),"",'Paste Full'!AL73)</f>
        <v/>
      </c>
      <c r="AA73" s="4" t="str">
        <f>IF(ISBLANK('Paste Full'!AM73),"",'Paste Full'!AM73)</f>
        <v/>
      </c>
      <c r="AB73" s="4" t="str">
        <f>IF(ISBLANK('Paste Full'!AN73),"",'Paste Full'!AN73)</f>
        <v/>
      </c>
      <c r="AC73" s="4" t="str">
        <f>IF(ISBLANK('Paste Full'!AO73),"",'Paste Full'!AO73)</f>
        <v/>
      </c>
      <c r="AD73" s="4" t="str">
        <f>IF(ISBLANK('Paste Full'!AP73),"",'Paste Full'!AP73)</f>
        <v/>
      </c>
      <c r="AE73" s="4" t="str">
        <f>IF(ISBLANK('Paste Full'!AQ73),"",'Paste Full'!AQ73)</f>
        <v/>
      </c>
      <c r="AF73" s="4" t="str">
        <f>IF(ISBLANK('Paste Full'!AR73),"",'Paste Full'!AR73)</f>
        <v/>
      </c>
      <c r="AG73" s="4" t="str">
        <f>IF(ISBLANK('Paste Full'!AS73),"",'Paste Full'!AS73)</f>
        <v/>
      </c>
      <c r="AH73" s="4" t="str">
        <f>IF(ISBLANK('Paste Full'!AV73),"",'Paste Full'!AV73)</f>
        <v/>
      </c>
      <c r="AI73" s="4" t="str">
        <f>IF(ISBLANK('Paste Full'!AT73),"",'Paste Full'!AT73)</f>
        <v/>
      </c>
      <c r="AJ73" s="4" t="str">
        <f>IF(ISBLANK('Paste Full'!AU73),"",'Paste Full'!AU73)</f>
        <v/>
      </c>
      <c r="AK73" s="4" t="str">
        <f>IF(ISBLANK('Paste Full'!AW73),"",'Paste Full'!AW73)</f>
        <v/>
      </c>
      <c r="AL73" s="5" t="str">
        <f>IF(ISBLANK('Paste Full'!AX73),"",'Paste Full'!AX73)</f>
        <v/>
      </c>
      <c r="AM73" s="5" t="str">
        <f>IF(ISBLANK('Paste Full'!AY73),"",'Paste Full'!AY73)</f>
        <v/>
      </c>
      <c r="AN73" s="5" t="str">
        <f>IF(ISBLANK('Paste Full'!AZ73),"",'Paste Full'!AZ73)</f>
        <v/>
      </c>
      <c r="AO73" s="5" t="str">
        <f>IF(ISBLANK('Paste Full'!BA73),"",'Paste Full'!BA73)</f>
        <v/>
      </c>
      <c r="AP73" s="5" t="str">
        <f>IF(ISBLANK('Paste Full'!BB73),"",'Paste Full'!BB73)</f>
        <v/>
      </c>
      <c r="AQ73" s="5" t="str">
        <f>IF(ISBLANK('Paste Full'!BC73),"",'Paste Full'!BC73)</f>
        <v/>
      </c>
      <c r="AR73" s="5" t="str">
        <f>IF(ISBLANK('Paste Full'!BD73),"",'Paste Full'!BD73)</f>
        <v/>
      </c>
      <c r="AS73" s="5" t="str">
        <f>IF(ISBLANK('Paste Full'!BE73),"",'Paste Full'!BE73)</f>
        <v/>
      </c>
      <c r="AT73" s="5" t="str">
        <f>IF(ISBLANK('Paste Full'!BF73),"",'Paste Full'!BF73)</f>
        <v/>
      </c>
      <c r="AU73" s="5" t="str">
        <f>IF(ISBLANK('Paste Full'!BG73),"",'Paste Full'!BG73)</f>
        <v/>
      </c>
      <c r="AV73" s="5" t="str">
        <f>IF(ISBLANK('Paste Full'!BH73),"",'Paste Full'!BH73)</f>
        <v/>
      </c>
      <c r="AW73" s="5" t="str">
        <f>IF(ISBLANK('Paste Full'!BI73),"",'Paste Full'!BI73)</f>
        <v/>
      </c>
      <c r="AX73" s="5" t="str">
        <f>IF(ISBLANK('Paste Full'!BJ73),"",'Paste Full'!BJ73)</f>
        <v/>
      </c>
      <c r="AY73" s="5" t="str">
        <f>IF(ISBLANK('Paste Full'!BK73),"",'Paste Full'!BK73)</f>
        <v/>
      </c>
      <c r="AZ73" s="6" t="str">
        <f>IF(ISBLANK('Paste Full'!BM73),"",'Paste Full'!BM73)</f>
        <v/>
      </c>
      <c r="BA73" s="6" t="str">
        <f>IF(ISBLANK('Paste Full'!BN73),"",'Paste Full'!BN73)</f>
        <v/>
      </c>
      <c r="BB73" s="6" t="str">
        <f>IF(ISBLANK('Paste Full'!BO73),"",'Paste Full'!BO73)</f>
        <v/>
      </c>
      <c r="BC73" s="6" t="str">
        <f>IF(ISBLANK('Paste Full'!BP73),"",'Paste Full'!BP73)</f>
        <v/>
      </c>
      <c r="BD73" s="6" t="str">
        <f>IF(ISBLANK('Paste Full'!BR73),"",'Paste Full'!BR73)</f>
        <v/>
      </c>
      <c r="BE73" s="6" t="str">
        <f>IF(ISBLANK('Paste Full'!BS73),"",'Paste Full'!BS73)</f>
        <v/>
      </c>
      <c r="BF73" s="6" t="str">
        <f>IF(ISBLANK('Paste Full'!BU73),"",'Paste Full'!BU73)</f>
        <v/>
      </c>
      <c r="BG73" s="6" t="str">
        <f>IF(ISBLANK('Paste Full'!BV73),"",'Paste Full'!BV73)</f>
        <v/>
      </c>
      <c r="BH73" s="6" t="str">
        <f>IF(ISBLANK('Paste Full'!BX73),"",'Paste Full'!BX73)</f>
        <v/>
      </c>
      <c r="BI73" s="6" t="str">
        <f>IF(ISBLANK('Paste Full'!BY73),"",'Paste Full'!BY73)</f>
        <v/>
      </c>
      <c r="BJ73" s="13" t="str">
        <f>IF(ISBLANK('Paste Full'!BL73),"",'Paste Full'!BL73)</f>
        <v/>
      </c>
      <c r="BK73" s="13" t="str">
        <f>IF(ISBLANK('Paste Full'!BQ73),"",'Paste Full'!BQ73)</f>
        <v/>
      </c>
      <c r="BL73" s="13" t="str">
        <f>IF(ISBLANK('Paste Full'!BT73),"",'Paste Full'!BT73)</f>
        <v/>
      </c>
      <c r="BM73" s="13" t="str">
        <f>IF(ISBLANK('Paste Full'!BW73),"",'Paste Full'!BW73)</f>
        <v/>
      </c>
      <c r="BN73" s="41" t="str">
        <f>IF(ISBLANK('Paste Full'!BZ73),"",'Paste Full'!BZ73)</f>
        <v/>
      </c>
      <c r="BO73" s="41" t="str">
        <f>IF(ISBLANK('Paste Full'!CA73),"",'Paste Full'!CA73)</f>
        <v/>
      </c>
      <c r="BP73" s="41" t="str">
        <f>IF(ISBLANK('Paste Full'!CB73),"",'Paste Full'!CB73)</f>
        <v/>
      </c>
      <c r="BQ73" s="41" t="str">
        <f>IF(ISBLANK('Paste Full'!CC73),"",'Paste Full'!CC73)</f>
        <v/>
      </c>
      <c r="BR73" s="41" t="str">
        <f>IF(ISBLANK('Paste Full'!CD73),"",'Paste Full'!CD73)</f>
        <v/>
      </c>
      <c r="BS73" s="41" t="str">
        <f>IF(ISBLANK('Paste Full'!CE73),"",'Paste Full'!CE73)</f>
        <v/>
      </c>
      <c r="BT73" s="41" t="str">
        <f>IF(ISBLANK('Paste Full'!CF73),"",'Paste Full'!CF73)</f>
        <v/>
      </c>
      <c r="BU73" s="41" t="str">
        <f>IF(ISBLANK('Paste Full'!CG73),"",'Paste Full'!CG73)</f>
        <v/>
      </c>
      <c r="BV73" s="41" t="str">
        <f>IF(ISBLANK('Paste Full'!CH73),"",'Paste Full'!CH73)</f>
        <v/>
      </c>
    </row>
    <row r="74" spans="1:74" x14ac:dyDescent="0.3">
      <c r="A74" t="str">
        <f>IF(ISBLANK('Paste Full'!C74),"",'Paste Full'!C74)</f>
        <v/>
      </c>
      <c r="B74" t="str">
        <f t="shared" si="2"/>
        <v>Striker</v>
      </c>
      <c r="C74" s="2" t="str">
        <f>IF(ISBLANK('Paste Full'!H74),"",'Paste Full'!H74)</f>
        <v/>
      </c>
      <c r="D74" s="2" t="str">
        <f>IF(ISBLANK('Paste Full'!F74),"",'Paste Full'!F74)</f>
        <v/>
      </c>
      <c r="E74" s="2" t="str">
        <f>IF(ISBLANK('Paste Full'!G74),"",'Paste Full'!G74)</f>
        <v/>
      </c>
      <c r="F74" s="21" t="str">
        <f>IF(ISBLANK('Paste Full'!E74),"",'Paste Full'!E74)</f>
        <v/>
      </c>
      <c r="G74" t="str">
        <f>IF(ISBLANK('Paste Full'!CI74),"",'Paste Full'!CI74)</f>
        <v/>
      </c>
      <c r="H74" s="21" t="str">
        <f>IF(ISBLANK('Paste Full'!J74),"",'Paste Full'!J74)</f>
        <v/>
      </c>
      <c r="I74" s="21" t="str">
        <f>IF(ISBLANK('Paste Full'!D74),"",'Paste Full'!D74)</f>
        <v/>
      </c>
      <c r="J74" s="14">
        <f>AVERAGE(SUMPRODUCT($S74:$BM74,AttWeights!$C$10:$AW$10)/SUM(AttWeights!$C$10:$AW$10),SUMPRODUCT($S74:$BM74,AttWeights!$C$17:$AW$17)/SUM(AttWeights!$C$17:$AW$17))*10</f>
        <v>0</v>
      </c>
      <c r="K74" s="14">
        <f>AVERAGE(SUMPRODUCT($S74:$BM74,AttWeights!$C$7:$AW$7)/SUM(AttWeights!$C$7:$AW$7),SUMPRODUCT($S74:$BM74,AttWeights!$C$15:$AW$15)/SUM(AttWeights!$C$15:$AW$15))*10</f>
        <v>0</v>
      </c>
      <c r="L74" s="14">
        <f>AVERAGE(SUMPRODUCT($S74:$BM74,AttWeights!$C$8:$AW$8)/SUM(AttWeights!$C$8:$AW$8),SUMPRODUCT($S74:$BM74,AttWeights!$C$16:$AW$16)/SUM(AttWeights!$C$16:$AW$16))*10</f>
        <v>0</v>
      </c>
      <c r="M74" s="14">
        <f>AVERAGE(SUMPRODUCT($S74:$BM74,AttWeights!$C$9:$AW$9)/SUM(AttWeights!$C$9:$AW$9),SUMPRODUCT($S74:$BM74,AttWeights!$C$15:$AW$15)/SUM(AttWeights!$C$15:$AW$15))*10</f>
        <v>0</v>
      </c>
      <c r="N74" s="14">
        <f>AVERAGE(SUMPRODUCT($S74:$BM74,AttWeights!$C$6:$AW$6)/SUM(AttWeights!$C$6:$AW$6),SUMPRODUCT($S74:$BM74,AttWeights!$C$14:$AW$14)/SUM(AttWeights!$C$14:$AW$14))*10</f>
        <v>0</v>
      </c>
      <c r="O74" s="14">
        <f>AVERAGE(SUMPRODUCT($S74:$BM74,AttWeights!$C$5:$AW$5)/SUM(AttWeights!$C$5:$AW$5),SUMPRODUCT($S74:$BM74,AttWeights!$C$14:$AW$14)/SUM(AttWeights!$C$14:$AW$14))*10</f>
        <v>0</v>
      </c>
      <c r="P74" s="14">
        <f>AVERAGE(SUMPRODUCT($S74:$BM74,AttWeights!$C$4:$AW$4)/SUM(AttWeights!$C$4:$AW$4),SUMPRODUCT($S74:$BM74,AttWeights!$C$13:$AW$13)/SUM(AttWeights!$C$13:$AW$13))*10</f>
        <v>0</v>
      </c>
      <c r="Q74" s="14">
        <f>AVERAGE(SUMPRODUCT($S74:$BM74,AttWeights!$C$3:$AW$3)/SUM(AttWeights!$C$3:$AW$3),SUMPRODUCT($S74:$BM74,AttWeights!$C$12:$AW$12)/SUM(AttWeights!$C$12:$AW$12))*10</f>
        <v>0</v>
      </c>
      <c r="R74" s="14">
        <f>AVERAGE(SUMPRODUCT($S74:$BM74,AttWeights!$C$2:$AW$2)/SUM(AttWeights!$C$2:$AW$2),SUMPRODUCT($S74:$BM74,AttWeights!$C$11:$AW$11)/SUM(AttWeights!$C$11:$AW$11))*10</f>
        <v>0</v>
      </c>
      <c r="S74" s="3" t="str">
        <f>IF(ISBLANK('Paste Full'!AC74),"",'Paste Full'!AC74)</f>
        <v/>
      </c>
      <c r="T74" s="3" t="str">
        <f>IF(ISBLANK('Paste Full'!AD74),"",'Paste Full'!AD74)</f>
        <v/>
      </c>
      <c r="U74" s="3" t="str">
        <f>IF(ISBLANK('Paste Full'!AE74),"",'Paste Full'!AE74)</f>
        <v/>
      </c>
      <c r="V74" s="3" t="str">
        <f>IF(ISBLANK('Paste Full'!AF74),"",'Paste Full'!AF74)</f>
        <v/>
      </c>
      <c r="W74" s="3" t="str">
        <f>IF(ISBLANK('Paste Full'!AH74),"",'Paste Full'!AH74)</f>
        <v/>
      </c>
      <c r="X74" s="3" t="str">
        <f>IF(ISBLANK('Paste Full'!AI74),"",'Paste Full'!AI74)</f>
        <v/>
      </c>
      <c r="Y74" s="3" t="str">
        <f>IF(ISBLANK('Paste Full'!AK74),"",'Paste Full'!AK74)</f>
        <v/>
      </c>
      <c r="Z74" s="3" t="str">
        <f>IF(ISBLANK('Paste Full'!AL74),"",'Paste Full'!AL74)</f>
        <v/>
      </c>
      <c r="AA74" s="4" t="str">
        <f>IF(ISBLANK('Paste Full'!AM74),"",'Paste Full'!AM74)</f>
        <v/>
      </c>
      <c r="AB74" s="4" t="str">
        <f>IF(ISBLANK('Paste Full'!AN74),"",'Paste Full'!AN74)</f>
        <v/>
      </c>
      <c r="AC74" s="4" t="str">
        <f>IF(ISBLANK('Paste Full'!AO74),"",'Paste Full'!AO74)</f>
        <v/>
      </c>
      <c r="AD74" s="4" t="str">
        <f>IF(ISBLANK('Paste Full'!AP74),"",'Paste Full'!AP74)</f>
        <v/>
      </c>
      <c r="AE74" s="4" t="str">
        <f>IF(ISBLANK('Paste Full'!AQ74),"",'Paste Full'!AQ74)</f>
        <v/>
      </c>
      <c r="AF74" s="4" t="str">
        <f>IF(ISBLANK('Paste Full'!AR74),"",'Paste Full'!AR74)</f>
        <v/>
      </c>
      <c r="AG74" s="4" t="str">
        <f>IF(ISBLANK('Paste Full'!AS74),"",'Paste Full'!AS74)</f>
        <v/>
      </c>
      <c r="AH74" s="4" t="str">
        <f>IF(ISBLANK('Paste Full'!AV74),"",'Paste Full'!AV74)</f>
        <v/>
      </c>
      <c r="AI74" s="4" t="str">
        <f>IF(ISBLANK('Paste Full'!AT74),"",'Paste Full'!AT74)</f>
        <v/>
      </c>
      <c r="AJ74" s="4" t="str">
        <f>IF(ISBLANK('Paste Full'!AU74),"",'Paste Full'!AU74)</f>
        <v/>
      </c>
      <c r="AK74" s="4" t="str">
        <f>IF(ISBLANK('Paste Full'!AW74),"",'Paste Full'!AW74)</f>
        <v/>
      </c>
      <c r="AL74" s="5" t="str">
        <f>IF(ISBLANK('Paste Full'!AX74),"",'Paste Full'!AX74)</f>
        <v/>
      </c>
      <c r="AM74" s="5" t="str">
        <f>IF(ISBLANK('Paste Full'!AY74),"",'Paste Full'!AY74)</f>
        <v/>
      </c>
      <c r="AN74" s="5" t="str">
        <f>IF(ISBLANK('Paste Full'!AZ74),"",'Paste Full'!AZ74)</f>
        <v/>
      </c>
      <c r="AO74" s="5" t="str">
        <f>IF(ISBLANK('Paste Full'!BA74),"",'Paste Full'!BA74)</f>
        <v/>
      </c>
      <c r="AP74" s="5" t="str">
        <f>IF(ISBLANK('Paste Full'!BB74),"",'Paste Full'!BB74)</f>
        <v/>
      </c>
      <c r="AQ74" s="5" t="str">
        <f>IF(ISBLANK('Paste Full'!BC74),"",'Paste Full'!BC74)</f>
        <v/>
      </c>
      <c r="AR74" s="5" t="str">
        <f>IF(ISBLANK('Paste Full'!BD74),"",'Paste Full'!BD74)</f>
        <v/>
      </c>
      <c r="AS74" s="5" t="str">
        <f>IF(ISBLANK('Paste Full'!BE74),"",'Paste Full'!BE74)</f>
        <v/>
      </c>
      <c r="AT74" s="5" t="str">
        <f>IF(ISBLANK('Paste Full'!BF74),"",'Paste Full'!BF74)</f>
        <v/>
      </c>
      <c r="AU74" s="5" t="str">
        <f>IF(ISBLANK('Paste Full'!BG74),"",'Paste Full'!BG74)</f>
        <v/>
      </c>
      <c r="AV74" s="5" t="str">
        <f>IF(ISBLANK('Paste Full'!BH74),"",'Paste Full'!BH74)</f>
        <v/>
      </c>
      <c r="AW74" s="5" t="str">
        <f>IF(ISBLANK('Paste Full'!BI74),"",'Paste Full'!BI74)</f>
        <v/>
      </c>
      <c r="AX74" s="5" t="str">
        <f>IF(ISBLANK('Paste Full'!BJ74),"",'Paste Full'!BJ74)</f>
        <v/>
      </c>
      <c r="AY74" s="5" t="str">
        <f>IF(ISBLANK('Paste Full'!BK74),"",'Paste Full'!BK74)</f>
        <v/>
      </c>
      <c r="AZ74" s="6" t="str">
        <f>IF(ISBLANK('Paste Full'!BM74),"",'Paste Full'!BM74)</f>
        <v/>
      </c>
      <c r="BA74" s="6" t="str">
        <f>IF(ISBLANK('Paste Full'!BN74),"",'Paste Full'!BN74)</f>
        <v/>
      </c>
      <c r="BB74" s="6" t="str">
        <f>IF(ISBLANK('Paste Full'!BO74),"",'Paste Full'!BO74)</f>
        <v/>
      </c>
      <c r="BC74" s="6" t="str">
        <f>IF(ISBLANK('Paste Full'!BP74),"",'Paste Full'!BP74)</f>
        <v/>
      </c>
      <c r="BD74" s="6" t="str">
        <f>IF(ISBLANK('Paste Full'!BR74),"",'Paste Full'!BR74)</f>
        <v/>
      </c>
      <c r="BE74" s="6" t="str">
        <f>IF(ISBLANK('Paste Full'!BS74),"",'Paste Full'!BS74)</f>
        <v/>
      </c>
      <c r="BF74" s="6" t="str">
        <f>IF(ISBLANK('Paste Full'!BU74),"",'Paste Full'!BU74)</f>
        <v/>
      </c>
      <c r="BG74" s="6" t="str">
        <f>IF(ISBLANK('Paste Full'!BV74),"",'Paste Full'!BV74)</f>
        <v/>
      </c>
      <c r="BH74" s="6" t="str">
        <f>IF(ISBLANK('Paste Full'!BX74),"",'Paste Full'!BX74)</f>
        <v/>
      </c>
      <c r="BI74" s="6" t="str">
        <f>IF(ISBLANK('Paste Full'!BY74),"",'Paste Full'!BY74)</f>
        <v/>
      </c>
      <c r="BJ74" s="13" t="str">
        <f>IF(ISBLANK('Paste Full'!BL74),"",'Paste Full'!BL74)</f>
        <v/>
      </c>
      <c r="BK74" s="13" t="str">
        <f>IF(ISBLANK('Paste Full'!BQ74),"",'Paste Full'!BQ74)</f>
        <v/>
      </c>
      <c r="BL74" s="13" t="str">
        <f>IF(ISBLANK('Paste Full'!BT74),"",'Paste Full'!BT74)</f>
        <v/>
      </c>
      <c r="BM74" s="13" t="str">
        <f>IF(ISBLANK('Paste Full'!BW74),"",'Paste Full'!BW74)</f>
        <v/>
      </c>
      <c r="BN74" s="41" t="str">
        <f>IF(ISBLANK('Paste Full'!BZ74),"",'Paste Full'!BZ74)</f>
        <v/>
      </c>
      <c r="BO74" s="41" t="str">
        <f>IF(ISBLANK('Paste Full'!CA74),"",'Paste Full'!CA74)</f>
        <v/>
      </c>
      <c r="BP74" s="41" t="str">
        <f>IF(ISBLANK('Paste Full'!CB74),"",'Paste Full'!CB74)</f>
        <v/>
      </c>
      <c r="BQ74" s="41" t="str">
        <f>IF(ISBLANK('Paste Full'!CC74),"",'Paste Full'!CC74)</f>
        <v/>
      </c>
      <c r="BR74" s="41" t="str">
        <f>IF(ISBLANK('Paste Full'!CD74),"",'Paste Full'!CD74)</f>
        <v/>
      </c>
      <c r="BS74" s="41" t="str">
        <f>IF(ISBLANK('Paste Full'!CE74),"",'Paste Full'!CE74)</f>
        <v/>
      </c>
      <c r="BT74" s="41" t="str">
        <f>IF(ISBLANK('Paste Full'!CF74),"",'Paste Full'!CF74)</f>
        <v/>
      </c>
      <c r="BU74" s="41" t="str">
        <f>IF(ISBLANK('Paste Full'!CG74),"",'Paste Full'!CG74)</f>
        <v/>
      </c>
      <c r="BV74" s="41" t="str">
        <f>IF(ISBLANK('Paste Full'!CH74),"",'Paste Full'!CH74)</f>
        <v/>
      </c>
    </row>
    <row r="75" spans="1:74" x14ac:dyDescent="0.3">
      <c r="A75" t="str">
        <f>IF(ISBLANK('Paste Full'!C75),"",'Paste Full'!C75)</f>
        <v/>
      </c>
      <c r="B75" t="str">
        <f t="shared" si="2"/>
        <v>Striker</v>
      </c>
      <c r="C75" s="2" t="str">
        <f>IF(ISBLANK('Paste Full'!H75),"",'Paste Full'!H75)</f>
        <v/>
      </c>
      <c r="D75" s="2" t="str">
        <f>IF(ISBLANK('Paste Full'!F75),"",'Paste Full'!F75)</f>
        <v/>
      </c>
      <c r="E75" s="2" t="str">
        <f>IF(ISBLANK('Paste Full'!G75),"",'Paste Full'!G75)</f>
        <v/>
      </c>
      <c r="F75" s="21" t="str">
        <f>IF(ISBLANK('Paste Full'!E75),"",'Paste Full'!E75)</f>
        <v/>
      </c>
      <c r="G75" t="str">
        <f>IF(ISBLANK('Paste Full'!CI75),"",'Paste Full'!CI75)</f>
        <v/>
      </c>
      <c r="H75" s="21" t="str">
        <f>IF(ISBLANK('Paste Full'!J75),"",'Paste Full'!J75)</f>
        <v/>
      </c>
      <c r="I75" s="21" t="str">
        <f>IF(ISBLANK('Paste Full'!D75),"",'Paste Full'!D75)</f>
        <v/>
      </c>
      <c r="J75" s="14">
        <f>AVERAGE(SUMPRODUCT($S75:$BM75,AttWeights!$C$10:$AW$10)/SUM(AttWeights!$C$10:$AW$10),SUMPRODUCT($S75:$BM75,AttWeights!$C$17:$AW$17)/SUM(AttWeights!$C$17:$AW$17))*10</f>
        <v>0</v>
      </c>
      <c r="K75" s="14">
        <f>AVERAGE(SUMPRODUCT($S75:$BM75,AttWeights!$C$7:$AW$7)/SUM(AttWeights!$C$7:$AW$7),SUMPRODUCT($S75:$BM75,AttWeights!$C$15:$AW$15)/SUM(AttWeights!$C$15:$AW$15))*10</f>
        <v>0</v>
      </c>
      <c r="L75" s="14">
        <f>AVERAGE(SUMPRODUCT($S75:$BM75,AttWeights!$C$8:$AW$8)/SUM(AttWeights!$C$8:$AW$8),SUMPRODUCT($S75:$BM75,AttWeights!$C$16:$AW$16)/SUM(AttWeights!$C$16:$AW$16))*10</f>
        <v>0</v>
      </c>
      <c r="M75" s="14">
        <f>AVERAGE(SUMPRODUCT($S75:$BM75,AttWeights!$C$9:$AW$9)/SUM(AttWeights!$C$9:$AW$9),SUMPRODUCT($S75:$BM75,AttWeights!$C$15:$AW$15)/SUM(AttWeights!$C$15:$AW$15))*10</f>
        <v>0</v>
      </c>
      <c r="N75" s="14">
        <f>AVERAGE(SUMPRODUCT($S75:$BM75,AttWeights!$C$6:$AW$6)/SUM(AttWeights!$C$6:$AW$6),SUMPRODUCT($S75:$BM75,AttWeights!$C$14:$AW$14)/SUM(AttWeights!$C$14:$AW$14))*10</f>
        <v>0</v>
      </c>
      <c r="O75" s="14">
        <f>AVERAGE(SUMPRODUCT($S75:$BM75,AttWeights!$C$5:$AW$5)/SUM(AttWeights!$C$5:$AW$5),SUMPRODUCT($S75:$BM75,AttWeights!$C$14:$AW$14)/SUM(AttWeights!$C$14:$AW$14))*10</f>
        <v>0</v>
      </c>
      <c r="P75" s="14">
        <f>AVERAGE(SUMPRODUCT($S75:$BM75,AttWeights!$C$4:$AW$4)/SUM(AttWeights!$C$4:$AW$4),SUMPRODUCT($S75:$BM75,AttWeights!$C$13:$AW$13)/SUM(AttWeights!$C$13:$AW$13))*10</f>
        <v>0</v>
      </c>
      <c r="Q75" s="14">
        <f>AVERAGE(SUMPRODUCT($S75:$BM75,AttWeights!$C$3:$AW$3)/SUM(AttWeights!$C$3:$AW$3),SUMPRODUCT($S75:$BM75,AttWeights!$C$12:$AW$12)/SUM(AttWeights!$C$12:$AW$12))*10</f>
        <v>0</v>
      </c>
      <c r="R75" s="14">
        <f>AVERAGE(SUMPRODUCT($S75:$BM75,AttWeights!$C$2:$AW$2)/SUM(AttWeights!$C$2:$AW$2),SUMPRODUCT($S75:$BM75,AttWeights!$C$11:$AW$11)/SUM(AttWeights!$C$11:$AW$11))*10</f>
        <v>0</v>
      </c>
      <c r="S75" s="3" t="str">
        <f>IF(ISBLANK('Paste Full'!AC75),"",'Paste Full'!AC75)</f>
        <v/>
      </c>
      <c r="T75" s="3" t="str">
        <f>IF(ISBLANK('Paste Full'!AD75),"",'Paste Full'!AD75)</f>
        <v/>
      </c>
      <c r="U75" s="3" t="str">
        <f>IF(ISBLANK('Paste Full'!AE75),"",'Paste Full'!AE75)</f>
        <v/>
      </c>
      <c r="V75" s="3" t="str">
        <f>IF(ISBLANK('Paste Full'!AF75),"",'Paste Full'!AF75)</f>
        <v/>
      </c>
      <c r="W75" s="3" t="str">
        <f>IF(ISBLANK('Paste Full'!AH75),"",'Paste Full'!AH75)</f>
        <v/>
      </c>
      <c r="X75" s="3" t="str">
        <f>IF(ISBLANK('Paste Full'!AI75),"",'Paste Full'!AI75)</f>
        <v/>
      </c>
      <c r="Y75" s="3" t="str">
        <f>IF(ISBLANK('Paste Full'!AK75),"",'Paste Full'!AK75)</f>
        <v/>
      </c>
      <c r="Z75" s="3" t="str">
        <f>IF(ISBLANK('Paste Full'!AL75),"",'Paste Full'!AL75)</f>
        <v/>
      </c>
      <c r="AA75" s="4" t="str">
        <f>IF(ISBLANK('Paste Full'!AM75),"",'Paste Full'!AM75)</f>
        <v/>
      </c>
      <c r="AB75" s="4" t="str">
        <f>IF(ISBLANK('Paste Full'!AN75),"",'Paste Full'!AN75)</f>
        <v/>
      </c>
      <c r="AC75" s="4" t="str">
        <f>IF(ISBLANK('Paste Full'!AO75),"",'Paste Full'!AO75)</f>
        <v/>
      </c>
      <c r="AD75" s="4" t="str">
        <f>IF(ISBLANK('Paste Full'!AP75),"",'Paste Full'!AP75)</f>
        <v/>
      </c>
      <c r="AE75" s="4" t="str">
        <f>IF(ISBLANK('Paste Full'!AQ75),"",'Paste Full'!AQ75)</f>
        <v/>
      </c>
      <c r="AF75" s="4" t="str">
        <f>IF(ISBLANK('Paste Full'!AR75),"",'Paste Full'!AR75)</f>
        <v/>
      </c>
      <c r="AG75" s="4" t="str">
        <f>IF(ISBLANK('Paste Full'!AS75),"",'Paste Full'!AS75)</f>
        <v/>
      </c>
      <c r="AH75" s="4" t="str">
        <f>IF(ISBLANK('Paste Full'!AV75),"",'Paste Full'!AV75)</f>
        <v/>
      </c>
      <c r="AI75" s="4" t="str">
        <f>IF(ISBLANK('Paste Full'!AT75),"",'Paste Full'!AT75)</f>
        <v/>
      </c>
      <c r="AJ75" s="4" t="str">
        <f>IF(ISBLANK('Paste Full'!AU75),"",'Paste Full'!AU75)</f>
        <v/>
      </c>
      <c r="AK75" s="4" t="str">
        <f>IF(ISBLANK('Paste Full'!AW75),"",'Paste Full'!AW75)</f>
        <v/>
      </c>
      <c r="AL75" s="5" t="str">
        <f>IF(ISBLANK('Paste Full'!AX75),"",'Paste Full'!AX75)</f>
        <v/>
      </c>
      <c r="AM75" s="5" t="str">
        <f>IF(ISBLANK('Paste Full'!AY75),"",'Paste Full'!AY75)</f>
        <v/>
      </c>
      <c r="AN75" s="5" t="str">
        <f>IF(ISBLANK('Paste Full'!AZ75),"",'Paste Full'!AZ75)</f>
        <v/>
      </c>
      <c r="AO75" s="5" t="str">
        <f>IF(ISBLANK('Paste Full'!BA75),"",'Paste Full'!BA75)</f>
        <v/>
      </c>
      <c r="AP75" s="5" t="str">
        <f>IF(ISBLANK('Paste Full'!BB75),"",'Paste Full'!BB75)</f>
        <v/>
      </c>
      <c r="AQ75" s="5" t="str">
        <f>IF(ISBLANK('Paste Full'!BC75),"",'Paste Full'!BC75)</f>
        <v/>
      </c>
      <c r="AR75" s="5" t="str">
        <f>IF(ISBLANK('Paste Full'!BD75),"",'Paste Full'!BD75)</f>
        <v/>
      </c>
      <c r="AS75" s="5" t="str">
        <f>IF(ISBLANK('Paste Full'!BE75),"",'Paste Full'!BE75)</f>
        <v/>
      </c>
      <c r="AT75" s="5" t="str">
        <f>IF(ISBLANK('Paste Full'!BF75),"",'Paste Full'!BF75)</f>
        <v/>
      </c>
      <c r="AU75" s="5" t="str">
        <f>IF(ISBLANK('Paste Full'!BG75),"",'Paste Full'!BG75)</f>
        <v/>
      </c>
      <c r="AV75" s="5" t="str">
        <f>IF(ISBLANK('Paste Full'!BH75),"",'Paste Full'!BH75)</f>
        <v/>
      </c>
      <c r="AW75" s="5" t="str">
        <f>IF(ISBLANK('Paste Full'!BI75),"",'Paste Full'!BI75)</f>
        <v/>
      </c>
      <c r="AX75" s="5" t="str">
        <f>IF(ISBLANK('Paste Full'!BJ75),"",'Paste Full'!BJ75)</f>
        <v/>
      </c>
      <c r="AY75" s="5" t="str">
        <f>IF(ISBLANK('Paste Full'!BK75),"",'Paste Full'!BK75)</f>
        <v/>
      </c>
      <c r="AZ75" s="6" t="str">
        <f>IF(ISBLANK('Paste Full'!BM75),"",'Paste Full'!BM75)</f>
        <v/>
      </c>
      <c r="BA75" s="6" t="str">
        <f>IF(ISBLANK('Paste Full'!BN75),"",'Paste Full'!BN75)</f>
        <v/>
      </c>
      <c r="BB75" s="6" t="str">
        <f>IF(ISBLANK('Paste Full'!BO75),"",'Paste Full'!BO75)</f>
        <v/>
      </c>
      <c r="BC75" s="6" t="str">
        <f>IF(ISBLANK('Paste Full'!BP75),"",'Paste Full'!BP75)</f>
        <v/>
      </c>
      <c r="BD75" s="6" t="str">
        <f>IF(ISBLANK('Paste Full'!BR75),"",'Paste Full'!BR75)</f>
        <v/>
      </c>
      <c r="BE75" s="6" t="str">
        <f>IF(ISBLANK('Paste Full'!BS75),"",'Paste Full'!BS75)</f>
        <v/>
      </c>
      <c r="BF75" s="6" t="str">
        <f>IF(ISBLANK('Paste Full'!BU75),"",'Paste Full'!BU75)</f>
        <v/>
      </c>
      <c r="BG75" s="6" t="str">
        <f>IF(ISBLANK('Paste Full'!BV75),"",'Paste Full'!BV75)</f>
        <v/>
      </c>
      <c r="BH75" s="6" t="str">
        <f>IF(ISBLANK('Paste Full'!BX75),"",'Paste Full'!BX75)</f>
        <v/>
      </c>
      <c r="BI75" s="6" t="str">
        <f>IF(ISBLANK('Paste Full'!BY75),"",'Paste Full'!BY75)</f>
        <v/>
      </c>
      <c r="BJ75" s="13" t="str">
        <f>IF(ISBLANK('Paste Full'!BL75),"",'Paste Full'!BL75)</f>
        <v/>
      </c>
      <c r="BK75" s="13" t="str">
        <f>IF(ISBLANK('Paste Full'!BQ75),"",'Paste Full'!BQ75)</f>
        <v/>
      </c>
      <c r="BL75" s="13" t="str">
        <f>IF(ISBLANK('Paste Full'!BT75),"",'Paste Full'!BT75)</f>
        <v/>
      </c>
      <c r="BM75" s="13" t="str">
        <f>IF(ISBLANK('Paste Full'!BW75),"",'Paste Full'!BW75)</f>
        <v/>
      </c>
      <c r="BN75" s="41" t="str">
        <f>IF(ISBLANK('Paste Full'!BZ75),"",'Paste Full'!BZ75)</f>
        <v/>
      </c>
      <c r="BO75" s="41" t="str">
        <f>IF(ISBLANK('Paste Full'!CA75),"",'Paste Full'!CA75)</f>
        <v/>
      </c>
      <c r="BP75" s="41" t="str">
        <f>IF(ISBLANK('Paste Full'!CB75),"",'Paste Full'!CB75)</f>
        <v/>
      </c>
      <c r="BQ75" s="41" t="str">
        <f>IF(ISBLANK('Paste Full'!CC75),"",'Paste Full'!CC75)</f>
        <v/>
      </c>
      <c r="BR75" s="41" t="str">
        <f>IF(ISBLANK('Paste Full'!CD75),"",'Paste Full'!CD75)</f>
        <v/>
      </c>
      <c r="BS75" s="41" t="str">
        <f>IF(ISBLANK('Paste Full'!CE75),"",'Paste Full'!CE75)</f>
        <v/>
      </c>
      <c r="BT75" s="41" t="str">
        <f>IF(ISBLANK('Paste Full'!CF75),"",'Paste Full'!CF75)</f>
        <v/>
      </c>
      <c r="BU75" s="41" t="str">
        <f>IF(ISBLANK('Paste Full'!CG75),"",'Paste Full'!CG75)</f>
        <v/>
      </c>
      <c r="BV75" s="41" t="str">
        <f>IF(ISBLANK('Paste Full'!CH75),"",'Paste Full'!CH75)</f>
        <v/>
      </c>
    </row>
    <row r="76" spans="1:74" x14ac:dyDescent="0.3">
      <c r="A76" t="str">
        <f>IF(ISBLANK('Paste Full'!C76),"",'Paste Full'!C76)</f>
        <v/>
      </c>
      <c r="B76" t="str">
        <f t="shared" si="2"/>
        <v>Striker</v>
      </c>
      <c r="C76" s="2" t="str">
        <f>IF(ISBLANK('Paste Full'!H76),"",'Paste Full'!H76)</f>
        <v/>
      </c>
      <c r="D76" s="2" t="str">
        <f>IF(ISBLANK('Paste Full'!F76),"",'Paste Full'!F76)</f>
        <v/>
      </c>
      <c r="E76" s="2" t="str">
        <f>IF(ISBLANK('Paste Full'!G76),"",'Paste Full'!G76)</f>
        <v/>
      </c>
      <c r="F76" s="21" t="str">
        <f>IF(ISBLANK('Paste Full'!E76),"",'Paste Full'!E76)</f>
        <v/>
      </c>
      <c r="G76" t="str">
        <f>IF(ISBLANK('Paste Full'!CI76),"",'Paste Full'!CI76)</f>
        <v/>
      </c>
      <c r="H76" s="21" t="str">
        <f>IF(ISBLANK('Paste Full'!J76),"",'Paste Full'!J76)</f>
        <v/>
      </c>
      <c r="I76" s="21" t="str">
        <f>IF(ISBLANK('Paste Full'!D76),"",'Paste Full'!D76)</f>
        <v/>
      </c>
      <c r="J76" s="14">
        <f>AVERAGE(SUMPRODUCT($S76:$BM76,AttWeights!$C$10:$AW$10)/SUM(AttWeights!$C$10:$AW$10),SUMPRODUCT($S76:$BM76,AttWeights!$C$17:$AW$17)/SUM(AttWeights!$C$17:$AW$17))*10</f>
        <v>0</v>
      </c>
      <c r="K76" s="14">
        <f>AVERAGE(SUMPRODUCT($S76:$BM76,AttWeights!$C$7:$AW$7)/SUM(AttWeights!$C$7:$AW$7),SUMPRODUCT($S76:$BM76,AttWeights!$C$15:$AW$15)/SUM(AttWeights!$C$15:$AW$15))*10</f>
        <v>0</v>
      </c>
      <c r="L76" s="14">
        <f>AVERAGE(SUMPRODUCT($S76:$BM76,AttWeights!$C$8:$AW$8)/SUM(AttWeights!$C$8:$AW$8),SUMPRODUCT($S76:$BM76,AttWeights!$C$16:$AW$16)/SUM(AttWeights!$C$16:$AW$16))*10</f>
        <v>0</v>
      </c>
      <c r="M76" s="14">
        <f>AVERAGE(SUMPRODUCT($S76:$BM76,AttWeights!$C$9:$AW$9)/SUM(AttWeights!$C$9:$AW$9),SUMPRODUCT($S76:$BM76,AttWeights!$C$15:$AW$15)/SUM(AttWeights!$C$15:$AW$15))*10</f>
        <v>0</v>
      </c>
      <c r="N76" s="14">
        <f>AVERAGE(SUMPRODUCT($S76:$BM76,AttWeights!$C$6:$AW$6)/SUM(AttWeights!$C$6:$AW$6),SUMPRODUCT($S76:$BM76,AttWeights!$C$14:$AW$14)/SUM(AttWeights!$C$14:$AW$14))*10</f>
        <v>0</v>
      </c>
      <c r="O76" s="14">
        <f>AVERAGE(SUMPRODUCT($S76:$BM76,AttWeights!$C$5:$AW$5)/SUM(AttWeights!$C$5:$AW$5),SUMPRODUCT($S76:$BM76,AttWeights!$C$14:$AW$14)/SUM(AttWeights!$C$14:$AW$14))*10</f>
        <v>0</v>
      </c>
      <c r="P76" s="14">
        <f>AVERAGE(SUMPRODUCT($S76:$BM76,AttWeights!$C$4:$AW$4)/SUM(AttWeights!$C$4:$AW$4),SUMPRODUCT($S76:$BM76,AttWeights!$C$13:$AW$13)/SUM(AttWeights!$C$13:$AW$13))*10</f>
        <v>0</v>
      </c>
      <c r="Q76" s="14">
        <f>AVERAGE(SUMPRODUCT($S76:$BM76,AttWeights!$C$3:$AW$3)/SUM(AttWeights!$C$3:$AW$3),SUMPRODUCT($S76:$BM76,AttWeights!$C$12:$AW$12)/SUM(AttWeights!$C$12:$AW$12))*10</f>
        <v>0</v>
      </c>
      <c r="R76" s="14">
        <f>AVERAGE(SUMPRODUCT($S76:$BM76,AttWeights!$C$2:$AW$2)/SUM(AttWeights!$C$2:$AW$2),SUMPRODUCT($S76:$BM76,AttWeights!$C$11:$AW$11)/SUM(AttWeights!$C$11:$AW$11))*10</f>
        <v>0</v>
      </c>
      <c r="S76" s="3" t="str">
        <f>IF(ISBLANK('Paste Full'!AC76),"",'Paste Full'!AC76)</f>
        <v/>
      </c>
      <c r="T76" s="3" t="str">
        <f>IF(ISBLANK('Paste Full'!AD76),"",'Paste Full'!AD76)</f>
        <v/>
      </c>
      <c r="U76" s="3" t="str">
        <f>IF(ISBLANK('Paste Full'!AE76),"",'Paste Full'!AE76)</f>
        <v/>
      </c>
      <c r="V76" s="3" t="str">
        <f>IF(ISBLANK('Paste Full'!AF76),"",'Paste Full'!AF76)</f>
        <v/>
      </c>
      <c r="W76" s="3" t="str">
        <f>IF(ISBLANK('Paste Full'!AH76),"",'Paste Full'!AH76)</f>
        <v/>
      </c>
      <c r="X76" s="3" t="str">
        <f>IF(ISBLANK('Paste Full'!AI76),"",'Paste Full'!AI76)</f>
        <v/>
      </c>
      <c r="Y76" s="3" t="str">
        <f>IF(ISBLANK('Paste Full'!AK76),"",'Paste Full'!AK76)</f>
        <v/>
      </c>
      <c r="Z76" s="3" t="str">
        <f>IF(ISBLANK('Paste Full'!AL76),"",'Paste Full'!AL76)</f>
        <v/>
      </c>
      <c r="AA76" s="4" t="str">
        <f>IF(ISBLANK('Paste Full'!AM76),"",'Paste Full'!AM76)</f>
        <v/>
      </c>
      <c r="AB76" s="4" t="str">
        <f>IF(ISBLANK('Paste Full'!AN76),"",'Paste Full'!AN76)</f>
        <v/>
      </c>
      <c r="AC76" s="4" t="str">
        <f>IF(ISBLANK('Paste Full'!AO76),"",'Paste Full'!AO76)</f>
        <v/>
      </c>
      <c r="AD76" s="4" t="str">
        <f>IF(ISBLANK('Paste Full'!AP76),"",'Paste Full'!AP76)</f>
        <v/>
      </c>
      <c r="AE76" s="4" t="str">
        <f>IF(ISBLANK('Paste Full'!AQ76),"",'Paste Full'!AQ76)</f>
        <v/>
      </c>
      <c r="AF76" s="4" t="str">
        <f>IF(ISBLANK('Paste Full'!AR76),"",'Paste Full'!AR76)</f>
        <v/>
      </c>
      <c r="AG76" s="4" t="str">
        <f>IF(ISBLANK('Paste Full'!AS76),"",'Paste Full'!AS76)</f>
        <v/>
      </c>
      <c r="AH76" s="4" t="str">
        <f>IF(ISBLANK('Paste Full'!AV76),"",'Paste Full'!AV76)</f>
        <v/>
      </c>
      <c r="AI76" s="4" t="str">
        <f>IF(ISBLANK('Paste Full'!AT76),"",'Paste Full'!AT76)</f>
        <v/>
      </c>
      <c r="AJ76" s="4" t="str">
        <f>IF(ISBLANK('Paste Full'!AU76),"",'Paste Full'!AU76)</f>
        <v/>
      </c>
      <c r="AK76" s="4" t="str">
        <f>IF(ISBLANK('Paste Full'!AW76),"",'Paste Full'!AW76)</f>
        <v/>
      </c>
      <c r="AL76" s="5" t="str">
        <f>IF(ISBLANK('Paste Full'!AX76),"",'Paste Full'!AX76)</f>
        <v/>
      </c>
      <c r="AM76" s="5" t="str">
        <f>IF(ISBLANK('Paste Full'!AY76),"",'Paste Full'!AY76)</f>
        <v/>
      </c>
      <c r="AN76" s="5" t="str">
        <f>IF(ISBLANK('Paste Full'!AZ76),"",'Paste Full'!AZ76)</f>
        <v/>
      </c>
      <c r="AO76" s="5" t="str">
        <f>IF(ISBLANK('Paste Full'!BA76),"",'Paste Full'!BA76)</f>
        <v/>
      </c>
      <c r="AP76" s="5" t="str">
        <f>IF(ISBLANK('Paste Full'!BB76),"",'Paste Full'!BB76)</f>
        <v/>
      </c>
      <c r="AQ76" s="5" t="str">
        <f>IF(ISBLANK('Paste Full'!BC76),"",'Paste Full'!BC76)</f>
        <v/>
      </c>
      <c r="AR76" s="5" t="str">
        <f>IF(ISBLANK('Paste Full'!BD76),"",'Paste Full'!BD76)</f>
        <v/>
      </c>
      <c r="AS76" s="5" t="str">
        <f>IF(ISBLANK('Paste Full'!BE76),"",'Paste Full'!BE76)</f>
        <v/>
      </c>
      <c r="AT76" s="5" t="str">
        <f>IF(ISBLANK('Paste Full'!BF76),"",'Paste Full'!BF76)</f>
        <v/>
      </c>
      <c r="AU76" s="5" t="str">
        <f>IF(ISBLANK('Paste Full'!BG76),"",'Paste Full'!BG76)</f>
        <v/>
      </c>
      <c r="AV76" s="5" t="str">
        <f>IF(ISBLANK('Paste Full'!BH76),"",'Paste Full'!BH76)</f>
        <v/>
      </c>
      <c r="AW76" s="5" t="str">
        <f>IF(ISBLANK('Paste Full'!BI76),"",'Paste Full'!BI76)</f>
        <v/>
      </c>
      <c r="AX76" s="5" t="str">
        <f>IF(ISBLANK('Paste Full'!BJ76),"",'Paste Full'!BJ76)</f>
        <v/>
      </c>
      <c r="AY76" s="5" t="str">
        <f>IF(ISBLANK('Paste Full'!BK76),"",'Paste Full'!BK76)</f>
        <v/>
      </c>
      <c r="AZ76" s="6" t="str">
        <f>IF(ISBLANK('Paste Full'!BM76),"",'Paste Full'!BM76)</f>
        <v/>
      </c>
      <c r="BA76" s="6" t="str">
        <f>IF(ISBLANK('Paste Full'!BN76),"",'Paste Full'!BN76)</f>
        <v/>
      </c>
      <c r="BB76" s="6" t="str">
        <f>IF(ISBLANK('Paste Full'!BO76),"",'Paste Full'!BO76)</f>
        <v/>
      </c>
      <c r="BC76" s="6" t="str">
        <f>IF(ISBLANK('Paste Full'!BP76),"",'Paste Full'!BP76)</f>
        <v/>
      </c>
      <c r="BD76" s="6" t="str">
        <f>IF(ISBLANK('Paste Full'!BR76),"",'Paste Full'!BR76)</f>
        <v/>
      </c>
      <c r="BE76" s="6" t="str">
        <f>IF(ISBLANK('Paste Full'!BS76),"",'Paste Full'!BS76)</f>
        <v/>
      </c>
      <c r="BF76" s="6" t="str">
        <f>IF(ISBLANK('Paste Full'!BU76),"",'Paste Full'!BU76)</f>
        <v/>
      </c>
      <c r="BG76" s="6" t="str">
        <f>IF(ISBLANK('Paste Full'!BV76),"",'Paste Full'!BV76)</f>
        <v/>
      </c>
      <c r="BH76" s="6" t="str">
        <f>IF(ISBLANK('Paste Full'!BX76),"",'Paste Full'!BX76)</f>
        <v/>
      </c>
      <c r="BI76" s="6" t="str">
        <f>IF(ISBLANK('Paste Full'!BY76),"",'Paste Full'!BY76)</f>
        <v/>
      </c>
      <c r="BJ76" s="13" t="str">
        <f>IF(ISBLANK('Paste Full'!BL76),"",'Paste Full'!BL76)</f>
        <v/>
      </c>
      <c r="BK76" s="13" t="str">
        <f>IF(ISBLANK('Paste Full'!BQ76),"",'Paste Full'!BQ76)</f>
        <v/>
      </c>
      <c r="BL76" s="13" t="str">
        <f>IF(ISBLANK('Paste Full'!BT76),"",'Paste Full'!BT76)</f>
        <v/>
      </c>
      <c r="BM76" s="13" t="str">
        <f>IF(ISBLANK('Paste Full'!BW76),"",'Paste Full'!BW76)</f>
        <v/>
      </c>
      <c r="BN76" s="41" t="str">
        <f>IF(ISBLANK('Paste Full'!BZ76),"",'Paste Full'!BZ76)</f>
        <v/>
      </c>
      <c r="BO76" s="41" t="str">
        <f>IF(ISBLANK('Paste Full'!CA76),"",'Paste Full'!CA76)</f>
        <v/>
      </c>
      <c r="BP76" s="41" t="str">
        <f>IF(ISBLANK('Paste Full'!CB76),"",'Paste Full'!CB76)</f>
        <v/>
      </c>
      <c r="BQ76" s="41" t="str">
        <f>IF(ISBLANK('Paste Full'!CC76),"",'Paste Full'!CC76)</f>
        <v/>
      </c>
      <c r="BR76" s="41" t="str">
        <f>IF(ISBLANK('Paste Full'!CD76),"",'Paste Full'!CD76)</f>
        <v/>
      </c>
      <c r="BS76" s="41" t="str">
        <f>IF(ISBLANK('Paste Full'!CE76),"",'Paste Full'!CE76)</f>
        <v/>
      </c>
      <c r="BT76" s="41" t="str">
        <f>IF(ISBLANK('Paste Full'!CF76),"",'Paste Full'!CF76)</f>
        <v/>
      </c>
      <c r="BU76" s="41" t="str">
        <f>IF(ISBLANK('Paste Full'!CG76),"",'Paste Full'!CG76)</f>
        <v/>
      </c>
      <c r="BV76" s="41" t="str">
        <f>IF(ISBLANK('Paste Full'!CH76),"",'Paste Full'!CH76)</f>
        <v/>
      </c>
    </row>
    <row r="77" spans="1:74" x14ac:dyDescent="0.3">
      <c r="A77" t="str">
        <f>IF(ISBLANK('Paste Full'!C77),"",'Paste Full'!C77)</f>
        <v/>
      </c>
      <c r="B77" t="str">
        <f t="shared" si="2"/>
        <v>Striker</v>
      </c>
      <c r="C77" s="2" t="str">
        <f>IF(ISBLANK('Paste Full'!H77),"",'Paste Full'!H77)</f>
        <v/>
      </c>
      <c r="D77" s="2" t="str">
        <f>IF(ISBLANK('Paste Full'!F77),"",'Paste Full'!F77)</f>
        <v/>
      </c>
      <c r="E77" s="2" t="str">
        <f>IF(ISBLANK('Paste Full'!G77),"",'Paste Full'!G77)</f>
        <v/>
      </c>
      <c r="F77" s="21" t="str">
        <f>IF(ISBLANK('Paste Full'!E77),"",'Paste Full'!E77)</f>
        <v/>
      </c>
      <c r="G77" t="str">
        <f>IF(ISBLANK('Paste Full'!CI77),"",'Paste Full'!CI77)</f>
        <v/>
      </c>
      <c r="H77" s="21" t="str">
        <f>IF(ISBLANK('Paste Full'!J77),"",'Paste Full'!J77)</f>
        <v/>
      </c>
      <c r="I77" s="21" t="str">
        <f>IF(ISBLANK('Paste Full'!D77),"",'Paste Full'!D77)</f>
        <v/>
      </c>
      <c r="J77" s="14">
        <f>AVERAGE(SUMPRODUCT($S77:$BM77,AttWeights!$C$10:$AW$10)/SUM(AttWeights!$C$10:$AW$10),SUMPRODUCT($S77:$BM77,AttWeights!$C$17:$AW$17)/SUM(AttWeights!$C$17:$AW$17))*10</f>
        <v>0</v>
      </c>
      <c r="K77" s="14">
        <f>AVERAGE(SUMPRODUCT($S77:$BM77,AttWeights!$C$7:$AW$7)/SUM(AttWeights!$C$7:$AW$7),SUMPRODUCT($S77:$BM77,AttWeights!$C$15:$AW$15)/SUM(AttWeights!$C$15:$AW$15))*10</f>
        <v>0</v>
      </c>
      <c r="L77" s="14">
        <f>AVERAGE(SUMPRODUCT($S77:$BM77,AttWeights!$C$8:$AW$8)/SUM(AttWeights!$C$8:$AW$8),SUMPRODUCT($S77:$BM77,AttWeights!$C$16:$AW$16)/SUM(AttWeights!$C$16:$AW$16))*10</f>
        <v>0</v>
      </c>
      <c r="M77" s="14">
        <f>AVERAGE(SUMPRODUCT($S77:$BM77,AttWeights!$C$9:$AW$9)/SUM(AttWeights!$C$9:$AW$9),SUMPRODUCT($S77:$BM77,AttWeights!$C$15:$AW$15)/SUM(AttWeights!$C$15:$AW$15))*10</f>
        <v>0</v>
      </c>
      <c r="N77" s="14">
        <f>AVERAGE(SUMPRODUCT($S77:$BM77,AttWeights!$C$6:$AW$6)/SUM(AttWeights!$C$6:$AW$6),SUMPRODUCT($S77:$BM77,AttWeights!$C$14:$AW$14)/SUM(AttWeights!$C$14:$AW$14))*10</f>
        <v>0</v>
      </c>
      <c r="O77" s="14">
        <f>AVERAGE(SUMPRODUCT($S77:$BM77,AttWeights!$C$5:$AW$5)/SUM(AttWeights!$C$5:$AW$5),SUMPRODUCT($S77:$BM77,AttWeights!$C$14:$AW$14)/SUM(AttWeights!$C$14:$AW$14))*10</f>
        <v>0</v>
      </c>
      <c r="P77" s="14">
        <f>AVERAGE(SUMPRODUCT($S77:$BM77,AttWeights!$C$4:$AW$4)/SUM(AttWeights!$C$4:$AW$4),SUMPRODUCT($S77:$BM77,AttWeights!$C$13:$AW$13)/SUM(AttWeights!$C$13:$AW$13))*10</f>
        <v>0</v>
      </c>
      <c r="Q77" s="14">
        <f>AVERAGE(SUMPRODUCT($S77:$BM77,AttWeights!$C$3:$AW$3)/SUM(AttWeights!$C$3:$AW$3),SUMPRODUCT($S77:$BM77,AttWeights!$C$12:$AW$12)/SUM(AttWeights!$C$12:$AW$12))*10</f>
        <v>0</v>
      </c>
      <c r="R77" s="14">
        <f>AVERAGE(SUMPRODUCT($S77:$BM77,AttWeights!$C$2:$AW$2)/SUM(AttWeights!$C$2:$AW$2),SUMPRODUCT($S77:$BM77,AttWeights!$C$11:$AW$11)/SUM(AttWeights!$C$11:$AW$11))*10</f>
        <v>0</v>
      </c>
      <c r="S77" s="3" t="str">
        <f>IF(ISBLANK('Paste Full'!AC77),"",'Paste Full'!AC77)</f>
        <v/>
      </c>
      <c r="T77" s="3" t="str">
        <f>IF(ISBLANK('Paste Full'!AD77),"",'Paste Full'!AD77)</f>
        <v/>
      </c>
      <c r="U77" s="3" t="str">
        <f>IF(ISBLANK('Paste Full'!AE77),"",'Paste Full'!AE77)</f>
        <v/>
      </c>
      <c r="V77" s="3" t="str">
        <f>IF(ISBLANK('Paste Full'!AF77),"",'Paste Full'!AF77)</f>
        <v/>
      </c>
      <c r="W77" s="3" t="str">
        <f>IF(ISBLANK('Paste Full'!AH77),"",'Paste Full'!AH77)</f>
        <v/>
      </c>
      <c r="X77" s="3" t="str">
        <f>IF(ISBLANK('Paste Full'!AI77),"",'Paste Full'!AI77)</f>
        <v/>
      </c>
      <c r="Y77" s="3" t="str">
        <f>IF(ISBLANK('Paste Full'!AK77),"",'Paste Full'!AK77)</f>
        <v/>
      </c>
      <c r="Z77" s="3" t="str">
        <f>IF(ISBLANK('Paste Full'!AL77),"",'Paste Full'!AL77)</f>
        <v/>
      </c>
      <c r="AA77" s="4" t="str">
        <f>IF(ISBLANK('Paste Full'!AM77),"",'Paste Full'!AM77)</f>
        <v/>
      </c>
      <c r="AB77" s="4" t="str">
        <f>IF(ISBLANK('Paste Full'!AN77),"",'Paste Full'!AN77)</f>
        <v/>
      </c>
      <c r="AC77" s="4" t="str">
        <f>IF(ISBLANK('Paste Full'!AO77),"",'Paste Full'!AO77)</f>
        <v/>
      </c>
      <c r="AD77" s="4" t="str">
        <f>IF(ISBLANK('Paste Full'!AP77),"",'Paste Full'!AP77)</f>
        <v/>
      </c>
      <c r="AE77" s="4" t="str">
        <f>IF(ISBLANK('Paste Full'!AQ77),"",'Paste Full'!AQ77)</f>
        <v/>
      </c>
      <c r="AF77" s="4" t="str">
        <f>IF(ISBLANK('Paste Full'!AR77),"",'Paste Full'!AR77)</f>
        <v/>
      </c>
      <c r="AG77" s="4" t="str">
        <f>IF(ISBLANK('Paste Full'!AS77),"",'Paste Full'!AS77)</f>
        <v/>
      </c>
      <c r="AH77" s="4" t="str">
        <f>IF(ISBLANK('Paste Full'!AV77),"",'Paste Full'!AV77)</f>
        <v/>
      </c>
      <c r="AI77" s="4" t="str">
        <f>IF(ISBLANK('Paste Full'!AT77),"",'Paste Full'!AT77)</f>
        <v/>
      </c>
      <c r="AJ77" s="4" t="str">
        <f>IF(ISBLANK('Paste Full'!AU77),"",'Paste Full'!AU77)</f>
        <v/>
      </c>
      <c r="AK77" s="4" t="str">
        <f>IF(ISBLANK('Paste Full'!AW77),"",'Paste Full'!AW77)</f>
        <v/>
      </c>
      <c r="AL77" s="5" t="str">
        <f>IF(ISBLANK('Paste Full'!AX77),"",'Paste Full'!AX77)</f>
        <v/>
      </c>
      <c r="AM77" s="5" t="str">
        <f>IF(ISBLANK('Paste Full'!AY77),"",'Paste Full'!AY77)</f>
        <v/>
      </c>
      <c r="AN77" s="5" t="str">
        <f>IF(ISBLANK('Paste Full'!AZ77),"",'Paste Full'!AZ77)</f>
        <v/>
      </c>
      <c r="AO77" s="5" t="str">
        <f>IF(ISBLANK('Paste Full'!BA77),"",'Paste Full'!BA77)</f>
        <v/>
      </c>
      <c r="AP77" s="5" t="str">
        <f>IF(ISBLANK('Paste Full'!BB77),"",'Paste Full'!BB77)</f>
        <v/>
      </c>
      <c r="AQ77" s="5" t="str">
        <f>IF(ISBLANK('Paste Full'!BC77),"",'Paste Full'!BC77)</f>
        <v/>
      </c>
      <c r="AR77" s="5" t="str">
        <f>IF(ISBLANK('Paste Full'!BD77),"",'Paste Full'!BD77)</f>
        <v/>
      </c>
      <c r="AS77" s="5" t="str">
        <f>IF(ISBLANK('Paste Full'!BE77),"",'Paste Full'!BE77)</f>
        <v/>
      </c>
      <c r="AT77" s="5" t="str">
        <f>IF(ISBLANK('Paste Full'!BF77),"",'Paste Full'!BF77)</f>
        <v/>
      </c>
      <c r="AU77" s="5" t="str">
        <f>IF(ISBLANK('Paste Full'!BG77),"",'Paste Full'!BG77)</f>
        <v/>
      </c>
      <c r="AV77" s="5" t="str">
        <f>IF(ISBLANK('Paste Full'!BH77),"",'Paste Full'!BH77)</f>
        <v/>
      </c>
      <c r="AW77" s="5" t="str">
        <f>IF(ISBLANK('Paste Full'!BI77),"",'Paste Full'!BI77)</f>
        <v/>
      </c>
      <c r="AX77" s="5" t="str">
        <f>IF(ISBLANK('Paste Full'!BJ77),"",'Paste Full'!BJ77)</f>
        <v/>
      </c>
      <c r="AY77" s="5" t="str">
        <f>IF(ISBLANK('Paste Full'!BK77),"",'Paste Full'!BK77)</f>
        <v/>
      </c>
      <c r="AZ77" s="6" t="str">
        <f>IF(ISBLANK('Paste Full'!BM77),"",'Paste Full'!BM77)</f>
        <v/>
      </c>
      <c r="BA77" s="6" t="str">
        <f>IF(ISBLANK('Paste Full'!BN77),"",'Paste Full'!BN77)</f>
        <v/>
      </c>
      <c r="BB77" s="6" t="str">
        <f>IF(ISBLANK('Paste Full'!BO77),"",'Paste Full'!BO77)</f>
        <v/>
      </c>
      <c r="BC77" s="6" t="str">
        <f>IF(ISBLANK('Paste Full'!BP77),"",'Paste Full'!BP77)</f>
        <v/>
      </c>
      <c r="BD77" s="6" t="str">
        <f>IF(ISBLANK('Paste Full'!BR77),"",'Paste Full'!BR77)</f>
        <v/>
      </c>
      <c r="BE77" s="6" t="str">
        <f>IF(ISBLANK('Paste Full'!BS77),"",'Paste Full'!BS77)</f>
        <v/>
      </c>
      <c r="BF77" s="6" t="str">
        <f>IF(ISBLANK('Paste Full'!BU77),"",'Paste Full'!BU77)</f>
        <v/>
      </c>
      <c r="BG77" s="6" t="str">
        <f>IF(ISBLANK('Paste Full'!BV77),"",'Paste Full'!BV77)</f>
        <v/>
      </c>
      <c r="BH77" s="6" t="str">
        <f>IF(ISBLANK('Paste Full'!BX77),"",'Paste Full'!BX77)</f>
        <v/>
      </c>
      <c r="BI77" s="6" t="str">
        <f>IF(ISBLANK('Paste Full'!BY77),"",'Paste Full'!BY77)</f>
        <v/>
      </c>
      <c r="BJ77" s="13" t="str">
        <f>IF(ISBLANK('Paste Full'!BL77),"",'Paste Full'!BL77)</f>
        <v/>
      </c>
      <c r="BK77" s="13" t="str">
        <f>IF(ISBLANK('Paste Full'!BQ77),"",'Paste Full'!BQ77)</f>
        <v/>
      </c>
      <c r="BL77" s="13" t="str">
        <f>IF(ISBLANK('Paste Full'!BT77),"",'Paste Full'!BT77)</f>
        <v/>
      </c>
      <c r="BM77" s="13" t="str">
        <f>IF(ISBLANK('Paste Full'!BW77),"",'Paste Full'!BW77)</f>
        <v/>
      </c>
      <c r="BN77" s="41" t="str">
        <f>IF(ISBLANK('Paste Full'!BZ77),"",'Paste Full'!BZ77)</f>
        <v/>
      </c>
      <c r="BO77" s="41" t="str">
        <f>IF(ISBLANK('Paste Full'!CA77),"",'Paste Full'!CA77)</f>
        <v/>
      </c>
      <c r="BP77" s="41" t="str">
        <f>IF(ISBLANK('Paste Full'!CB77),"",'Paste Full'!CB77)</f>
        <v/>
      </c>
      <c r="BQ77" s="41" t="str">
        <f>IF(ISBLANK('Paste Full'!CC77),"",'Paste Full'!CC77)</f>
        <v/>
      </c>
      <c r="BR77" s="41" t="str">
        <f>IF(ISBLANK('Paste Full'!CD77),"",'Paste Full'!CD77)</f>
        <v/>
      </c>
      <c r="BS77" s="41" t="str">
        <f>IF(ISBLANK('Paste Full'!CE77),"",'Paste Full'!CE77)</f>
        <v/>
      </c>
      <c r="BT77" s="41" t="str">
        <f>IF(ISBLANK('Paste Full'!CF77),"",'Paste Full'!CF77)</f>
        <v/>
      </c>
      <c r="BU77" s="41" t="str">
        <f>IF(ISBLANK('Paste Full'!CG77),"",'Paste Full'!CG77)</f>
        <v/>
      </c>
      <c r="BV77" s="41" t="str">
        <f>IF(ISBLANK('Paste Full'!CH77),"",'Paste Full'!CH77)</f>
        <v/>
      </c>
    </row>
    <row r="78" spans="1:74" x14ac:dyDescent="0.3">
      <c r="A78" t="str">
        <f>IF(ISBLANK('Paste Full'!C78),"",'Paste Full'!C78)</f>
        <v/>
      </c>
      <c r="B78" t="str">
        <f t="shared" si="2"/>
        <v>Striker</v>
      </c>
      <c r="C78" s="2" t="str">
        <f>IF(ISBLANK('Paste Full'!H78),"",'Paste Full'!H78)</f>
        <v/>
      </c>
      <c r="D78" s="2" t="str">
        <f>IF(ISBLANK('Paste Full'!F78),"",'Paste Full'!F78)</f>
        <v/>
      </c>
      <c r="E78" s="2" t="str">
        <f>IF(ISBLANK('Paste Full'!G78),"",'Paste Full'!G78)</f>
        <v/>
      </c>
      <c r="F78" s="21" t="str">
        <f>IF(ISBLANK('Paste Full'!E78),"",'Paste Full'!E78)</f>
        <v/>
      </c>
      <c r="G78" t="str">
        <f>IF(ISBLANK('Paste Full'!CI78),"",'Paste Full'!CI78)</f>
        <v/>
      </c>
      <c r="H78" s="21" t="str">
        <f>IF(ISBLANK('Paste Full'!J78),"",'Paste Full'!J78)</f>
        <v/>
      </c>
      <c r="I78" s="21" t="str">
        <f>IF(ISBLANK('Paste Full'!D78),"",'Paste Full'!D78)</f>
        <v/>
      </c>
      <c r="J78" s="14">
        <f>AVERAGE(SUMPRODUCT($S78:$BM78,AttWeights!$C$10:$AW$10)/SUM(AttWeights!$C$10:$AW$10),SUMPRODUCT($S78:$BM78,AttWeights!$C$17:$AW$17)/SUM(AttWeights!$C$17:$AW$17))*10</f>
        <v>0</v>
      </c>
      <c r="K78" s="14">
        <f>AVERAGE(SUMPRODUCT($S78:$BM78,AttWeights!$C$7:$AW$7)/SUM(AttWeights!$C$7:$AW$7),SUMPRODUCT($S78:$BM78,AttWeights!$C$15:$AW$15)/SUM(AttWeights!$C$15:$AW$15))*10</f>
        <v>0</v>
      </c>
      <c r="L78" s="14">
        <f>AVERAGE(SUMPRODUCT($S78:$BM78,AttWeights!$C$8:$AW$8)/SUM(AttWeights!$C$8:$AW$8),SUMPRODUCT($S78:$BM78,AttWeights!$C$16:$AW$16)/SUM(AttWeights!$C$16:$AW$16))*10</f>
        <v>0</v>
      </c>
      <c r="M78" s="14">
        <f>AVERAGE(SUMPRODUCT($S78:$BM78,AttWeights!$C$9:$AW$9)/SUM(AttWeights!$C$9:$AW$9),SUMPRODUCT($S78:$BM78,AttWeights!$C$15:$AW$15)/SUM(AttWeights!$C$15:$AW$15))*10</f>
        <v>0</v>
      </c>
      <c r="N78" s="14">
        <f>AVERAGE(SUMPRODUCT($S78:$BM78,AttWeights!$C$6:$AW$6)/SUM(AttWeights!$C$6:$AW$6),SUMPRODUCT($S78:$BM78,AttWeights!$C$14:$AW$14)/SUM(AttWeights!$C$14:$AW$14))*10</f>
        <v>0</v>
      </c>
      <c r="O78" s="14">
        <f>AVERAGE(SUMPRODUCT($S78:$BM78,AttWeights!$C$5:$AW$5)/SUM(AttWeights!$C$5:$AW$5),SUMPRODUCT($S78:$BM78,AttWeights!$C$14:$AW$14)/SUM(AttWeights!$C$14:$AW$14))*10</f>
        <v>0</v>
      </c>
      <c r="P78" s="14">
        <f>AVERAGE(SUMPRODUCT($S78:$BM78,AttWeights!$C$4:$AW$4)/SUM(AttWeights!$C$4:$AW$4),SUMPRODUCT($S78:$BM78,AttWeights!$C$13:$AW$13)/SUM(AttWeights!$C$13:$AW$13))*10</f>
        <v>0</v>
      </c>
      <c r="Q78" s="14">
        <f>AVERAGE(SUMPRODUCT($S78:$BM78,AttWeights!$C$3:$AW$3)/SUM(AttWeights!$C$3:$AW$3),SUMPRODUCT($S78:$BM78,AttWeights!$C$12:$AW$12)/SUM(AttWeights!$C$12:$AW$12))*10</f>
        <v>0</v>
      </c>
      <c r="R78" s="14">
        <f>AVERAGE(SUMPRODUCT($S78:$BM78,AttWeights!$C$2:$AW$2)/SUM(AttWeights!$C$2:$AW$2),SUMPRODUCT($S78:$BM78,AttWeights!$C$11:$AW$11)/SUM(AttWeights!$C$11:$AW$11))*10</f>
        <v>0</v>
      </c>
      <c r="S78" s="3" t="str">
        <f>IF(ISBLANK('Paste Full'!AC78),"",'Paste Full'!AC78)</f>
        <v/>
      </c>
      <c r="T78" s="3" t="str">
        <f>IF(ISBLANK('Paste Full'!AD78),"",'Paste Full'!AD78)</f>
        <v/>
      </c>
      <c r="U78" s="3" t="str">
        <f>IF(ISBLANK('Paste Full'!AE78),"",'Paste Full'!AE78)</f>
        <v/>
      </c>
      <c r="V78" s="3" t="str">
        <f>IF(ISBLANK('Paste Full'!AF78),"",'Paste Full'!AF78)</f>
        <v/>
      </c>
      <c r="W78" s="3" t="str">
        <f>IF(ISBLANK('Paste Full'!AH78),"",'Paste Full'!AH78)</f>
        <v/>
      </c>
      <c r="X78" s="3" t="str">
        <f>IF(ISBLANK('Paste Full'!AI78),"",'Paste Full'!AI78)</f>
        <v/>
      </c>
      <c r="Y78" s="3" t="str">
        <f>IF(ISBLANK('Paste Full'!AK78),"",'Paste Full'!AK78)</f>
        <v/>
      </c>
      <c r="Z78" s="3" t="str">
        <f>IF(ISBLANK('Paste Full'!AL78),"",'Paste Full'!AL78)</f>
        <v/>
      </c>
      <c r="AA78" s="4" t="str">
        <f>IF(ISBLANK('Paste Full'!AM78),"",'Paste Full'!AM78)</f>
        <v/>
      </c>
      <c r="AB78" s="4" t="str">
        <f>IF(ISBLANK('Paste Full'!AN78),"",'Paste Full'!AN78)</f>
        <v/>
      </c>
      <c r="AC78" s="4" t="str">
        <f>IF(ISBLANK('Paste Full'!AO78),"",'Paste Full'!AO78)</f>
        <v/>
      </c>
      <c r="AD78" s="4" t="str">
        <f>IF(ISBLANK('Paste Full'!AP78),"",'Paste Full'!AP78)</f>
        <v/>
      </c>
      <c r="AE78" s="4" t="str">
        <f>IF(ISBLANK('Paste Full'!AQ78),"",'Paste Full'!AQ78)</f>
        <v/>
      </c>
      <c r="AF78" s="4" t="str">
        <f>IF(ISBLANK('Paste Full'!AR78),"",'Paste Full'!AR78)</f>
        <v/>
      </c>
      <c r="AG78" s="4" t="str">
        <f>IF(ISBLANK('Paste Full'!AS78),"",'Paste Full'!AS78)</f>
        <v/>
      </c>
      <c r="AH78" s="4" t="str">
        <f>IF(ISBLANK('Paste Full'!AV78),"",'Paste Full'!AV78)</f>
        <v/>
      </c>
      <c r="AI78" s="4" t="str">
        <f>IF(ISBLANK('Paste Full'!AT78),"",'Paste Full'!AT78)</f>
        <v/>
      </c>
      <c r="AJ78" s="4" t="str">
        <f>IF(ISBLANK('Paste Full'!AU78),"",'Paste Full'!AU78)</f>
        <v/>
      </c>
      <c r="AK78" s="4" t="str">
        <f>IF(ISBLANK('Paste Full'!AW78),"",'Paste Full'!AW78)</f>
        <v/>
      </c>
      <c r="AL78" s="5" t="str">
        <f>IF(ISBLANK('Paste Full'!AX78),"",'Paste Full'!AX78)</f>
        <v/>
      </c>
      <c r="AM78" s="5" t="str">
        <f>IF(ISBLANK('Paste Full'!AY78),"",'Paste Full'!AY78)</f>
        <v/>
      </c>
      <c r="AN78" s="5" t="str">
        <f>IF(ISBLANK('Paste Full'!AZ78),"",'Paste Full'!AZ78)</f>
        <v/>
      </c>
      <c r="AO78" s="5" t="str">
        <f>IF(ISBLANK('Paste Full'!BA78),"",'Paste Full'!BA78)</f>
        <v/>
      </c>
      <c r="AP78" s="5" t="str">
        <f>IF(ISBLANK('Paste Full'!BB78),"",'Paste Full'!BB78)</f>
        <v/>
      </c>
      <c r="AQ78" s="5" t="str">
        <f>IF(ISBLANK('Paste Full'!BC78),"",'Paste Full'!BC78)</f>
        <v/>
      </c>
      <c r="AR78" s="5" t="str">
        <f>IF(ISBLANK('Paste Full'!BD78),"",'Paste Full'!BD78)</f>
        <v/>
      </c>
      <c r="AS78" s="5" t="str">
        <f>IF(ISBLANK('Paste Full'!BE78),"",'Paste Full'!BE78)</f>
        <v/>
      </c>
      <c r="AT78" s="5" t="str">
        <f>IF(ISBLANK('Paste Full'!BF78),"",'Paste Full'!BF78)</f>
        <v/>
      </c>
      <c r="AU78" s="5" t="str">
        <f>IF(ISBLANK('Paste Full'!BG78),"",'Paste Full'!BG78)</f>
        <v/>
      </c>
      <c r="AV78" s="5" t="str">
        <f>IF(ISBLANK('Paste Full'!BH78),"",'Paste Full'!BH78)</f>
        <v/>
      </c>
      <c r="AW78" s="5" t="str">
        <f>IF(ISBLANK('Paste Full'!BI78),"",'Paste Full'!BI78)</f>
        <v/>
      </c>
      <c r="AX78" s="5" t="str">
        <f>IF(ISBLANK('Paste Full'!BJ78),"",'Paste Full'!BJ78)</f>
        <v/>
      </c>
      <c r="AY78" s="5" t="str">
        <f>IF(ISBLANK('Paste Full'!BK78),"",'Paste Full'!BK78)</f>
        <v/>
      </c>
      <c r="AZ78" s="6" t="str">
        <f>IF(ISBLANK('Paste Full'!BM78),"",'Paste Full'!BM78)</f>
        <v/>
      </c>
      <c r="BA78" s="6" t="str">
        <f>IF(ISBLANK('Paste Full'!BN78),"",'Paste Full'!BN78)</f>
        <v/>
      </c>
      <c r="BB78" s="6" t="str">
        <f>IF(ISBLANK('Paste Full'!BO78),"",'Paste Full'!BO78)</f>
        <v/>
      </c>
      <c r="BC78" s="6" t="str">
        <f>IF(ISBLANK('Paste Full'!BP78),"",'Paste Full'!BP78)</f>
        <v/>
      </c>
      <c r="BD78" s="6" t="str">
        <f>IF(ISBLANK('Paste Full'!BR78),"",'Paste Full'!BR78)</f>
        <v/>
      </c>
      <c r="BE78" s="6" t="str">
        <f>IF(ISBLANK('Paste Full'!BS78),"",'Paste Full'!BS78)</f>
        <v/>
      </c>
      <c r="BF78" s="6" t="str">
        <f>IF(ISBLANK('Paste Full'!BU78),"",'Paste Full'!BU78)</f>
        <v/>
      </c>
      <c r="BG78" s="6" t="str">
        <f>IF(ISBLANK('Paste Full'!BV78),"",'Paste Full'!BV78)</f>
        <v/>
      </c>
      <c r="BH78" s="6" t="str">
        <f>IF(ISBLANK('Paste Full'!BX78),"",'Paste Full'!BX78)</f>
        <v/>
      </c>
      <c r="BI78" s="6" t="str">
        <f>IF(ISBLANK('Paste Full'!BY78),"",'Paste Full'!BY78)</f>
        <v/>
      </c>
      <c r="BJ78" s="13" t="str">
        <f>IF(ISBLANK('Paste Full'!BL78),"",'Paste Full'!BL78)</f>
        <v/>
      </c>
      <c r="BK78" s="13" t="str">
        <f>IF(ISBLANK('Paste Full'!BQ78),"",'Paste Full'!BQ78)</f>
        <v/>
      </c>
      <c r="BL78" s="13" t="str">
        <f>IF(ISBLANK('Paste Full'!BT78),"",'Paste Full'!BT78)</f>
        <v/>
      </c>
      <c r="BM78" s="13" t="str">
        <f>IF(ISBLANK('Paste Full'!BW78),"",'Paste Full'!BW78)</f>
        <v/>
      </c>
      <c r="BN78" s="41" t="str">
        <f>IF(ISBLANK('Paste Full'!BZ78),"",'Paste Full'!BZ78)</f>
        <v/>
      </c>
      <c r="BO78" s="41" t="str">
        <f>IF(ISBLANK('Paste Full'!CA78),"",'Paste Full'!CA78)</f>
        <v/>
      </c>
      <c r="BP78" s="41" t="str">
        <f>IF(ISBLANK('Paste Full'!CB78),"",'Paste Full'!CB78)</f>
        <v/>
      </c>
      <c r="BQ78" s="41" t="str">
        <f>IF(ISBLANK('Paste Full'!CC78),"",'Paste Full'!CC78)</f>
        <v/>
      </c>
      <c r="BR78" s="41" t="str">
        <f>IF(ISBLANK('Paste Full'!CD78),"",'Paste Full'!CD78)</f>
        <v/>
      </c>
      <c r="BS78" s="41" t="str">
        <f>IF(ISBLANK('Paste Full'!CE78),"",'Paste Full'!CE78)</f>
        <v/>
      </c>
      <c r="BT78" s="41" t="str">
        <f>IF(ISBLANK('Paste Full'!CF78),"",'Paste Full'!CF78)</f>
        <v/>
      </c>
      <c r="BU78" s="41" t="str">
        <f>IF(ISBLANK('Paste Full'!CG78),"",'Paste Full'!CG78)</f>
        <v/>
      </c>
      <c r="BV78" s="41" t="str">
        <f>IF(ISBLANK('Paste Full'!CH78),"",'Paste Full'!CH78)</f>
        <v/>
      </c>
    </row>
    <row r="79" spans="1:74" x14ac:dyDescent="0.3">
      <c r="A79" t="str">
        <f>IF(ISBLANK('Paste Full'!C79),"",'Paste Full'!C79)</f>
        <v/>
      </c>
      <c r="B79" t="str">
        <f t="shared" si="2"/>
        <v>Striker</v>
      </c>
      <c r="C79" s="2" t="str">
        <f>IF(ISBLANK('Paste Full'!H79),"",'Paste Full'!H79)</f>
        <v/>
      </c>
      <c r="D79" s="2" t="str">
        <f>IF(ISBLANK('Paste Full'!F79),"",'Paste Full'!F79)</f>
        <v/>
      </c>
      <c r="E79" s="2" t="str">
        <f>IF(ISBLANK('Paste Full'!G79),"",'Paste Full'!G79)</f>
        <v/>
      </c>
      <c r="F79" s="21" t="str">
        <f>IF(ISBLANK('Paste Full'!E79),"",'Paste Full'!E79)</f>
        <v/>
      </c>
      <c r="G79" t="str">
        <f>IF(ISBLANK('Paste Full'!CI79),"",'Paste Full'!CI79)</f>
        <v/>
      </c>
      <c r="H79" s="21" t="str">
        <f>IF(ISBLANK('Paste Full'!J79),"",'Paste Full'!J79)</f>
        <v/>
      </c>
      <c r="I79" s="21" t="str">
        <f>IF(ISBLANK('Paste Full'!D79),"",'Paste Full'!D79)</f>
        <v/>
      </c>
      <c r="J79" s="14">
        <f>AVERAGE(SUMPRODUCT($S79:$BM79,AttWeights!$C$10:$AW$10)/SUM(AttWeights!$C$10:$AW$10),SUMPRODUCT($S79:$BM79,AttWeights!$C$17:$AW$17)/SUM(AttWeights!$C$17:$AW$17))*10</f>
        <v>0</v>
      </c>
      <c r="K79" s="14">
        <f>AVERAGE(SUMPRODUCT($S79:$BM79,AttWeights!$C$7:$AW$7)/SUM(AttWeights!$C$7:$AW$7),SUMPRODUCT($S79:$BM79,AttWeights!$C$15:$AW$15)/SUM(AttWeights!$C$15:$AW$15))*10</f>
        <v>0</v>
      </c>
      <c r="L79" s="14">
        <f>AVERAGE(SUMPRODUCT($S79:$BM79,AttWeights!$C$8:$AW$8)/SUM(AttWeights!$C$8:$AW$8),SUMPRODUCT($S79:$BM79,AttWeights!$C$16:$AW$16)/SUM(AttWeights!$C$16:$AW$16))*10</f>
        <v>0</v>
      </c>
      <c r="M79" s="14">
        <f>AVERAGE(SUMPRODUCT($S79:$BM79,AttWeights!$C$9:$AW$9)/SUM(AttWeights!$C$9:$AW$9),SUMPRODUCT($S79:$BM79,AttWeights!$C$15:$AW$15)/SUM(AttWeights!$C$15:$AW$15))*10</f>
        <v>0</v>
      </c>
      <c r="N79" s="14">
        <f>AVERAGE(SUMPRODUCT($S79:$BM79,AttWeights!$C$6:$AW$6)/SUM(AttWeights!$C$6:$AW$6),SUMPRODUCT($S79:$BM79,AttWeights!$C$14:$AW$14)/SUM(AttWeights!$C$14:$AW$14))*10</f>
        <v>0</v>
      </c>
      <c r="O79" s="14">
        <f>AVERAGE(SUMPRODUCT($S79:$BM79,AttWeights!$C$5:$AW$5)/SUM(AttWeights!$C$5:$AW$5),SUMPRODUCT($S79:$BM79,AttWeights!$C$14:$AW$14)/SUM(AttWeights!$C$14:$AW$14))*10</f>
        <v>0</v>
      </c>
      <c r="P79" s="14">
        <f>AVERAGE(SUMPRODUCT($S79:$BM79,AttWeights!$C$4:$AW$4)/SUM(AttWeights!$C$4:$AW$4),SUMPRODUCT($S79:$BM79,AttWeights!$C$13:$AW$13)/SUM(AttWeights!$C$13:$AW$13))*10</f>
        <v>0</v>
      </c>
      <c r="Q79" s="14">
        <f>AVERAGE(SUMPRODUCT($S79:$BM79,AttWeights!$C$3:$AW$3)/SUM(AttWeights!$C$3:$AW$3),SUMPRODUCT($S79:$BM79,AttWeights!$C$12:$AW$12)/SUM(AttWeights!$C$12:$AW$12))*10</f>
        <v>0</v>
      </c>
      <c r="R79" s="14">
        <f>AVERAGE(SUMPRODUCT($S79:$BM79,AttWeights!$C$2:$AW$2)/SUM(AttWeights!$C$2:$AW$2),SUMPRODUCT($S79:$BM79,AttWeights!$C$11:$AW$11)/SUM(AttWeights!$C$11:$AW$11))*10</f>
        <v>0</v>
      </c>
      <c r="S79" s="3" t="str">
        <f>IF(ISBLANK('Paste Full'!AC79),"",'Paste Full'!AC79)</f>
        <v/>
      </c>
      <c r="T79" s="3" t="str">
        <f>IF(ISBLANK('Paste Full'!AD79),"",'Paste Full'!AD79)</f>
        <v/>
      </c>
      <c r="U79" s="3" t="str">
        <f>IF(ISBLANK('Paste Full'!AE79),"",'Paste Full'!AE79)</f>
        <v/>
      </c>
      <c r="V79" s="3" t="str">
        <f>IF(ISBLANK('Paste Full'!AF79),"",'Paste Full'!AF79)</f>
        <v/>
      </c>
      <c r="W79" s="3" t="str">
        <f>IF(ISBLANK('Paste Full'!AH79),"",'Paste Full'!AH79)</f>
        <v/>
      </c>
      <c r="X79" s="3" t="str">
        <f>IF(ISBLANK('Paste Full'!AI79),"",'Paste Full'!AI79)</f>
        <v/>
      </c>
      <c r="Y79" s="3" t="str">
        <f>IF(ISBLANK('Paste Full'!AK79),"",'Paste Full'!AK79)</f>
        <v/>
      </c>
      <c r="Z79" s="3" t="str">
        <f>IF(ISBLANK('Paste Full'!AL79),"",'Paste Full'!AL79)</f>
        <v/>
      </c>
      <c r="AA79" s="4" t="str">
        <f>IF(ISBLANK('Paste Full'!AM79),"",'Paste Full'!AM79)</f>
        <v/>
      </c>
      <c r="AB79" s="4" t="str">
        <f>IF(ISBLANK('Paste Full'!AN79),"",'Paste Full'!AN79)</f>
        <v/>
      </c>
      <c r="AC79" s="4" t="str">
        <f>IF(ISBLANK('Paste Full'!AO79),"",'Paste Full'!AO79)</f>
        <v/>
      </c>
      <c r="AD79" s="4" t="str">
        <f>IF(ISBLANK('Paste Full'!AP79),"",'Paste Full'!AP79)</f>
        <v/>
      </c>
      <c r="AE79" s="4" t="str">
        <f>IF(ISBLANK('Paste Full'!AQ79),"",'Paste Full'!AQ79)</f>
        <v/>
      </c>
      <c r="AF79" s="4" t="str">
        <f>IF(ISBLANK('Paste Full'!AR79),"",'Paste Full'!AR79)</f>
        <v/>
      </c>
      <c r="AG79" s="4" t="str">
        <f>IF(ISBLANK('Paste Full'!AS79),"",'Paste Full'!AS79)</f>
        <v/>
      </c>
      <c r="AH79" s="4" t="str">
        <f>IF(ISBLANK('Paste Full'!AV79),"",'Paste Full'!AV79)</f>
        <v/>
      </c>
      <c r="AI79" s="4" t="str">
        <f>IF(ISBLANK('Paste Full'!AT79),"",'Paste Full'!AT79)</f>
        <v/>
      </c>
      <c r="AJ79" s="4" t="str">
        <f>IF(ISBLANK('Paste Full'!AU79),"",'Paste Full'!AU79)</f>
        <v/>
      </c>
      <c r="AK79" s="4" t="str">
        <f>IF(ISBLANK('Paste Full'!AW79),"",'Paste Full'!AW79)</f>
        <v/>
      </c>
      <c r="AL79" s="5" t="str">
        <f>IF(ISBLANK('Paste Full'!AX79),"",'Paste Full'!AX79)</f>
        <v/>
      </c>
      <c r="AM79" s="5" t="str">
        <f>IF(ISBLANK('Paste Full'!AY79),"",'Paste Full'!AY79)</f>
        <v/>
      </c>
      <c r="AN79" s="5" t="str">
        <f>IF(ISBLANK('Paste Full'!AZ79),"",'Paste Full'!AZ79)</f>
        <v/>
      </c>
      <c r="AO79" s="5" t="str">
        <f>IF(ISBLANK('Paste Full'!BA79),"",'Paste Full'!BA79)</f>
        <v/>
      </c>
      <c r="AP79" s="5" t="str">
        <f>IF(ISBLANK('Paste Full'!BB79),"",'Paste Full'!BB79)</f>
        <v/>
      </c>
      <c r="AQ79" s="5" t="str">
        <f>IF(ISBLANK('Paste Full'!BC79),"",'Paste Full'!BC79)</f>
        <v/>
      </c>
      <c r="AR79" s="5" t="str">
        <f>IF(ISBLANK('Paste Full'!BD79),"",'Paste Full'!BD79)</f>
        <v/>
      </c>
      <c r="AS79" s="5" t="str">
        <f>IF(ISBLANK('Paste Full'!BE79),"",'Paste Full'!BE79)</f>
        <v/>
      </c>
      <c r="AT79" s="5" t="str">
        <f>IF(ISBLANK('Paste Full'!BF79),"",'Paste Full'!BF79)</f>
        <v/>
      </c>
      <c r="AU79" s="5" t="str">
        <f>IF(ISBLANK('Paste Full'!BG79),"",'Paste Full'!BG79)</f>
        <v/>
      </c>
      <c r="AV79" s="5" t="str">
        <f>IF(ISBLANK('Paste Full'!BH79),"",'Paste Full'!BH79)</f>
        <v/>
      </c>
      <c r="AW79" s="5" t="str">
        <f>IF(ISBLANK('Paste Full'!BI79),"",'Paste Full'!BI79)</f>
        <v/>
      </c>
      <c r="AX79" s="5" t="str">
        <f>IF(ISBLANK('Paste Full'!BJ79),"",'Paste Full'!BJ79)</f>
        <v/>
      </c>
      <c r="AY79" s="5" t="str">
        <f>IF(ISBLANK('Paste Full'!BK79),"",'Paste Full'!BK79)</f>
        <v/>
      </c>
      <c r="AZ79" s="6" t="str">
        <f>IF(ISBLANK('Paste Full'!BM79),"",'Paste Full'!BM79)</f>
        <v/>
      </c>
      <c r="BA79" s="6" t="str">
        <f>IF(ISBLANK('Paste Full'!BN79),"",'Paste Full'!BN79)</f>
        <v/>
      </c>
      <c r="BB79" s="6" t="str">
        <f>IF(ISBLANK('Paste Full'!BO79),"",'Paste Full'!BO79)</f>
        <v/>
      </c>
      <c r="BC79" s="6" t="str">
        <f>IF(ISBLANK('Paste Full'!BP79),"",'Paste Full'!BP79)</f>
        <v/>
      </c>
      <c r="BD79" s="6" t="str">
        <f>IF(ISBLANK('Paste Full'!BR79),"",'Paste Full'!BR79)</f>
        <v/>
      </c>
      <c r="BE79" s="6" t="str">
        <f>IF(ISBLANK('Paste Full'!BS79),"",'Paste Full'!BS79)</f>
        <v/>
      </c>
      <c r="BF79" s="6" t="str">
        <f>IF(ISBLANK('Paste Full'!BU79),"",'Paste Full'!BU79)</f>
        <v/>
      </c>
      <c r="BG79" s="6" t="str">
        <f>IF(ISBLANK('Paste Full'!BV79),"",'Paste Full'!BV79)</f>
        <v/>
      </c>
      <c r="BH79" s="6" t="str">
        <f>IF(ISBLANK('Paste Full'!BX79),"",'Paste Full'!BX79)</f>
        <v/>
      </c>
      <c r="BI79" s="6" t="str">
        <f>IF(ISBLANK('Paste Full'!BY79),"",'Paste Full'!BY79)</f>
        <v/>
      </c>
      <c r="BJ79" s="13" t="str">
        <f>IF(ISBLANK('Paste Full'!BL79),"",'Paste Full'!BL79)</f>
        <v/>
      </c>
      <c r="BK79" s="13" t="str">
        <f>IF(ISBLANK('Paste Full'!BQ79),"",'Paste Full'!BQ79)</f>
        <v/>
      </c>
      <c r="BL79" s="13" t="str">
        <f>IF(ISBLANK('Paste Full'!BT79),"",'Paste Full'!BT79)</f>
        <v/>
      </c>
      <c r="BM79" s="13" t="str">
        <f>IF(ISBLANK('Paste Full'!BW79),"",'Paste Full'!BW79)</f>
        <v/>
      </c>
      <c r="BN79" s="41" t="str">
        <f>IF(ISBLANK('Paste Full'!BZ79),"",'Paste Full'!BZ79)</f>
        <v/>
      </c>
      <c r="BO79" s="41" t="str">
        <f>IF(ISBLANK('Paste Full'!CA79),"",'Paste Full'!CA79)</f>
        <v/>
      </c>
      <c r="BP79" s="41" t="str">
        <f>IF(ISBLANK('Paste Full'!CB79),"",'Paste Full'!CB79)</f>
        <v/>
      </c>
      <c r="BQ79" s="41" t="str">
        <f>IF(ISBLANK('Paste Full'!CC79),"",'Paste Full'!CC79)</f>
        <v/>
      </c>
      <c r="BR79" s="41" t="str">
        <f>IF(ISBLANK('Paste Full'!CD79),"",'Paste Full'!CD79)</f>
        <v/>
      </c>
      <c r="BS79" s="41" t="str">
        <f>IF(ISBLANK('Paste Full'!CE79),"",'Paste Full'!CE79)</f>
        <v/>
      </c>
      <c r="BT79" s="41" t="str">
        <f>IF(ISBLANK('Paste Full'!CF79),"",'Paste Full'!CF79)</f>
        <v/>
      </c>
      <c r="BU79" s="41" t="str">
        <f>IF(ISBLANK('Paste Full'!CG79),"",'Paste Full'!CG79)</f>
        <v/>
      </c>
      <c r="BV79" s="41" t="str">
        <f>IF(ISBLANK('Paste Full'!CH79),"",'Paste Full'!CH79)</f>
        <v/>
      </c>
    </row>
    <row r="80" spans="1:74" x14ac:dyDescent="0.3">
      <c r="A80" t="str">
        <f>IF(ISBLANK('Paste Full'!C80),"",'Paste Full'!C80)</f>
        <v/>
      </c>
      <c r="B80" t="str">
        <f t="shared" si="2"/>
        <v>Striker</v>
      </c>
      <c r="C80" s="2" t="str">
        <f>IF(ISBLANK('Paste Full'!H80),"",'Paste Full'!H80)</f>
        <v/>
      </c>
      <c r="D80" s="2" t="str">
        <f>IF(ISBLANK('Paste Full'!F80),"",'Paste Full'!F80)</f>
        <v/>
      </c>
      <c r="E80" s="2" t="str">
        <f>IF(ISBLANK('Paste Full'!G80),"",'Paste Full'!G80)</f>
        <v/>
      </c>
      <c r="F80" s="21" t="str">
        <f>IF(ISBLANK('Paste Full'!E80),"",'Paste Full'!E80)</f>
        <v/>
      </c>
      <c r="G80" t="str">
        <f>IF(ISBLANK('Paste Full'!CI80),"",'Paste Full'!CI80)</f>
        <v/>
      </c>
      <c r="H80" s="21" t="str">
        <f>IF(ISBLANK('Paste Full'!J80),"",'Paste Full'!J80)</f>
        <v/>
      </c>
      <c r="I80" s="21" t="str">
        <f>IF(ISBLANK('Paste Full'!D80),"",'Paste Full'!D80)</f>
        <v/>
      </c>
      <c r="J80" s="14">
        <f>AVERAGE(SUMPRODUCT($S80:$BM80,AttWeights!$C$10:$AW$10)/SUM(AttWeights!$C$10:$AW$10),SUMPRODUCT($S80:$BM80,AttWeights!$C$17:$AW$17)/SUM(AttWeights!$C$17:$AW$17))*10</f>
        <v>0</v>
      </c>
      <c r="K80" s="14">
        <f>AVERAGE(SUMPRODUCT($S80:$BM80,AttWeights!$C$7:$AW$7)/SUM(AttWeights!$C$7:$AW$7),SUMPRODUCT($S80:$BM80,AttWeights!$C$15:$AW$15)/SUM(AttWeights!$C$15:$AW$15))*10</f>
        <v>0</v>
      </c>
      <c r="L80" s="14">
        <f>AVERAGE(SUMPRODUCT($S80:$BM80,AttWeights!$C$8:$AW$8)/SUM(AttWeights!$C$8:$AW$8),SUMPRODUCT($S80:$BM80,AttWeights!$C$16:$AW$16)/SUM(AttWeights!$C$16:$AW$16))*10</f>
        <v>0</v>
      </c>
      <c r="M80" s="14">
        <f>AVERAGE(SUMPRODUCT($S80:$BM80,AttWeights!$C$9:$AW$9)/SUM(AttWeights!$C$9:$AW$9),SUMPRODUCT($S80:$BM80,AttWeights!$C$15:$AW$15)/SUM(AttWeights!$C$15:$AW$15))*10</f>
        <v>0</v>
      </c>
      <c r="N80" s="14">
        <f>AVERAGE(SUMPRODUCT($S80:$BM80,AttWeights!$C$6:$AW$6)/SUM(AttWeights!$C$6:$AW$6),SUMPRODUCT($S80:$BM80,AttWeights!$C$14:$AW$14)/SUM(AttWeights!$C$14:$AW$14))*10</f>
        <v>0</v>
      </c>
      <c r="O80" s="14">
        <f>AVERAGE(SUMPRODUCT($S80:$BM80,AttWeights!$C$5:$AW$5)/SUM(AttWeights!$C$5:$AW$5),SUMPRODUCT($S80:$BM80,AttWeights!$C$14:$AW$14)/SUM(AttWeights!$C$14:$AW$14))*10</f>
        <v>0</v>
      </c>
      <c r="P80" s="14">
        <f>AVERAGE(SUMPRODUCT($S80:$BM80,AttWeights!$C$4:$AW$4)/SUM(AttWeights!$C$4:$AW$4),SUMPRODUCT($S80:$BM80,AttWeights!$C$13:$AW$13)/SUM(AttWeights!$C$13:$AW$13))*10</f>
        <v>0</v>
      </c>
      <c r="Q80" s="14">
        <f>AVERAGE(SUMPRODUCT($S80:$BM80,AttWeights!$C$3:$AW$3)/SUM(AttWeights!$C$3:$AW$3),SUMPRODUCT($S80:$BM80,AttWeights!$C$12:$AW$12)/SUM(AttWeights!$C$12:$AW$12))*10</f>
        <v>0</v>
      </c>
      <c r="R80" s="14">
        <f>AVERAGE(SUMPRODUCT($S80:$BM80,AttWeights!$C$2:$AW$2)/SUM(AttWeights!$C$2:$AW$2),SUMPRODUCT($S80:$BM80,AttWeights!$C$11:$AW$11)/SUM(AttWeights!$C$11:$AW$11))*10</f>
        <v>0</v>
      </c>
      <c r="S80" s="3" t="str">
        <f>IF(ISBLANK('Paste Full'!AC80),"",'Paste Full'!AC80)</f>
        <v/>
      </c>
      <c r="T80" s="3" t="str">
        <f>IF(ISBLANK('Paste Full'!AD80),"",'Paste Full'!AD80)</f>
        <v/>
      </c>
      <c r="U80" s="3" t="str">
        <f>IF(ISBLANK('Paste Full'!AE80),"",'Paste Full'!AE80)</f>
        <v/>
      </c>
      <c r="V80" s="3" t="str">
        <f>IF(ISBLANK('Paste Full'!AF80),"",'Paste Full'!AF80)</f>
        <v/>
      </c>
      <c r="W80" s="3" t="str">
        <f>IF(ISBLANK('Paste Full'!AH80),"",'Paste Full'!AH80)</f>
        <v/>
      </c>
      <c r="X80" s="3" t="str">
        <f>IF(ISBLANK('Paste Full'!AI80),"",'Paste Full'!AI80)</f>
        <v/>
      </c>
      <c r="Y80" s="3" t="str">
        <f>IF(ISBLANK('Paste Full'!AK80),"",'Paste Full'!AK80)</f>
        <v/>
      </c>
      <c r="Z80" s="3" t="str">
        <f>IF(ISBLANK('Paste Full'!AL80),"",'Paste Full'!AL80)</f>
        <v/>
      </c>
      <c r="AA80" s="4" t="str">
        <f>IF(ISBLANK('Paste Full'!AM80),"",'Paste Full'!AM80)</f>
        <v/>
      </c>
      <c r="AB80" s="4" t="str">
        <f>IF(ISBLANK('Paste Full'!AN80),"",'Paste Full'!AN80)</f>
        <v/>
      </c>
      <c r="AC80" s="4" t="str">
        <f>IF(ISBLANK('Paste Full'!AO80),"",'Paste Full'!AO80)</f>
        <v/>
      </c>
      <c r="AD80" s="4" t="str">
        <f>IF(ISBLANK('Paste Full'!AP80),"",'Paste Full'!AP80)</f>
        <v/>
      </c>
      <c r="AE80" s="4" t="str">
        <f>IF(ISBLANK('Paste Full'!AQ80),"",'Paste Full'!AQ80)</f>
        <v/>
      </c>
      <c r="AF80" s="4" t="str">
        <f>IF(ISBLANK('Paste Full'!AR80),"",'Paste Full'!AR80)</f>
        <v/>
      </c>
      <c r="AG80" s="4" t="str">
        <f>IF(ISBLANK('Paste Full'!AS80),"",'Paste Full'!AS80)</f>
        <v/>
      </c>
      <c r="AH80" s="4" t="str">
        <f>IF(ISBLANK('Paste Full'!AV80),"",'Paste Full'!AV80)</f>
        <v/>
      </c>
      <c r="AI80" s="4" t="str">
        <f>IF(ISBLANK('Paste Full'!AT80),"",'Paste Full'!AT80)</f>
        <v/>
      </c>
      <c r="AJ80" s="4" t="str">
        <f>IF(ISBLANK('Paste Full'!AU80),"",'Paste Full'!AU80)</f>
        <v/>
      </c>
      <c r="AK80" s="4" t="str">
        <f>IF(ISBLANK('Paste Full'!AW80),"",'Paste Full'!AW80)</f>
        <v/>
      </c>
      <c r="AL80" s="5" t="str">
        <f>IF(ISBLANK('Paste Full'!AX80),"",'Paste Full'!AX80)</f>
        <v/>
      </c>
      <c r="AM80" s="5" t="str">
        <f>IF(ISBLANK('Paste Full'!AY80),"",'Paste Full'!AY80)</f>
        <v/>
      </c>
      <c r="AN80" s="5" t="str">
        <f>IF(ISBLANK('Paste Full'!AZ80),"",'Paste Full'!AZ80)</f>
        <v/>
      </c>
      <c r="AO80" s="5" t="str">
        <f>IF(ISBLANK('Paste Full'!BA80),"",'Paste Full'!BA80)</f>
        <v/>
      </c>
      <c r="AP80" s="5" t="str">
        <f>IF(ISBLANK('Paste Full'!BB80),"",'Paste Full'!BB80)</f>
        <v/>
      </c>
      <c r="AQ80" s="5" t="str">
        <f>IF(ISBLANK('Paste Full'!BC80),"",'Paste Full'!BC80)</f>
        <v/>
      </c>
      <c r="AR80" s="5" t="str">
        <f>IF(ISBLANK('Paste Full'!BD80),"",'Paste Full'!BD80)</f>
        <v/>
      </c>
      <c r="AS80" s="5" t="str">
        <f>IF(ISBLANK('Paste Full'!BE80),"",'Paste Full'!BE80)</f>
        <v/>
      </c>
      <c r="AT80" s="5" t="str">
        <f>IF(ISBLANK('Paste Full'!BF80),"",'Paste Full'!BF80)</f>
        <v/>
      </c>
      <c r="AU80" s="5" t="str">
        <f>IF(ISBLANK('Paste Full'!BG80),"",'Paste Full'!BG80)</f>
        <v/>
      </c>
      <c r="AV80" s="5" t="str">
        <f>IF(ISBLANK('Paste Full'!BH80),"",'Paste Full'!BH80)</f>
        <v/>
      </c>
      <c r="AW80" s="5" t="str">
        <f>IF(ISBLANK('Paste Full'!BI80),"",'Paste Full'!BI80)</f>
        <v/>
      </c>
      <c r="AX80" s="5" t="str">
        <f>IF(ISBLANK('Paste Full'!BJ80),"",'Paste Full'!BJ80)</f>
        <v/>
      </c>
      <c r="AY80" s="5" t="str">
        <f>IF(ISBLANK('Paste Full'!BK80),"",'Paste Full'!BK80)</f>
        <v/>
      </c>
      <c r="AZ80" s="6" t="str">
        <f>IF(ISBLANK('Paste Full'!BM80),"",'Paste Full'!BM80)</f>
        <v/>
      </c>
      <c r="BA80" s="6" t="str">
        <f>IF(ISBLANK('Paste Full'!BN80),"",'Paste Full'!BN80)</f>
        <v/>
      </c>
      <c r="BB80" s="6" t="str">
        <f>IF(ISBLANK('Paste Full'!BO80),"",'Paste Full'!BO80)</f>
        <v/>
      </c>
      <c r="BC80" s="6" t="str">
        <f>IF(ISBLANK('Paste Full'!BP80),"",'Paste Full'!BP80)</f>
        <v/>
      </c>
      <c r="BD80" s="6" t="str">
        <f>IF(ISBLANK('Paste Full'!BR80),"",'Paste Full'!BR80)</f>
        <v/>
      </c>
      <c r="BE80" s="6" t="str">
        <f>IF(ISBLANK('Paste Full'!BS80),"",'Paste Full'!BS80)</f>
        <v/>
      </c>
      <c r="BF80" s="6" t="str">
        <f>IF(ISBLANK('Paste Full'!BU80),"",'Paste Full'!BU80)</f>
        <v/>
      </c>
      <c r="BG80" s="6" t="str">
        <f>IF(ISBLANK('Paste Full'!BV80),"",'Paste Full'!BV80)</f>
        <v/>
      </c>
      <c r="BH80" s="6" t="str">
        <f>IF(ISBLANK('Paste Full'!BX80),"",'Paste Full'!BX80)</f>
        <v/>
      </c>
      <c r="BI80" s="6" t="str">
        <f>IF(ISBLANK('Paste Full'!BY80),"",'Paste Full'!BY80)</f>
        <v/>
      </c>
      <c r="BJ80" s="13" t="str">
        <f>IF(ISBLANK('Paste Full'!BL80),"",'Paste Full'!BL80)</f>
        <v/>
      </c>
      <c r="BK80" s="13" t="str">
        <f>IF(ISBLANK('Paste Full'!BQ80),"",'Paste Full'!BQ80)</f>
        <v/>
      </c>
      <c r="BL80" s="13" t="str">
        <f>IF(ISBLANK('Paste Full'!BT80),"",'Paste Full'!BT80)</f>
        <v/>
      </c>
      <c r="BM80" s="13" t="str">
        <f>IF(ISBLANK('Paste Full'!BW80),"",'Paste Full'!BW80)</f>
        <v/>
      </c>
      <c r="BN80" s="41" t="str">
        <f>IF(ISBLANK('Paste Full'!BZ80),"",'Paste Full'!BZ80)</f>
        <v/>
      </c>
      <c r="BO80" s="41" t="str">
        <f>IF(ISBLANK('Paste Full'!CA80),"",'Paste Full'!CA80)</f>
        <v/>
      </c>
      <c r="BP80" s="41" t="str">
        <f>IF(ISBLANK('Paste Full'!CB80),"",'Paste Full'!CB80)</f>
        <v/>
      </c>
      <c r="BQ80" s="41" t="str">
        <f>IF(ISBLANK('Paste Full'!CC80),"",'Paste Full'!CC80)</f>
        <v/>
      </c>
      <c r="BR80" s="41" t="str">
        <f>IF(ISBLANK('Paste Full'!CD80),"",'Paste Full'!CD80)</f>
        <v/>
      </c>
      <c r="BS80" s="41" t="str">
        <f>IF(ISBLANK('Paste Full'!CE80),"",'Paste Full'!CE80)</f>
        <v/>
      </c>
      <c r="BT80" s="41" t="str">
        <f>IF(ISBLANK('Paste Full'!CF80),"",'Paste Full'!CF80)</f>
        <v/>
      </c>
      <c r="BU80" s="41" t="str">
        <f>IF(ISBLANK('Paste Full'!CG80),"",'Paste Full'!CG80)</f>
        <v/>
      </c>
      <c r="BV80" s="41" t="str">
        <f>IF(ISBLANK('Paste Full'!CH80),"",'Paste Full'!CH80)</f>
        <v/>
      </c>
    </row>
    <row r="81" spans="1:74" x14ac:dyDescent="0.3">
      <c r="A81" t="str">
        <f>IF(ISBLANK('Paste Full'!C81),"",'Paste Full'!C81)</f>
        <v/>
      </c>
      <c r="B81" t="str">
        <f t="shared" si="2"/>
        <v>Striker</v>
      </c>
      <c r="C81" s="2" t="str">
        <f>IF(ISBLANK('Paste Full'!H81),"",'Paste Full'!H81)</f>
        <v/>
      </c>
      <c r="D81" s="2" t="str">
        <f>IF(ISBLANK('Paste Full'!F81),"",'Paste Full'!F81)</f>
        <v/>
      </c>
      <c r="E81" s="2" t="str">
        <f>IF(ISBLANK('Paste Full'!G81),"",'Paste Full'!G81)</f>
        <v/>
      </c>
      <c r="F81" s="21" t="str">
        <f>IF(ISBLANK('Paste Full'!E81),"",'Paste Full'!E81)</f>
        <v/>
      </c>
      <c r="G81" t="str">
        <f>IF(ISBLANK('Paste Full'!CI81),"",'Paste Full'!CI81)</f>
        <v/>
      </c>
      <c r="H81" s="21" t="str">
        <f>IF(ISBLANK('Paste Full'!J81),"",'Paste Full'!J81)</f>
        <v/>
      </c>
      <c r="I81" s="21" t="str">
        <f>IF(ISBLANK('Paste Full'!D81),"",'Paste Full'!D81)</f>
        <v/>
      </c>
      <c r="J81" s="14">
        <f>AVERAGE(SUMPRODUCT($S81:$BM81,AttWeights!$C$10:$AW$10)/SUM(AttWeights!$C$10:$AW$10),SUMPRODUCT($S81:$BM81,AttWeights!$C$17:$AW$17)/SUM(AttWeights!$C$17:$AW$17))*10</f>
        <v>0</v>
      </c>
      <c r="K81" s="14">
        <f>AVERAGE(SUMPRODUCT($S81:$BM81,AttWeights!$C$7:$AW$7)/SUM(AttWeights!$C$7:$AW$7),SUMPRODUCT($S81:$BM81,AttWeights!$C$15:$AW$15)/SUM(AttWeights!$C$15:$AW$15))*10</f>
        <v>0</v>
      </c>
      <c r="L81" s="14">
        <f>AVERAGE(SUMPRODUCT($S81:$BM81,AttWeights!$C$8:$AW$8)/SUM(AttWeights!$C$8:$AW$8),SUMPRODUCT($S81:$BM81,AttWeights!$C$16:$AW$16)/SUM(AttWeights!$C$16:$AW$16))*10</f>
        <v>0</v>
      </c>
      <c r="M81" s="14">
        <f>AVERAGE(SUMPRODUCT($S81:$BM81,AttWeights!$C$9:$AW$9)/SUM(AttWeights!$C$9:$AW$9),SUMPRODUCT($S81:$BM81,AttWeights!$C$15:$AW$15)/SUM(AttWeights!$C$15:$AW$15))*10</f>
        <v>0</v>
      </c>
      <c r="N81" s="14">
        <f>AVERAGE(SUMPRODUCT($S81:$BM81,AttWeights!$C$6:$AW$6)/SUM(AttWeights!$C$6:$AW$6),SUMPRODUCT($S81:$BM81,AttWeights!$C$14:$AW$14)/SUM(AttWeights!$C$14:$AW$14))*10</f>
        <v>0</v>
      </c>
      <c r="O81" s="14">
        <f>AVERAGE(SUMPRODUCT($S81:$BM81,AttWeights!$C$5:$AW$5)/SUM(AttWeights!$C$5:$AW$5),SUMPRODUCT($S81:$BM81,AttWeights!$C$14:$AW$14)/SUM(AttWeights!$C$14:$AW$14))*10</f>
        <v>0</v>
      </c>
      <c r="P81" s="14">
        <f>AVERAGE(SUMPRODUCT($S81:$BM81,AttWeights!$C$4:$AW$4)/SUM(AttWeights!$C$4:$AW$4),SUMPRODUCT($S81:$BM81,AttWeights!$C$13:$AW$13)/SUM(AttWeights!$C$13:$AW$13))*10</f>
        <v>0</v>
      </c>
      <c r="Q81" s="14">
        <f>AVERAGE(SUMPRODUCT($S81:$BM81,AttWeights!$C$3:$AW$3)/SUM(AttWeights!$C$3:$AW$3),SUMPRODUCT($S81:$BM81,AttWeights!$C$12:$AW$12)/SUM(AttWeights!$C$12:$AW$12))*10</f>
        <v>0</v>
      </c>
      <c r="R81" s="14">
        <f>AVERAGE(SUMPRODUCT($S81:$BM81,AttWeights!$C$2:$AW$2)/SUM(AttWeights!$C$2:$AW$2),SUMPRODUCT($S81:$BM81,AttWeights!$C$11:$AW$11)/SUM(AttWeights!$C$11:$AW$11))*10</f>
        <v>0</v>
      </c>
      <c r="S81" s="3" t="str">
        <f>IF(ISBLANK('Paste Full'!AC81),"",'Paste Full'!AC81)</f>
        <v/>
      </c>
      <c r="T81" s="3" t="str">
        <f>IF(ISBLANK('Paste Full'!AD81),"",'Paste Full'!AD81)</f>
        <v/>
      </c>
      <c r="U81" s="3" t="str">
        <f>IF(ISBLANK('Paste Full'!AE81),"",'Paste Full'!AE81)</f>
        <v/>
      </c>
      <c r="V81" s="3" t="str">
        <f>IF(ISBLANK('Paste Full'!AF81),"",'Paste Full'!AF81)</f>
        <v/>
      </c>
      <c r="W81" s="3" t="str">
        <f>IF(ISBLANK('Paste Full'!AH81),"",'Paste Full'!AH81)</f>
        <v/>
      </c>
      <c r="X81" s="3" t="str">
        <f>IF(ISBLANK('Paste Full'!AI81),"",'Paste Full'!AI81)</f>
        <v/>
      </c>
      <c r="Y81" s="3" t="str">
        <f>IF(ISBLANK('Paste Full'!AK81),"",'Paste Full'!AK81)</f>
        <v/>
      </c>
      <c r="Z81" s="3" t="str">
        <f>IF(ISBLANK('Paste Full'!AL81),"",'Paste Full'!AL81)</f>
        <v/>
      </c>
      <c r="AA81" s="4" t="str">
        <f>IF(ISBLANK('Paste Full'!AM81),"",'Paste Full'!AM81)</f>
        <v/>
      </c>
      <c r="AB81" s="4" t="str">
        <f>IF(ISBLANK('Paste Full'!AN81),"",'Paste Full'!AN81)</f>
        <v/>
      </c>
      <c r="AC81" s="4" t="str">
        <f>IF(ISBLANK('Paste Full'!AO81),"",'Paste Full'!AO81)</f>
        <v/>
      </c>
      <c r="AD81" s="4" t="str">
        <f>IF(ISBLANK('Paste Full'!AP81),"",'Paste Full'!AP81)</f>
        <v/>
      </c>
      <c r="AE81" s="4" t="str">
        <f>IF(ISBLANK('Paste Full'!AQ81),"",'Paste Full'!AQ81)</f>
        <v/>
      </c>
      <c r="AF81" s="4" t="str">
        <f>IF(ISBLANK('Paste Full'!AR81),"",'Paste Full'!AR81)</f>
        <v/>
      </c>
      <c r="AG81" s="4" t="str">
        <f>IF(ISBLANK('Paste Full'!AS81),"",'Paste Full'!AS81)</f>
        <v/>
      </c>
      <c r="AH81" s="4" t="str">
        <f>IF(ISBLANK('Paste Full'!AV81),"",'Paste Full'!AV81)</f>
        <v/>
      </c>
      <c r="AI81" s="4" t="str">
        <f>IF(ISBLANK('Paste Full'!AT81),"",'Paste Full'!AT81)</f>
        <v/>
      </c>
      <c r="AJ81" s="4" t="str">
        <f>IF(ISBLANK('Paste Full'!AU81),"",'Paste Full'!AU81)</f>
        <v/>
      </c>
      <c r="AK81" s="4" t="str">
        <f>IF(ISBLANK('Paste Full'!AW81),"",'Paste Full'!AW81)</f>
        <v/>
      </c>
      <c r="AL81" s="5" t="str">
        <f>IF(ISBLANK('Paste Full'!AX81),"",'Paste Full'!AX81)</f>
        <v/>
      </c>
      <c r="AM81" s="5" t="str">
        <f>IF(ISBLANK('Paste Full'!AY81),"",'Paste Full'!AY81)</f>
        <v/>
      </c>
      <c r="AN81" s="5" t="str">
        <f>IF(ISBLANK('Paste Full'!AZ81),"",'Paste Full'!AZ81)</f>
        <v/>
      </c>
      <c r="AO81" s="5" t="str">
        <f>IF(ISBLANK('Paste Full'!BA81),"",'Paste Full'!BA81)</f>
        <v/>
      </c>
      <c r="AP81" s="5" t="str">
        <f>IF(ISBLANK('Paste Full'!BB81),"",'Paste Full'!BB81)</f>
        <v/>
      </c>
      <c r="AQ81" s="5" t="str">
        <f>IF(ISBLANK('Paste Full'!BC81),"",'Paste Full'!BC81)</f>
        <v/>
      </c>
      <c r="AR81" s="5" t="str">
        <f>IF(ISBLANK('Paste Full'!BD81),"",'Paste Full'!BD81)</f>
        <v/>
      </c>
      <c r="AS81" s="5" t="str">
        <f>IF(ISBLANK('Paste Full'!BE81),"",'Paste Full'!BE81)</f>
        <v/>
      </c>
      <c r="AT81" s="5" t="str">
        <f>IF(ISBLANK('Paste Full'!BF81),"",'Paste Full'!BF81)</f>
        <v/>
      </c>
      <c r="AU81" s="5" t="str">
        <f>IF(ISBLANK('Paste Full'!BG81),"",'Paste Full'!BG81)</f>
        <v/>
      </c>
      <c r="AV81" s="5" t="str">
        <f>IF(ISBLANK('Paste Full'!BH81),"",'Paste Full'!BH81)</f>
        <v/>
      </c>
      <c r="AW81" s="5" t="str">
        <f>IF(ISBLANK('Paste Full'!BI81),"",'Paste Full'!BI81)</f>
        <v/>
      </c>
      <c r="AX81" s="5" t="str">
        <f>IF(ISBLANK('Paste Full'!BJ81),"",'Paste Full'!BJ81)</f>
        <v/>
      </c>
      <c r="AY81" s="5" t="str">
        <f>IF(ISBLANK('Paste Full'!BK81),"",'Paste Full'!BK81)</f>
        <v/>
      </c>
      <c r="AZ81" s="6" t="str">
        <f>IF(ISBLANK('Paste Full'!BM81),"",'Paste Full'!BM81)</f>
        <v/>
      </c>
      <c r="BA81" s="6" t="str">
        <f>IF(ISBLANK('Paste Full'!BN81),"",'Paste Full'!BN81)</f>
        <v/>
      </c>
      <c r="BB81" s="6" t="str">
        <f>IF(ISBLANK('Paste Full'!BO81),"",'Paste Full'!BO81)</f>
        <v/>
      </c>
      <c r="BC81" s="6" t="str">
        <f>IF(ISBLANK('Paste Full'!BP81),"",'Paste Full'!BP81)</f>
        <v/>
      </c>
      <c r="BD81" s="6" t="str">
        <f>IF(ISBLANK('Paste Full'!BR81),"",'Paste Full'!BR81)</f>
        <v/>
      </c>
      <c r="BE81" s="6" t="str">
        <f>IF(ISBLANK('Paste Full'!BS81),"",'Paste Full'!BS81)</f>
        <v/>
      </c>
      <c r="BF81" s="6" t="str">
        <f>IF(ISBLANK('Paste Full'!BU81),"",'Paste Full'!BU81)</f>
        <v/>
      </c>
      <c r="BG81" s="6" t="str">
        <f>IF(ISBLANK('Paste Full'!BV81),"",'Paste Full'!BV81)</f>
        <v/>
      </c>
      <c r="BH81" s="6" t="str">
        <f>IF(ISBLANK('Paste Full'!BX81),"",'Paste Full'!BX81)</f>
        <v/>
      </c>
      <c r="BI81" s="6" t="str">
        <f>IF(ISBLANK('Paste Full'!BY81),"",'Paste Full'!BY81)</f>
        <v/>
      </c>
      <c r="BJ81" s="13" t="str">
        <f>IF(ISBLANK('Paste Full'!BL81),"",'Paste Full'!BL81)</f>
        <v/>
      </c>
      <c r="BK81" s="13" t="str">
        <f>IF(ISBLANK('Paste Full'!BQ81),"",'Paste Full'!BQ81)</f>
        <v/>
      </c>
      <c r="BL81" s="13" t="str">
        <f>IF(ISBLANK('Paste Full'!BT81),"",'Paste Full'!BT81)</f>
        <v/>
      </c>
      <c r="BM81" s="13" t="str">
        <f>IF(ISBLANK('Paste Full'!BW81),"",'Paste Full'!BW81)</f>
        <v/>
      </c>
      <c r="BN81" s="41" t="str">
        <f>IF(ISBLANK('Paste Full'!BZ81),"",'Paste Full'!BZ81)</f>
        <v/>
      </c>
      <c r="BO81" s="41" t="str">
        <f>IF(ISBLANK('Paste Full'!CA81),"",'Paste Full'!CA81)</f>
        <v/>
      </c>
      <c r="BP81" s="41" t="str">
        <f>IF(ISBLANK('Paste Full'!CB81),"",'Paste Full'!CB81)</f>
        <v/>
      </c>
      <c r="BQ81" s="41" t="str">
        <f>IF(ISBLANK('Paste Full'!CC81),"",'Paste Full'!CC81)</f>
        <v/>
      </c>
      <c r="BR81" s="41" t="str">
        <f>IF(ISBLANK('Paste Full'!CD81),"",'Paste Full'!CD81)</f>
        <v/>
      </c>
      <c r="BS81" s="41" t="str">
        <f>IF(ISBLANK('Paste Full'!CE81),"",'Paste Full'!CE81)</f>
        <v/>
      </c>
      <c r="BT81" s="41" t="str">
        <f>IF(ISBLANK('Paste Full'!CF81),"",'Paste Full'!CF81)</f>
        <v/>
      </c>
      <c r="BU81" s="41" t="str">
        <f>IF(ISBLANK('Paste Full'!CG81),"",'Paste Full'!CG81)</f>
        <v/>
      </c>
      <c r="BV81" s="41" t="str">
        <f>IF(ISBLANK('Paste Full'!CH81),"",'Paste Full'!CH81)</f>
        <v/>
      </c>
    </row>
    <row r="82" spans="1:74" x14ac:dyDescent="0.3">
      <c r="A82" t="str">
        <f>IF(ISBLANK('Paste Full'!C82),"",'Paste Full'!C82)</f>
        <v/>
      </c>
      <c r="B82" t="str">
        <f t="shared" si="2"/>
        <v>Striker</v>
      </c>
      <c r="C82" s="2" t="str">
        <f>IF(ISBLANK('Paste Full'!H82),"",'Paste Full'!H82)</f>
        <v/>
      </c>
      <c r="D82" s="2" t="str">
        <f>IF(ISBLANK('Paste Full'!F82),"",'Paste Full'!F82)</f>
        <v/>
      </c>
      <c r="E82" s="2" t="str">
        <f>IF(ISBLANK('Paste Full'!G82),"",'Paste Full'!G82)</f>
        <v/>
      </c>
      <c r="F82" s="21" t="str">
        <f>IF(ISBLANK('Paste Full'!E82),"",'Paste Full'!E82)</f>
        <v/>
      </c>
      <c r="G82" t="str">
        <f>IF(ISBLANK('Paste Full'!CI82),"",'Paste Full'!CI82)</f>
        <v/>
      </c>
      <c r="H82" s="21" t="str">
        <f>IF(ISBLANK('Paste Full'!J82),"",'Paste Full'!J82)</f>
        <v/>
      </c>
      <c r="I82" s="21" t="str">
        <f>IF(ISBLANK('Paste Full'!D82),"",'Paste Full'!D82)</f>
        <v/>
      </c>
      <c r="J82" s="14">
        <f>AVERAGE(SUMPRODUCT($S82:$BM82,AttWeights!$C$10:$AW$10)/SUM(AttWeights!$C$10:$AW$10),SUMPRODUCT($S82:$BM82,AttWeights!$C$17:$AW$17)/SUM(AttWeights!$C$17:$AW$17))*10</f>
        <v>0</v>
      </c>
      <c r="K82" s="14">
        <f>AVERAGE(SUMPRODUCT($S82:$BM82,AttWeights!$C$7:$AW$7)/SUM(AttWeights!$C$7:$AW$7),SUMPRODUCT($S82:$BM82,AttWeights!$C$15:$AW$15)/SUM(AttWeights!$C$15:$AW$15))*10</f>
        <v>0</v>
      </c>
      <c r="L82" s="14">
        <f>AVERAGE(SUMPRODUCT($S82:$BM82,AttWeights!$C$8:$AW$8)/SUM(AttWeights!$C$8:$AW$8),SUMPRODUCT($S82:$BM82,AttWeights!$C$16:$AW$16)/SUM(AttWeights!$C$16:$AW$16))*10</f>
        <v>0</v>
      </c>
      <c r="M82" s="14">
        <f>AVERAGE(SUMPRODUCT($S82:$BM82,AttWeights!$C$9:$AW$9)/SUM(AttWeights!$C$9:$AW$9),SUMPRODUCT($S82:$BM82,AttWeights!$C$15:$AW$15)/SUM(AttWeights!$C$15:$AW$15))*10</f>
        <v>0</v>
      </c>
      <c r="N82" s="14">
        <f>AVERAGE(SUMPRODUCT($S82:$BM82,AttWeights!$C$6:$AW$6)/SUM(AttWeights!$C$6:$AW$6),SUMPRODUCT($S82:$BM82,AttWeights!$C$14:$AW$14)/SUM(AttWeights!$C$14:$AW$14))*10</f>
        <v>0</v>
      </c>
      <c r="O82" s="14">
        <f>AVERAGE(SUMPRODUCT($S82:$BM82,AttWeights!$C$5:$AW$5)/SUM(AttWeights!$C$5:$AW$5),SUMPRODUCT($S82:$BM82,AttWeights!$C$14:$AW$14)/SUM(AttWeights!$C$14:$AW$14))*10</f>
        <v>0</v>
      </c>
      <c r="P82" s="14">
        <f>AVERAGE(SUMPRODUCT($S82:$BM82,AttWeights!$C$4:$AW$4)/SUM(AttWeights!$C$4:$AW$4),SUMPRODUCT($S82:$BM82,AttWeights!$C$13:$AW$13)/SUM(AttWeights!$C$13:$AW$13))*10</f>
        <v>0</v>
      </c>
      <c r="Q82" s="14">
        <f>AVERAGE(SUMPRODUCT($S82:$BM82,AttWeights!$C$3:$AW$3)/SUM(AttWeights!$C$3:$AW$3),SUMPRODUCT($S82:$BM82,AttWeights!$C$12:$AW$12)/SUM(AttWeights!$C$12:$AW$12))*10</f>
        <v>0</v>
      </c>
      <c r="R82" s="14">
        <f>AVERAGE(SUMPRODUCT($S82:$BM82,AttWeights!$C$2:$AW$2)/SUM(AttWeights!$C$2:$AW$2),SUMPRODUCT($S82:$BM82,AttWeights!$C$11:$AW$11)/SUM(AttWeights!$C$11:$AW$11))*10</f>
        <v>0</v>
      </c>
      <c r="S82" s="3" t="str">
        <f>IF(ISBLANK('Paste Full'!AC82),"",'Paste Full'!AC82)</f>
        <v/>
      </c>
      <c r="T82" s="3" t="str">
        <f>IF(ISBLANK('Paste Full'!AD82),"",'Paste Full'!AD82)</f>
        <v/>
      </c>
      <c r="U82" s="3" t="str">
        <f>IF(ISBLANK('Paste Full'!AE82),"",'Paste Full'!AE82)</f>
        <v/>
      </c>
      <c r="V82" s="3" t="str">
        <f>IF(ISBLANK('Paste Full'!AF82),"",'Paste Full'!AF82)</f>
        <v/>
      </c>
      <c r="W82" s="3" t="str">
        <f>IF(ISBLANK('Paste Full'!AH82),"",'Paste Full'!AH82)</f>
        <v/>
      </c>
      <c r="X82" s="3" t="str">
        <f>IF(ISBLANK('Paste Full'!AI82),"",'Paste Full'!AI82)</f>
        <v/>
      </c>
      <c r="Y82" s="3" t="str">
        <f>IF(ISBLANK('Paste Full'!AK82),"",'Paste Full'!AK82)</f>
        <v/>
      </c>
      <c r="Z82" s="3" t="str">
        <f>IF(ISBLANK('Paste Full'!AL82),"",'Paste Full'!AL82)</f>
        <v/>
      </c>
      <c r="AA82" s="4" t="str">
        <f>IF(ISBLANK('Paste Full'!AM82),"",'Paste Full'!AM82)</f>
        <v/>
      </c>
      <c r="AB82" s="4" t="str">
        <f>IF(ISBLANK('Paste Full'!AN82),"",'Paste Full'!AN82)</f>
        <v/>
      </c>
      <c r="AC82" s="4" t="str">
        <f>IF(ISBLANK('Paste Full'!AO82),"",'Paste Full'!AO82)</f>
        <v/>
      </c>
      <c r="AD82" s="4" t="str">
        <f>IF(ISBLANK('Paste Full'!AP82),"",'Paste Full'!AP82)</f>
        <v/>
      </c>
      <c r="AE82" s="4" t="str">
        <f>IF(ISBLANK('Paste Full'!AQ82),"",'Paste Full'!AQ82)</f>
        <v/>
      </c>
      <c r="AF82" s="4" t="str">
        <f>IF(ISBLANK('Paste Full'!AR82),"",'Paste Full'!AR82)</f>
        <v/>
      </c>
      <c r="AG82" s="4" t="str">
        <f>IF(ISBLANK('Paste Full'!AS82),"",'Paste Full'!AS82)</f>
        <v/>
      </c>
      <c r="AH82" s="4" t="str">
        <f>IF(ISBLANK('Paste Full'!AV82),"",'Paste Full'!AV82)</f>
        <v/>
      </c>
      <c r="AI82" s="4" t="str">
        <f>IF(ISBLANK('Paste Full'!AT82),"",'Paste Full'!AT82)</f>
        <v/>
      </c>
      <c r="AJ82" s="4" t="str">
        <f>IF(ISBLANK('Paste Full'!AU82),"",'Paste Full'!AU82)</f>
        <v/>
      </c>
      <c r="AK82" s="4" t="str">
        <f>IF(ISBLANK('Paste Full'!AW82),"",'Paste Full'!AW82)</f>
        <v/>
      </c>
      <c r="AL82" s="5" t="str">
        <f>IF(ISBLANK('Paste Full'!AX82),"",'Paste Full'!AX82)</f>
        <v/>
      </c>
      <c r="AM82" s="5" t="str">
        <f>IF(ISBLANK('Paste Full'!AY82),"",'Paste Full'!AY82)</f>
        <v/>
      </c>
      <c r="AN82" s="5" t="str">
        <f>IF(ISBLANK('Paste Full'!AZ82),"",'Paste Full'!AZ82)</f>
        <v/>
      </c>
      <c r="AO82" s="5" t="str">
        <f>IF(ISBLANK('Paste Full'!BA82),"",'Paste Full'!BA82)</f>
        <v/>
      </c>
      <c r="AP82" s="5" t="str">
        <f>IF(ISBLANK('Paste Full'!BB82),"",'Paste Full'!BB82)</f>
        <v/>
      </c>
      <c r="AQ82" s="5" t="str">
        <f>IF(ISBLANK('Paste Full'!BC82),"",'Paste Full'!BC82)</f>
        <v/>
      </c>
      <c r="AR82" s="5" t="str">
        <f>IF(ISBLANK('Paste Full'!BD82),"",'Paste Full'!BD82)</f>
        <v/>
      </c>
      <c r="AS82" s="5" t="str">
        <f>IF(ISBLANK('Paste Full'!BE82),"",'Paste Full'!BE82)</f>
        <v/>
      </c>
      <c r="AT82" s="5" t="str">
        <f>IF(ISBLANK('Paste Full'!BF82),"",'Paste Full'!BF82)</f>
        <v/>
      </c>
      <c r="AU82" s="5" t="str">
        <f>IF(ISBLANK('Paste Full'!BG82),"",'Paste Full'!BG82)</f>
        <v/>
      </c>
      <c r="AV82" s="5" t="str">
        <f>IF(ISBLANK('Paste Full'!BH82),"",'Paste Full'!BH82)</f>
        <v/>
      </c>
      <c r="AW82" s="5" t="str">
        <f>IF(ISBLANK('Paste Full'!BI82),"",'Paste Full'!BI82)</f>
        <v/>
      </c>
      <c r="AX82" s="5" t="str">
        <f>IF(ISBLANK('Paste Full'!BJ82),"",'Paste Full'!BJ82)</f>
        <v/>
      </c>
      <c r="AY82" s="5" t="str">
        <f>IF(ISBLANK('Paste Full'!BK82),"",'Paste Full'!BK82)</f>
        <v/>
      </c>
      <c r="AZ82" s="6" t="str">
        <f>IF(ISBLANK('Paste Full'!BM82),"",'Paste Full'!BM82)</f>
        <v/>
      </c>
      <c r="BA82" s="6" t="str">
        <f>IF(ISBLANK('Paste Full'!BN82),"",'Paste Full'!BN82)</f>
        <v/>
      </c>
      <c r="BB82" s="6" t="str">
        <f>IF(ISBLANK('Paste Full'!BO82),"",'Paste Full'!BO82)</f>
        <v/>
      </c>
      <c r="BC82" s="6" t="str">
        <f>IF(ISBLANK('Paste Full'!BP82),"",'Paste Full'!BP82)</f>
        <v/>
      </c>
      <c r="BD82" s="6" t="str">
        <f>IF(ISBLANK('Paste Full'!BR82),"",'Paste Full'!BR82)</f>
        <v/>
      </c>
      <c r="BE82" s="6" t="str">
        <f>IF(ISBLANK('Paste Full'!BS82),"",'Paste Full'!BS82)</f>
        <v/>
      </c>
      <c r="BF82" s="6" t="str">
        <f>IF(ISBLANK('Paste Full'!BU82),"",'Paste Full'!BU82)</f>
        <v/>
      </c>
      <c r="BG82" s="6" t="str">
        <f>IF(ISBLANK('Paste Full'!BV82),"",'Paste Full'!BV82)</f>
        <v/>
      </c>
      <c r="BH82" s="6" t="str">
        <f>IF(ISBLANK('Paste Full'!BX82),"",'Paste Full'!BX82)</f>
        <v/>
      </c>
      <c r="BI82" s="6" t="str">
        <f>IF(ISBLANK('Paste Full'!BY82),"",'Paste Full'!BY82)</f>
        <v/>
      </c>
      <c r="BJ82" s="13" t="str">
        <f>IF(ISBLANK('Paste Full'!BL82),"",'Paste Full'!BL82)</f>
        <v/>
      </c>
      <c r="BK82" s="13" t="str">
        <f>IF(ISBLANK('Paste Full'!BQ82),"",'Paste Full'!BQ82)</f>
        <v/>
      </c>
      <c r="BL82" s="13" t="str">
        <f>IF(ISBLANK('Paste Full'!BT82),"",'Paste Full'!BT82)</f>
        <v/>
      </c>
      <c r="BM82" s="13" t="str">
        <f>IF(ISBLANK('Paste Full'!BW82),"",'Paste Full'!BW82)</f>
        <v/>
      </c>
      <c r="BN82" s="41" t="str">
        <f>IF(ISBLANK('Paste Full'!BZ82),"",'Paste Full'!BZ82)</f>
        <v/>
      </c>
      <c r="BO82" s="41" t="str">
        <f>IF(ISBLANK('Paste Full'!CA82),"",'Paste Full'!CA82)</f>
        <v/>
      </c>
      <c r="BP82" s="41" t="str">
        <f>IF(ISBLANK('Paste Full'!CB82),"",'Paste Full'!CB82)</f>
        <v/>
      </c>
      <c r="BQ82" s="41" t="str">
        <f>IF(ISBLANK('Paste Full'!CC82),"",'Paste Full'!CC82)</f>
        <v/>
      </c>
      <c r="BR82" s="41" t="str">
        <f>IF(ISBLANK('Paste Full'!CD82),"",'Paste Full'!CD82)</f>
        <v/>
      </c>
      <c r="BS82" s="41" t="str">
        <f>IF(ISBLANK('Paste Full'!CE82),"",'Paste Full'!CE82)</f>
        <v/>
      </c>
      <c r="BT82" s="41" t="str">
        <f>IF(ISBLANK('Paste Full'!CF82),"",'Paste Full'!CF82)</f>
        <v/>
      </c>
      <c r="BU82" s="41" t="str">
        <f>IF(ISBLANK('Paste Full'!CG82),"",'Paste Full'!CG82)</f>
        <v/>
      </c>
      <c r="BV82" s="41" t="str">
        <f>IF(ISBLANK('Paste Full'!CH82),"",'Paste Full'!CH82)</f>
        <v/>
      </c>
    </row>
    <row r="83" spans="1:74" x14ac:dyDescent="0.3">
      <c r="A83" t="str">
        <f>IF(ISBLANK('Paste Full'!C83),"",'Paste Full'!C83)</f>
        <v/>
      </c>
      <c r="B83" t="str">
        <f t="shared" si="2"/>
        <v>Striker</v>
      </c>
      <c r="C83" s="2" t="str">
        <f>IF(ISBLANK('Paste Full'!H83),"",'Paste Full'!H83)</f>
        <v/>
      </c>
      <c r="D83" s="2" t="str">
        <f>IF(ISBLANK('Paste Full'!F83),"",'Paste Full'!F83)</f>
        <v/>
      </c>
      <c r="E83" s="2" t="str">
        <f>IF(ISBLANK('Paste Full'!G83),"",'Paste Full'!G83)</f>
        <v/>
      </c>
      <c r="F83" s="21" t="str">
        <f>IF(ISBLANK('Paste Full'!E83),"",'Paste Full'!E83)</f>
        <v/>
      </c>
      <c r="G83" t="str">
        <f>IF(ISBLANK('Paste Full'!CI83),"",'Paste Full'!CI83)</f>
        <v/>
      </c>
      <c r="H83" s="21" t="str">
        <f>IF(ISBLANK('Paste Full'!J83),"",'Paste Full'!J83)</f>
        <v/>
      </c>
      <c r="I83" s="21" t="str">
        <f>IF(ISBLANK('Paste Full'!D83),"",'Paste Full'!D83)</f>
        <v/>
      </c>
      <c r="J83" s="14">
        <f>AVERAGE(SUMPRODUCT($S83:$BM83,AttWeights!$C$10:$AW$10)/SUM(AttWeights!$C$10:$AW$10),SUMPRODUCT($S83:$BM83,AttWeights!$C$17:$AW$17)/SUM(AttWeights!$C$17:$AW$17))*10</f>
        <v>0</v>
      </c>
      <c r="K83" s="14">
        <f>AVERAGE(SUMPRODUCT($S83:$BM83,AttWeights!$C$7:$AW$7)/SUM(AttWeights!$C$7:$AW$7),SUMPRODUCT($S83:$BM83,AttWeights!$C$15:$AW$15)/SUM(AttWeights!$C$15:$AW$15))*10</f>
        <v>0</v>
      </c>
      <c r="L83" s="14">
        <f>AVERAGE(SUMPRODUCT($S83:$BM83,AttWeights!$C$8:$AW$8)/SUM(AttWeights!$C$8:$AW$8),SUMPRODUCT($S83:$BM83,AttWeights!$C$16:$AW$16)/SUM(AttWeights!$C$16:$AW$16))*10</f>
        <v>0</v>
      </c>
      <c r="M83" s="14">
        <f>AVERAGE(SUMPRODUCT($S83:$BM83,AttWeights!$C$9:$AW$9)/SUM(AttWeights!$C$9:$AW$9),SUMPRODUCT($S83:$BM83,AttWeights!$C$15:$AW$15)/SUM(AttWeights!$C$15:$AW$15))*10</f>
        <v>0</v>
      </c>
      <c r="N83" s="14">
        <f>AVERAGE(SUMPRODUCT($S83:$BM83,AttWeights!$C$6:$AW$6)/SUM(AttWeights!$C$6:$AW$6),SUMPRODUCT($S83:$BM83,AttWeights!$C$14:$AW$14)/SUM(AttWeights!$C$14:$AW$14))*10</f>
        <v>0</v>
      </c>
      <c r="O83" s="14">
        <f>AVERAGE(SUMPRODUCT($S83:$BM83,AttWeights!$C$5:$AW$5)/SUM(AttWeights!$C$5:$AW$5),SUMPRODUCT($S83:$BM83,AttWeights!$C$14:$AW$14)/SUM(AttWeights!$C$14:$AW$14))*10</f>
        <v>0</v>
      </c>
      <c r="P83" s="14">
        <f>AVERAGE(SUMPRODUCT($S83:$BM83,AttWeights!$C$4:$AW$4)/SUM(AttWeights!$C$4:$AW$4),SUMPRODUCT($S83:$BM83,AttWeights!$C$13:$AW$13)/SUM(AttWeights!$C$13:$AW$13))*10</f>
        <v>0</v>
      </c>
      <c r="Q83" s="14">
        <f>AVERAGE(SUMPRODUCT($S83:$BM83,AttWeights!$C$3:$AW$3)/SUM(AttWeights!$C$3:$AW$3),SUMPRODUCT($S83:$BM83,AttWeights!$C$12:$AW$12)/SUM(AttWeights!$C$12:$AW$12))*10</f>
        <v>0</v>
      </c>
      <c r="R83" s="14">
        <f>AVERAGE(SUMPRODUCT($S83:$BM83,AttWeights!$C$2:$AW$2)/SUM(AttWeights!$C$2:$AW$2),SUMPRODUCT($S83:$BM83,AttWeights!$C$11:$AW$11)/SUM(AttWeights!$C$11:$AW$11))*10</f>
        <v>0</v>
      </c>
      <c r="S83" s="3" t="str">
        <f>IF(ISBLANK('Paste Full'!AC83),"",'Paste Full'!AC83)</f>
        <v/>
      </c>
      <c r="T83" s="3" t="str">
        <f>IF(ISBLANK('Paste Full'!AD83),"",'Paste Full'!AD83)</f>
        <v/>
      </c>
      <c r="U83" s="3" t="str">
        <f>IF(ISBLANK('Paste Full'!AE83),"",'Paste Full'!AE83)</f>
        <v/>
      </c>
      <c r="V83" s="3" t="str">
        <f>IF(ISBLANK('Paste Full'!AF83),"",'Paste Full'!AF83)</f>
        <v/>
      </c>
      <c r="W83" s="3" t="str">
        <f>IF(ISBLANK('Paste Full'!AH83),"",'Paste Full'!AH83)</f>
        <v/>
      </c>
      <c r="X83" s="3" t="str">
        <f>IF(ISBLANK('Paste Full'!AI83),"",'Paste Full'!AI83)</f>
        <v/>
      </c>
      <c r="Y83" s="3" t="str">
        <f>IF(ISBLANK('Paste Full'!AK83),"",'Paste Full'!AK83)</f>
        <v/>
      </c>
      <c r="Z83" s="3" t="str">
        <f>IF(ISBLANK('Paste Full'!AL83),"",'Paste Full'!AL83)</f>
        <v/>
      </c>
      <c r="AA83" s="4" t="str">
        <f>IF(ISBLANK('Paste Full'!AM83),"",'Paste Full'!AM83)</f>
        <v/>
      </c>
      <c r="AB83" s="4" t="str">
        <f>IF(ISBLANK('Paste Full'!AN83),"",'Paste Full'!AN83)</f>
        <v/>
      </c>
      <c r="AC83" s="4" t="str">
        <f>IF(ISBLANK('Paste Full'!AO83),"",'Paste Full'!AO83)</f>
        <v/>
      </c>
      <c r="AD83" s="4" t="str">
        <f>IF(ISBLANK('Paste Full'!AP83),"",'Paste Full'!AP83)</f>
        <v/>
      </c>
      <c r="AE83" s="4" t="str">
        <f>IF(ISBLANK('Paste Full'!AQ83),"",'Paste Full'!AQ83)</f>
        <v/>
      </c>
      <c r="AF83" s="4" t="str">
        <f>IF(ISBLANK('Paste Full'!AR83),"",'Paste Full'!AR83)</f>
        <v/>
      </c>
      <c r="AG83" s="4" t="str">
        <f>IF(ISBLANK('Paste Full'!AS83),"",'Paste Full'!AS83)</f>
        <v/>
      </c>
      <c r="AH83" s="4" t="str">
        <f>IF(ISBLANK('Paste Full'!AV83),"",'Paste Full'!AV83)</f>
        <v/>
      </c>
      <c r="AI83" s="4" t="str">
        <f>IF(ISBLANK('Paste Full'!AT83),"",'Paste Full'!AT83)</f>
        <v/>
      </c>
      <c r="AJ83" s="4" t="str">
        <f>IF(ISBLANK('Paste Full'!AU83),"",'Paste Full'!AU83)</f>
        <v/>
      </c>
      <c r="AK83" s="4" t="str">
        <f>IF(ISBLANK('Paste Full'!AW83),"",'Paste Full'!AW83)</f>
        <v/>
      </c>
      <c r="AL83" s="5" t="str">
        <f>IF(ISBLANK('Paste Full'!AX83),"",'Paste Full'!AX83)</f>
        <v/>
      </c>
      <c r="AM83" s="5" t="str">
        <f>IF(ISBLANK('Paste Full'!AY83),"",'Paste Full'!AY83)</f>
        <v/>
      </c>
      <c r="AN83" s="5" t="str">
        <f>IF(ISBLANK('Paste Full'!AZ83),"",'Paste Full'!AZ83)</f>
        <v/>
      </c>
      <c r="AO83" s="5" t="str">
        <f>IF(ISBLANK('Paste Full'!BA83),"",'Paste Full'!BA83)</f>
        <v/>
      </c>
      <c r="AP83" s="5" t="str">
        <f>IF(ISBLANK('Paste Full'!BB83),"",'Paste Full'!BB83)</f>
        <v/>
      </c>
      <c r="AQ83" s="5" t="str">
        <f>IF(ISBLANK('Paste Full'!BC83),"",'Paste Full'!BC83)</f>
        <v/>
      </c>
      <c r="AR83" s="5" t="str">
        <f>IF(ISBLANK('Paste Full'!BD83),"",'Paste Full'!BD83)</f>
        <v/>
      </c>
      <c r="AS83" s="5" t="str">
        <f>IF(ISBLANK('Paste Full'!BE83),"",'Paste Full'!BE83)</f>
        <v/>
      </c>
      <c r="AT83" s="5" t="str">
        <f>IF(ISBLANK('Paste Full'!BF83),"",'Paste Full'!BF83)</f>
        <v/>
      </c>
      <c r="AU83" s="5" t="str">
        <f>IF(ISBLANK('Paste Full'!BG83),"",'Paste Full'!BG83)</f>
        <v/>
      </c>
      <c r="AV83" s="5" t="str">
        <f>IF(ISBLANK('Paste Full'!BH83),"",'Paste Full'!BH83)</f>
        <v/>
      </c>
      <c r="AW83" s="5" t="str">
        <f>IF(ISBLANK('Paste Full'!BI83),"",'Paste Full'!BI83)</f>
        <v/>
      </c>
      <c r="AX83" s="5" t="str">
        <f>IF(ISBLANK('Paste Full'!BJ83),"",'Paste Full'!BJ83)</f>
        <v/>
      </c>
      <c r="AY83" s="5" t="str">
        <f>IF(ISBLANK('Paste Full'!BK83),"",'Paste Full'!BK83)</f>
        <v/>
      </c>
      <c r="AZ83" s="6" t="str">
        <f>IF(ISBLANK('Paste Full'!BM83),"",'Paste Full'!BM83)</f>
        <v/>
      </c>
      <c r="BA83" s="6" t="str">
        <f>IF(ISBLANK('Paste Full'!BN83),"",'Paste Full'!BN83)</f>
        <v/>
      </c>
      <c r="BB83" s="6" t="str">
        <f>IF(ISBLANK('Paste Full'!BO83),"",'Paste Full'!BO83)</f>
        <v/>
      </c>
      <c r="BC83" s="6" t="str">
        <f>IF(ISBLANK('Paste Full'!BP83),"",'Paste Full'!BP83)</f>
        <v/>
      </c>
      <c r="BD83" s="6" t="str">
        <f>IF(ISBLANK('Paste Full'!BR83),"",'Paste Full'!BR83)</f>
        <v/>
      </c>
      <c r="BE83" s="6" t="str">
        <f>IF(ISBLANK('Paste Full'!BS83),"",'Paste Full'!BS83)</f>
        <v/>
      </c>
      <c r="BF83" s="6" t="str">
        <f>IF(ISBLANK('Paste Full'!BU83),"",'Paste Full'!BU83)</f>
        <v/>
      </c>
      <c r="BG83" s="6" t="str">
        <f>IF(ISBLANK('Paste Full'!BV83),"",'Paste Full'!BV83)</f>
        <v/>
      </c>
      <c r="BH83" s="6" t="str">
        <f>IF(ISBLANK('Paste Full'!BX83),"",'Paste Full'!BX83)</f>
        <v/>
      </c>
      <c r="BI83" s="6" t="str">
        <f>IF(ISBLANK('Paste Full'!BY83),"",'Paste Full'!BY83)</f>
        <v/>
      </c>
      <c r="BJ83" s="13" t="str">
        <f>IF(ISBLANK('Paste Full'!BL83),"",'Paste Full'!BL83)</f>
        <v/>
      </c>
      <c r="BK83" s="13" t="str">
        <f>IF(ISBLANK('Paste Full'!BQ83),"",'Paste Full'!BQ83)</f>
        <v/>
      </c>
      <c r="BL83" s="13" t="str">
        <f>IF(ISBLANK('Paste Full'!BT83),"",'Paste Full'!BT83)</f>
        <v/>
      </c>
      <c r="BM83" s="13" t="str">
        <f>IF(ISBLANK('Paste Full'!BW83),"",'Paste Full'!BW83)</f>
        <v/>
      </c>
      <c r="BN83" s="41" t="str">
        <f>IF(ISBLANK('Paste Full'!BZ83),"",'Paste Full'!BZ83)</f>
        <v/>
      </c>
      <c r="BO83" s="41" t="str">
        <f>IF(ISBLANK('Paste Full'!CA83),"",'Paste Full'!CA83)</f>
        <v/>
      </c>
      <c r="BP83" s="41" t="str">
        <f>IF(ISBLANK('Paste Full'!CB83),"",'Paste Full'!CB83)</f>
        <v/>
      </c>
      <c r="BQ83" s="41" t="str">
        <f>IF(ISBLANK('Paste Full'!CC83),"",'Paste Full'!CC83)</f>
        <v/>
      </c>
      <c r="BR83" s="41" t="str">
        <f>IF(ISBLANK('Paste Full'!CD83),"",'Paste Full'!CD83)</f>
        <v/>
      </c>
      <c r="BS83" s="41" t="str">
        <f>IF(ISBLANK('Paste Full'!CE83),"",'Paste Full'!CE83)</f>
        <v/>
      </c>
      <c r="BT83" s="41" t="str">
        <f>IF(ISBLANK('Paste Full'!CF83),"",'Paste Full'!CF83)</f>
        <v/>
      </c>
      <c r="BU83" s="41" t="str">
        <f>IF(ISBLANK('Paste Full'!CG83),"",'Paste Full'!CG83)</f>
        <v/>
      </c>
      <c r="BV83" s="41" t="str">
        <f>IF(ISBLANK('Paste Full'!CH83),"",'Paste Full'!CH83)</f>
        <v/>
      </c>
    </row>
    <row r="84" spans="1:74" x14ac:dyDescent="0.3">
      <c r="A84" t="str">
        <f>IF(ISBLANK('Paste Full'!C84),"",'Paste Full'!C84)</f>
        <v/>
      </c>
      <c r="B84" t="str">
        <f t="shared" si="2"/>
        <v>Striker</v>
      </c>
      <c r="C84" s="2" t="str">
        <f>IF(ISBLANK('Paste Full'!H84),"",'Paste Full'!H84)</f>
        <v/>
      </c>
      <c r="D84" s="2" t="str">
        <f>IF(ISBLANK('Paste Full'!F84),"",'Paste Full'!F84)</f>
        <v/>
      </c>
      <c r="E84" s="2" t="str">
        <f>IF(ISBLANK('Paste Full'!G84),"",'Paste Full'!G84)</f>
        <v/>
      </c>
      <c r="F84" s="21" t="str">
        <f>IF(ISBLANK('Paste Full'!E84),"",'Paste Full'!E84)</f>
        <v/>
      </c>
      <c r="G84" t="str">
        <f>IF(ISBLANK('Paste Full'!CI84),"",'Paste Full'!CI84)</f>
        <v/>
      </c>
      <c r="H84" s="21" t="str">
        <f>IF(ISBLANK('Paste Full'!J84),"",'Paste Full'!J84)</f>
        <v/>
      </c>
      <c r="I84" s="21" t="str">
        <f>IF(ISBLANK('Paste Full'!D84),"",'Paste Full'!D84)</f>
        <v/>
      </c>
      <c r="J84" s="14">
        <f>AVERAGE(SUMPRODUCT($S84:$BM84,AttWeights!$C$10:$AW$10)/SUM(AttWeights!$C$10:$AW$10),SUMPRODUCT($S84:$BM84,AttWeights!$C$17:$AW$17)/SUM(AttWeights!$C$17:$AW$17))*10</f>
        <v>0</v>
      </c>
      <c r="K84" s="14">
        <f>AVERAGE(SUMPRODUCT($S84:$BM84,AttWeights!$C$7:$AW$7)/SUM(AttWeights!$C$7:$AW$7),SUMPRODUCT($S84:$BM84,AttWeights!$C$15:$AW$15)/SUM(AttWeights!$C$15:$AW$15))*10</f>
        <v>0</v>
      </c>
      <c r="L84" s="14">
        <f>AVERAGE(SUMPRODUCT($S84:$BM84,AttWeights!$C$8:$AW$8)/SUM(AttWeights!$C$8:$AW$8),SUMPRODUCT($S84:$BM84,AttWeights!$C$16:$AW$16)/SUM(AttWeights!$C$16:$AW$16))*10</f>
        <v>0</v>
      </c>
      <c r="M84" s="14">
        <f>AVERAGE(SUMPRODUCT($S84:$BM84,AttWeights!$C$9:$AW$9)/SUM(AttWeights!$C$9:$AW$9),SUMPRODUCT($S84:$BM84,AttWeights!$C$15:$AW$15)/SUM(AttWeights!$C$15:$AW$15))*10</f>
        <v>0</v>
      </c>
      <c r="N84" s="14">
        <f>AVERAGE(SUMPRODUCT($S84:$BM84,AttWeights!$C$6:$AW$6)/SUM(AttWeights!$C$6:$AW$6),SUMPRODUCT($S84:$BM84,AttWeights!$C$14:$AW$14)/SUM(AttWeights!$C$14:$AW$14))*10</f>
        <v>0</v>
      </c>
      <c r="O84" s="14">
        <f>AVERAGE(SUMPRODUCT($S84:$BM84,AttWeights!$C$5:$AW$5)/SUM(AttWeights!$C$5:$AW$5),SUMPRODUCT($S84:$BM84,AttWeights!$C$14:$AW$14)/SUM(AttWeights!$C$14:$AW$14))*10</f>
        <v>0</v>
      </c>
      <c r="P84" s="14">
        <f>AVERAGE(SUMPRODUCT($S84:$BM84,AttWeights!$C$4:$AW$4)/SUM(AttWeights!$C$4:$AW$4),SUMPRODUCT($S84:$BM84,AttWeights!$C$13:$AW$13)/SUM(AttWeights!$C$13:$AW$13))*10</f>
        <v>0</v>
      </c>
      <c r="Q84" s="14">
        <f>AVERAGE(SUMPRODUCT($S84:$BM84,AttWeights!$C$3:$AW$3)/SUM(AttWeights!$C$3:$AW$3),SUMPRODUCT($S84:$BM84,AttWeights!$C$12:$AW$12)/SUM(AttWeights!$C$12:$AW$12))*10</f>
        <v>0</v>
      </c>
      <c r="R84" s="14">
        <f>AVERAGE(SUMPRODUCT($S84:$BM84,AttWeights!$C$2:$AW$2)/SUM(AttWeights!$C$2:$AW$2),SUMPRODUCT($S84:$BM84,AttWeights!$C$11:$AW$11)/SUM(AttWeights!$C$11:$AW$11))*10</f>
        <v>0</v>
      </c>
      <c r="S84" s="3" t="str">
        <f>IF(ISBLANK('Paste Full'!AC84),"",'Paste Full'!AC84)</f>
        <v/>
      </c>
      <c r="T84" s="3" t="str">
        <f>IF(ISBLANK('Paste Full'!AD84),"",'Paste Full'!AD84)</f>
        <v/>
      </c>
      <c r="U84" s="3" t="str">
        <f>IF(ISBLANK('Paste Full'!AE84),"",'Paste Full'!AE84)</f>
        <v/>
      </c>
      <c r="V84" s="3" t="str">
        <f>IF(ISBLANK('Paste Full'!AF84),"",'Paste Full'!AF84)</f>
        <v/>
      </c>
      <c r="W84" s="3" t="str">
        <f>IF(ISBLANK('Paste Full'!AH84),"",'Paste Full'!AH84)</f>
        <v/>
      </c>
      <c r="X84" s="3" t="str">
        <f>IF(ISBLANK('Paste Full'!AI84),"",'Paste Full'!AI84)</f>
        <v/>
      </c>
      <c r="Y84" s="3" t="str">
        <f>IF(ISBLANK('Paste Full'!AK84),"",'Paste Full'!AK84)</f>
        <v/>
      </c>
      <c r="Z84" s="3" t="str">
        <f>IF(ISBLANK('Paste Full'!AL84),"",'Paste Full'!AL84)</f>
        <v/>
      </c>
      <c r="AA84" s="4" t="str">
        <f>IF(ISBLANK('Paste Full'!AM84),"",'Paste Full'!AM84)</f>
        <v/>
      </c>
      <c r="AB84" s="4" t="str">
        <f>IF(ISBLANK('Paste Full'!AN84),"",'Paste Full'!AN84)</f>
        <v/>
      </c>
      <c r="AC84" s="4" t="str">
        <f>IF(ISBLANK('Paste Full'!AO84),"",'Paste Full'!AO84)</f>
        <v/>
      </c>
      <c r="AD84" s="4" t="str">
        <f>IF(ISBLANK('Paste Full'!AP84),"",'Paste Full'!AP84)</f>
        <v/>
      </c>
      <c r="AE84" s="4" t="str">
        <f>IF(ISBLANK('Paste Full'!AQ84),"",'Paste Full'!AQ84)</f>
        <v/>
      </c>
      <c r="AF84" s="4" t="str">
        <f>IF(ISBLANK('Paste Full'!AR84),"",'Paste Full'!AR84)</f>
        <v/>
      </c>
      <c r="AG84" s="4" t="str">
        <f>IF(ISBLANK('Paste Full'!AS84),"",'Paste Full'!AS84)</f>
        <v/>
      </c>
      <c r="AH84" s="4" t="str">
        <f>IF(ISBLANK('Paste Full'!AV84),"",'Paste Full'!AV84)</f>
        <v/>
      </c>
      <c r="AI84" s="4" t="str">
        <f>IF(ISBLANK('Paste Full'!AT84),"",'Paste Full'!AT84)</f>
        <v/>
      </c>
      <c r="AJ84" s="4" t="str">
        <f>IF(ISBLANK('Paste Full'!AU84),"",'Paste Full'!AU84)</f>
        <v/>
      </c>
      <c r="AK84" s="4" t="str">
        <f>IF(ISBLANK('Paste Full'!AW84),"",'Paste Full'!AW84)</f>
        <v/>
      </c>
      <c r="AL84" s="5" t="str">
        <f>IF(ISBLANK('Paste Full'!AX84),"",'Paste Full'!AX84)</f>
        <v/>
      </c>
      <c r="AM84" s="5" t="str">
        <f>IF(ISBLANK('Paste Full'!AY84),"",'Paste Full'!AY84)</f>
        <v/>
      </c>
      <c r="AN84" s="5" t="str">
        <f>IF(ISBLANK('Paste Full'!AZ84),"",'Paste Full'!AZ84)</f>
        <v/>
      </c>
      <c r="AO84" s="5" t="str">
        <f>IF(ISBLANK('Paste Full'!BA84),"",'Paste Full'!BA84)</f>
        <v/>
      </c>
      <c r="AP84" s="5" t="str">
        <f>IF(ISBLANK('Paste Full'!BB84),"",'Paste Full'!BB84)</f>
        <v/>
      </c>
      <c r="AQ84" s="5" t="str">
        <f>IF(ISBLANK('Paste Full'!BC84),"",'Paste Full'!BC84)</f>
        <v/>
      </c>
      <c r="AR84" s="5" t="str">
        <f>IF(ISBLANK('Paste Full'!BD84),"",'Paste Full'!BD84)</f>
        <v/>
      </c>
      <c r="AS84" s="5" t="str">
        <f>IF(ISBLANK('Paste Full'!BE84),"",'Paste Full'!BE84)</f>
        <v/>
      </c>
      <c r="AT84" s="5" t="str">
        <f>IF(ISBLANK('Paste Full'!BF84),"",'Paste Full'!BF84)</f>
        <v/>
      </c>
      <c r="AU84" s="5" t="str">
        <f>IF(ISBLANK('Paste Full'!BG84),"",'Paste Full'!BG84)</f>
        <v/>
      </c>
      <c r="AV84" s="5" t="str">
        <f>IF(ISBLANK('Paste Full'!BH84),"",'Paste Full'!BH84)</f>
        <v/>
      </c>
      <c r="AW84" s="5" t="str">
        <f>IF(ISBLANK('Paste Full'!BI84),"",'Paste Full'!BI84)</f>
        <v/>
      </c>
      <c r="AX84" s="5" t="str">
        <f>IF(ISBLANK('Paste Full'!BJ84),"",'Paste Full'!BJ84)</f>
        <v/>
      </c>
      <c r="AY84" s="5" t="str">
        <f>IF(ISBLANK('Paste Full'!BK84),"",'Paste Full'!BK84)</f>
        <v/>
      </c>
      <c r="AZ84" s="6" t="str">
        <f>IF(ISBLANK('Paste Full'!BM84),"",'Paste Full'!BM84)</f>
        <v/>
      </c>
      <c r="BA84" s="6" t="str">
        <f>IF(ISBLANK('Paste Full'!BN84),"",'Paste Full'!BN84)</f>
        <v/>
      </c>
      <c r="BB84" s="6" t="str">
        <f>IF(ISBLANK('Paste Full'!BO84),"",'Paste Full'!BO84)</f>
        <v/>
      </c>
      <c r="BC84" s="6" t="str">
        <f>IF(ISBLANK('Paste Full'!BP84),"",'Paste Full'!BP84)</f>
        <v/>
      </c>
      <c r="BD84" s="6" t="str">
        <f>IF(ISBLANK('Paste Full'!BR84),"",'Paste Full'!BR84)</f>
        <v/>
      </c>
      <c r="BE84" s="6" t="str">
        <f>IF(ISBLANK('Paste Full'!BS84),"",'Paste Full'!BS84)</f>
        <v/>
      </c>
      <c r="BF84" s="6" t="str">
        <f>IF(ISBLANK('Paste Full'!BU84),"",'Paste Full'!BU84)</f>
        <v/>
      </c>
      <c r="BG84" s="6" t="str">
        <f>IF(ISBLANK('Paste Full'!BV84),"",'Paste Full'!BV84)</f>
        <v/>
      </c>
      <c r="BH84" s="6" t="str">
        <f>IF(ISBLANK('Paste Full'!BX84),"",'Paste Full'!BX84)</f>
        <v/>
      </c>
      <c r="BI84" s="6" t="str">
        <f>IF(ISBLANK('Paste Full'!BY84),"",'Paste Full'!BY84)</f>
        <v/>
      </c>
      <c r="BJ84" s="13" t="str">
        <f>IF(ISBLANK('Paste Full'!BL84),"",'Paste Full'!BL84)</f>
        <v/>
      </c>
      <c r="BK84" s="13" t="str">
        <f>IF(ISBLANK('Paste Full'!BQ84),"",'Paste Full'!BQ84)</f>
        <v/>
      </c>
      <c r="BL84" s="13" t="str">
        <f>IF(ISBLANK('Paste Full'!BT84),"",'Paste Full'!BT84)</f>
        <v/>
      </c>
      <c r="BM84" s="13" t="str">
        <f>IF(ISBLANK('Paste Full'!BW84),"",'Paste Full'!BW84)</f>
        <v/>
      </c>
      <c r="BN84" s="41" t="str">
        <f>IF(ISBLANK('Paste Full'!BZ84),"",'Paste Full'!BZ84)</f>
        <v/>
      </c>
      <c r="BO84" s="41" t="str">
        <f>IF(ISBLANK('Paste Full'!CA84),"",'Paste Full'!CA84)</f>
        <v/>
      </c>
      <c r="BP84" s="41" t="str">
        <f>IF(ISBLANK('Paste Full'!CB84),"",'Paste Full'!CB84)</f>
        <v/>
      </c>
      <c r="BQ84" s="41" t="str">
        <f>IF(ISBLANK('Paste Full'!CC84),"",'Paste Full'!CC84)</f>
        <v/>
      </c>
      <c r="BR84" s="41" t="str">
        <f>IF(ISBLANK('Paste Full'!CD84),"",'Paste Full'!CD84)</f>
        <v/>
      </c>
      <c r="BS84" s="41" t="str">
        <f>IF(ISBLANK('Paste Full'!CE84),"",'Paste Full'!CE84)</f>
        <v/>
      </c>
      <c r="BT84" s="41" t="str">
        <f>IF(ISBLANK('Paste Full'!CF84),"",'Paste Full'!CF84)</f>
        <v/>
      </c>
      <c r="BU84" s="41" t="str">
        <f>IF(ISBLANK('Paste Full'!CG84),"",'Paste Full'!CG84)</f>
        <v/>
      </c>
      <c r="BV84" s="41" t="str">
        <f>IF(ISBLANK('Paste Full'!CH84),"",'Paste Full'!CH84)</f>
        <v/>
      </c>
    </row>
    <row r="85" spans="1:74" x14ac:dyDescent="0.3">
      <c r="A85" t="str">
        <f>IF(ISBLANK('Paste Full'!C85),"",'Paste Full'!C85)</f>
        <v/>
      </c>
      <c r="B85" t="str">
        <f t="shared" si="2"/>
        <v>Striker</v>
      </c>
      <c r="C85" s="2" t="str">
        <f>IF(ISBLANK('Paste Full'!H85),"",'Paste Full'!H85)</f>
        <v/>
      </c>
      <c r="D85" s="2" t="str">
        <f>IF(ISBLANK('Paste Full'!F85),"",'Paste Full'!F85)</f>
        <v/>
      </c>
      <c r="E85" s="2" t="str">
        <f>IF(ISBLANK('Paste Full'!G85),"",'Paste Full'!G85)</f>
        <v/>
      </c>
      <c r="F85" s="21" t="str">
        <f>IF(ISBLANK('Paste Full'!E85),"",'Paste Full'!E85)</f>
        <v/>
      </c>
      <c r="G85" t="str">
        <f>IF(ISBLANK('Paste Full'!CI85),"",'Paste Full'!CI85)</f>
        <v/>
      </c>
      <c r="H85" s="21" t="str">
        <f>IF(ISBLANK('Paste Full'!J85),"",'Paste Full'!J85)</f>
        <v/>
      </c>
      <c r="I85" s="21" t="str">
        <f>IF(ISBLANK('Paste Full'!D85),"",'Paste Full'!D85)</f>
        <v/>
      </c>
      <c r="J85" s="14">
        <f>AVERAGE(SUMPRODUCT($S85:$BM85,AttWeights!$C$10:$AW$10)/SUM(AttWeights!$C$10:$AW$10),SUMPRODUCT($S85:$BM85,AttWeights!$C$17:$AW$17)/SUM(AttWeights!$C$17:$AW$17))*10</f>
        <v>0</v>
      </c>
      <c r="K85" s="14">
        <f>AVERAGE(SUMPRODUCT($S85:$BM85,AttWeights!$C$7:$AW$7)/SUM(AttWeights!$C$7:$AW$7),SUMPRODUCT($S85:$BM85,AttWeights!$C$15:$AW$15)/SUM(AttWeights!$C$15:$AW$15))*10</f>
        <v>0</v>
      </c>
      <c r="L85" s="14">
        <f>AVERAGE(SUMPRODUCT($S85:$BM85,AttWeights!$C$8:$AW$8)/SUM(AttWeights!$C$8:$AW$8),SUMPRODUCT($S85:$BM85,AttWeights!$C$16:$AW$16)/SUM(AttWeights!$C$16:$AW$16))*10</f>
        <v>0</v>
      </c>
      <c r="M85" s="14">
        <f>AVERAGE(SUMPRODUCT($S85:$BM85,AttWeights!$C$9:$AW$9)/SUM(AttWeights!$C$9:$AW$9),SUMPRODUCT($S85:$BM85,AttWeights!$C$15:$AW$15)/SUM(AttWeights!$C$15:$AW$15))*10</f>
        <v>0</v>
      </c>
      <c r="N85" s="14">
        <f>AVERAGE(SUMPRODUCT($S85:$BM85,AttWeights!$C$6:$AW$6)/SUM(AttWeights!$C$6:$AW$6),SUMPRODUCT($S85:$BM85,AttWeights!$C$14:$AW$14)/SUM(AttWeights!$C$14:$AW$14))*10</f>
        <v>0</v>
      </c>
      <c r="O85" s="14">
        <f>AVERAGE(SUMPRODUCT($S85:$BM85,AttWeights!$C$5:$AW$5)/SUM(AttWeights!$C$5:$AW$5),SUMPRODUCT($S85:$BM85,AttWeights!$C$14:$AW$14)/SUM(AttWeights!$C$14:$AW$14))*10</f>
        <v>0</v>
      </c>
      <c r="P85" s="14">
        <f>AVERAGE(SUMPRODUCT($S85:$BM85,AttWeights!$C$4:$AW$4)/SUM(AttWeights!$C$4:$AW$4),SUMPRODUCT($S85:$BM85,AttWeights!$C$13:$AW$13)/SUM(AttWeights!$C$13:$AW$13))*10</f>
        <v>0</v>
      </c>
      <c r="Q85" s="14">
        <f>AVERAGE(SUMPRODUCT($S85:$BM85,AttWeights!$C$3:$AW$3)/SUM(AttWeights!$C$3:$AW$3),SUMPRODUCT($S85:$BM85,AttWeights!$C$12:$AW$12)/SUM(AttWeights!$C$12:$AW$12))*10</f>
        <v>0</v>
      </c>
      <c r="R85" s="14">
        <f>AVERAGE(SUMPRODUCT($S85:$BM85,AttWeights!$C$2:$AW$2)/SUM(AttWeights!$C$2:$AW$2),SUMPRODUCT($S85:$BM85,AttWeights!$C$11:$AW$11)/SUM(AttWeights!$C$11:$AW$11))*10</f>
        <v>0</v>
      </c>
      <c r="S85" s="3" t="str">
        <f>IF(ISBLANK('Paste Full'!AC85),"",'Paste Full'!AC85)</f>
        <v/>
      </c>
      <c r="T85" s="3" t="str">
        <f>IF(ISBLANK('Paste Full'!AD85),"",'Paste Full'!AD85)</f>
        <v/>
      </c>
      <c r="U85" s="3" t="str">
        <f>IF(ISBLANK('Paste Full'!AE85),"",'Paste Full'!AE85)</f>
        <v/>
      </c>
      <c r="V85" s="3" t="str">
        <f>IF(ISBLANK('Paste Full'!AF85),"",'Paste Full'!AF85)</f>
        <v/>
      </c>
      <c r="W85" s="3" t="str">
        <f>IF(ISBLANK('Paste Full'!AH85),"",'Paste Full'!AH85)</f>
        <v/>
      </c>
      <c r="X85" s="3" t="str">
        <f>IF(ISBLANK('Paste Full'!AI85),"",'Paste Full'!AI85)</f>
        <v/>
      </c>
      <c r="Y85" s="3" t="str">
        <f>IF(ISBLANK('Paste Full'!AK85),"",'Paste Full'!AK85)</f>
        <v/>
      </c>
      <c r="Z85" s="3" t="str">
        <f>IF(ISBLANK('Paste Full'!AL85),"",'Paste Full'!AL85)</f>
        <v/>
      </c>
      <c r="AA85" s="4" t="str">
        <f>IF(ISBLANK('Paste Full'!AM85),"",'Paste Full'!AM85)</f>
        <v/>
      </c>
      <c r="AB85" s="4" t="str">
        <f>IF(ISBLANK('Paste Full'!AN85),"",'Paste Full'!AN85)</f>
        <v/>
      </c>
      <c r="AC85" s="4" t="str">
        <f>IF(ISBLANK('Paste Full'!AO85),"",'Paste Full'!AO85)</f>
        <v/>
      </c>
      <c r="AD85" s="4" t="str">
        <f>IF(ISBLANK('Paste Full'!AP85),"",'Paste Full'!AP85)</f>
        <v/>
      </c>
      <c r="AE85" s="4" t="str">
        <f>IF(ISBLANK('Paste Full'!AQ85),"",'Paste Full'!AQ85)</f>
        <v/>
      </c>
      <c r="AF85" s="4" t="str">
        <f>IF(ISBLANK('Paste Full'!AR85),"",'Paste Full'!AR85)</f>
        <v/>
      </c>
      <c r="AG85" s="4" t="str">
        <f>IF(ISBLANK('Paste Full'!AS85),"",'Paste Full'!AS85)</f>
        <v/>
      </c>
      <c r="AH85" s="4" t="str">
        <f>IF(ISBLANK('Paste Full'!AV85),"",'Paste Full'!AV85)</f>
        <v/>
      </c>
      <c r="AI85" s="4" t="str">
        <f>IF(ISBLANK('Paste Full'!AT85),"",'Paste Full'!AT85)</f>
        <v/>
      </c>
      <c r="AJ85" s="4" t="str">
        <f>IF(ISBLANK('Paste Full'!AU85),"",'Paste Full'!AU85)</f>
        <v/>
      </c>
      <c r="AK85" s="4" t="str">
        <f>IF(ISBLANK('Paste Full'!AW85),"",'Paste Full'!AW85)</f>
        <v/>
      </c>
      <c r="AL85" s="5" t="str">
        <f>IF(ISBLANK('Paste Full'!AX85),"",'Paste Full'!AX85)</f>
        <v/>
      </c>
      <c r="AM85" s="5" t="str">
        <f>IF(ISBLANK('Paste Full'!AY85),"",'Paste Full'!AY85)</f>
        <v/>
      </c>
      <c r="AN85" s="5" t="str">
        <f>IF(ISBLANK('Paste Full'!AZ85),"",'Paste Full'!AZ85)</f>
        <v/>
      </c>
      <c r="AO85" s="5" t="str">
        <f>IF(ISBLANK('Paste Full'!BA85),"",'Paste Full'!BA85)</f>
        <v/>
      </c>
      <c r="AP85" s="5" t="str">
        <f>IF(ISBLANK('Paste Full'!BB85),"",'Paste Full'!BB85)</f>
        <v/>
      </c>
      <c r="AQ85" s="5" t="str">
        <f>IF(ISBLANK('Paste Full'!BC85),"",'Paste Full'!BC85)</f>
        <v/>
      </c>
      <c r="AR85" s="5" t="str">
        <f>IF(ISBLANK('Paste Full'!BD85),"",'Paste Full'!BD85)</f>
        <v/>
      </c>
      <c r="AS85" s="5" t="str">
        <f>IF(ISBLANK('Paste Full'!BE85),"",'Paste Full'!BE85)</f>
        <v/>
      </c>
      <c r="AT85" s="5" t="str">
        <f>IF(ISBLANK('Paste Full'!BF85),"",'Paste Full'!BF85)</f>
        <v/>
      </c>
      <c r="AU85" s="5" t="str">
        <f>IF(ISBLANK('Paste Full'!BG85),"",'Paste Full'!BG85)</f>
        <v/>
      </c>
      <c r="AV85" s="5" t="str">
        <f>IF(ISBLANK('Paste Full'!BH85),"",'Paste Full'!BH85)</f>
        <v/>
      </c>
      <c r="AW85" s="5" t="str">
        <f>IF(ISBLANK('Paste Full'!BI85),"",'Paste Full'!BI85)</f>
        <v/>
      </c>
      <c r="AX85" s="5" t="str">
        <f>IF(ISBLANK('Paste Full'!BJ85),"",'Paste Full'!BJ85)</f>
        <v/>
      </c>
      <c r="AY85" s="5" t="str">
        <f>IF(ISBLANK('Paste Full'!BK85),"",'Paste Full'!BK85)</f>
        <v/>
      </c>
      <c r="AZ85" s="6" t="str">
        <f>IF(ISBLANK('Paste Full'!BM85),"",'Paste Full'!BM85)</f>
        <v/>
      </c>
      <c r="BA85" s="6" t="str">
        <f>IF(ISBLANK('Paste Full'!BN85),"",'Paste Full'!BN85)</f>
        <v/>
      </c>
      <c r="BB85" s="6" t="str">
        <f>IF(ISBLANK('Paste Full'!BO85),"",'Paste Full'!BO85)</f>
        <v/>
      </c>
      <c r="BC85" s="6" t="str">
        <f>IF(ISBLANK('Paste Full'!BP85),"",'Paste Full'!BP85)</f>
        <v/>
      </c>
      <c r="BD85" s="6" t="str">
        <f>IF(ISBLANK('Paste Full'!BR85),"",'Paste Full'!BR85)</f>
        <v/>
      </c>
      <c r="BE85" s="6" t="str">
        <f>IF(ISBLANK('Paste Full'!BS85),"",'Paste Full'!BS85)</f>
        <v/>
      </c>
      <c r="BF85" s="6" t="str">
        <f>IF(ISBLANK('Paste Full'!BU85),"",'Paste Full'!BU85)</f>
        <v/>
      </c>
      <c r="BG85" s="6" t="str">
        <f>IF(ISBLANK('Paste Full'!BV85),"",'Paste Full'!BV85)</f>
        <v/>
      </c>
      <c r="BH85" s="6" t="str">
        <f>IF(ISBLANK('Paste Full'!BX85),"",'Paste Full'!BX85)</f>
        <v/>
      </c>
      <c r="BI85" s="6" t="str">
        <f>IF(ISBLANK('Paste Full'!BY85),"",'Paste Full'!BY85)</f>
        <v/>
      </c>
      <c r="BJ85" s="13" t="str">
        <f>IF(ISBLANK('Paste Full'!BL85),"",'Paste Full'!BL85)</f>
        <v/>
      </c>
      <c r="BK85" s="13" t="str">
        <f>IF(ISBLANK('Paste Full'!BQ85),"",'Paste Full'!BQ85)</f>
        <v/>
      </c>
      <c r="BL85" s="13" t="str">
        <f>IF(ISBLANK('Paste Full'!BT85),"",'Paste Full'!BT85)</f>
        <v/>
      </c>
      <c r="BM85" s="13" t="str">
        <f>IF(ISBLANK('Paste Full'!BW85),"",'Paste Full'!BW85)</f>
        <v/>
      </c>
      <c r="BN85" s="41" t="str">
        <f>IF(ISBLANK('Paste Full'!BZ85),"",'Paste Full'!BZ85)</f>
        <v/>
      </c>
      <c r="BO85" s="41" t="str">
        <f>IF(ISBLANK('Paste Full'!CA85),"",'Paste Full'!CA85)</f>
        <v/>
      </c>
      <c r="BP85" s="41" t="str">
        <f>IF(ISBLANK('Paste Full'!CB85),"",'Paste Full'!CB85)</f>
        <v/>
      </c>
      <c r="BQ85" s="41" t="str">
        <f>IF(ISBLANK('Paste Full'!CC85),"",'Paste Full'!CC85)</f>
        <v/>
      </c>
      <c r="BR85" s="41" t="str">
        <f>IF(ISBLANK('Paste Full'!CD85),"",'Paste Full'!CD85)</f>
        <v/>
      </c>
      <c r="BS85" s="41" t="str">
        <f>IF(ISBLANK('Paste Full'!CE85),"",'Paste Full'!CE85)</f>
        <v/>
      </c>
      <c r="BT85" s="41" t="str">
        <f>IF(ISBLANK('Paste Full'!CF85),"",'Paste Full'!CF85)</f>
        <v/>
      </c>
      <c r="BU85" s="41" t="str">
        <f>IF(ISBLANK('Paste Full'!CG85),"",'Paste Full'!CG85)</f>
        <v/>
      </c>
      <c r="BV85" s="41" t="str">
        <f>IF(ISBLANK('Paste Full'!CH85),"",'Paste Full'!CH85)</f>
        <v/>
      </c>
    </row>
    <row r="86" spans="1:74" x14ac:dyDescent="0.3">
      <c r="A86" t="str">
        <f>IF(ISBLANK('Paste Full'!C86),"",'Paste Full'!C86)</f>
        <v/>
      </c>
      <c r="B86" t="str">
        <f t="shared" si="2"/>
        <v>Striker</v>
      </c>
      <c r="C86" s="2" t="str">
        <f>IF(ISBLANK('Paste Full'!H86),"",'Paste Full'!H86)</f>
        <v/>
      </c>
      <c r="D86" s="2" t="str">
        <f>IF(ISBLANK('Paste Full'!F86),"",'Paste Full'!F86)</f>
        <v/>
      </c>
      <c r="E86" s="2" t="str">
        <f>IF(ISBLANK('Paste Full'!G86),"",'Paste Full'!G86)</f>
        <v/>
      </c>
      <c r="F86" s="21" t="str">
        <f>IF(ISBLANK('Paste Full'!E86),"",'Paste Full'!E86)</f>
        <v/>
      </c>
      <c r="G86" t="str">
        <f>IF(ISBLANK('Paste Full'!CI86),"",'Paste Full'!CI86)</f>
        <v/>
      </c>
      <c r="H86" s="21" t="str">
        <f>IF(ISBLANK('Paste Full'!J86),"",'Paste Full'!J86)</f>
        <v/>
      </c>
      <c r="I86" s="21" t="str">
        <f>IF(ISBLANK('Paste Full'!D86),"",'Paste Full'!D86)</f>
        <v/>
      </c>
      <c r="J86" s="14">
        <f>AVERAGE(SUMPRODUCT($S86:$BM86,AttWeights!$C$10:$AW$10)/SUM(AttWeights!$C$10:$AW$10),SUMPRODUCT($S86:$BM86,AttWeights!$C$17:$AW$17)/SUM(AttWeights!$C$17:$AW$17))*10</f>
        <v>0</v>
      </c>
      <c r="K86" s="14">
        <f>AVERAGE(SUMPRODUCT($S86:$BM86,AttWeights!$C$7:$AW$7)/SUM(AttWeights!$C$7:$AW$7),SUMPRODUCT($S86:$BM86,AttWeights!$C$15:$AW$15)/SUM(AttWeights!$C$15:$AW$15))*10</f>
        <v>0</v>
      </c>
      <c r="L86" s="14">
        <f>AVERAGE(SUMPRODUCT($S86:$BM86,AttWeights!$C$8:$AW$8)/SUM(AttWeights!$C$8:$AW$8),SUMPRODUCT($S86:$BM86,AttWeights!$C$16:$AW$16)/SUM(AttWeights!$C$16:$AW$16))*10</f>
        <v>0</v>
      </c>
      <c r="M86" s="14">
        <f>AVERAGE(SUMPRODUCT($S86:$BM86,AttWeights!$C$9:$AW$9)/SUM(AttWeights!$C$9:$AW$9),SUMPRODUCT($S86:$BM86,AttWeights!$C$15:$AW$15)/SUM(AttWeights!$C$15:$AW$15))*10</f>
        <v>0</v>
      </c>
      <c r="N86" s="14">
        <f>AVERAGE(SUMPRODUCT($S86:$BM86,AttWeights!$C$6:$AW$6)/SUM(AttWeights!$C$6:$AW$6),SUMPRODUCT($S86:$BM86,AttWeights!$C$14:$AW$14)/SUM(AttWeights!$C$14:$AW$14))*10</f>
        <v>0</v>
      </c>
      <c r="O86" s="14">
        <f>AVERAGE(SUMPRODUCT($S86:$BM86,AttWeights!$C$5:$AW$5)/SUM(AttWeights!$C$5:$AW$5),SUMPRODUCT($S86:$BM86,AttWeights!$C$14:$AW$14)/SUM(AttWeights!$C$14:$AW$14))*10</f>
        <v>0</v>
      </c>
      <c r="P86" s="14">
        <f>AVERAGE(SUMPRODUCT($S86:$BM86,AttWeights!$C$4:$AW$4)/SUM(AttWeights!$C$4:$AW$4),SUMPRODUCT($S86:$BM86,AttWeights!$C$13:$AW$13)/SUM(AttWeights!$C$13:$AW$13))*10</f>
        <v>0</v>
      </c>
      <c r="Q86" s="14">
        <f>AVERAGE(SUMPRODUCT($S86:$BM86,AttWeights!$C$3:$AW$3)/SUM(AttWeights!$C$3:$AW$3),SUMPRODUCT($S86:$BM86,AttWeights!$C$12:$AW$12)/SUM(AttWeights!$C$12:$AW$12))*10</f>
        <v>0</v>
      </c>
      <c r="R86" s="14">
        <f>AVERAGE(SUMPRODUCT($S86:$BM86,AttWeights!$C$2:$AW$2)/SUM(AttWeights!$C$2:$AW$2),SUMPRODUCT($S86:$BM86,AttWeights!$C$11:$AW$11)/SUM(AttWeights!$C$11:$AW$11))*10</f>
        <v>0</v>
      </c>
      <c r="S86" s="3" t="str">
        <f>IF(ISBLANK('Paste Full'!AC86),"",'Paste Full'!AC86)</f>
        <v/>
      </c>
      <c r="T86" s="3" t="str">
        <f>IF(ISBLANK('Paste Full'!AD86),"",'Paste Full'!AD86)</f>
        <v/>
      </c>
      <c r="U86" s="3" t="str">
        <f>IF(ISBLANK('Paste Full'!AE86),"",'Paste Full'!AE86)</f>
        <v/>
      </c>
      <c r="V86" s="3" t="str">
        <f>IF(ISBLANK('Paste Full'!AF86),"",'Paste Full'!AF86)</f>
        <v/>
      </c>
      <c r="W86" s="3" t="str">
        <f>IF(ISBLANK('Paste Full'!AH86),"",'Paste Full'!AH86)</f>
        <v/>
      </c>
      <c r="X86" s="3" t="str">
        <f>IF(ISBLANK('Paste Full'!AI86),"",'Paste Full'!AI86)</f>
        <v/>
      </c>
      <c r="Y86" s="3" t="str">
        <f>IF(ISBLANK('Paste Full'!AK86),"",'Paste Full'!AK86)</f>
        <v/>
      </c>
      <c r="Z86" s="3" t="str">
        <f>IF(ISBLANK('Paste Full'!AL86),"",'Paste Full'!AL86)</f>
        <v/>
      </c>
      <c r="AA86" s="4" t="str">
        <f>IF(ISBLANK('Paste Full'!AM86),"",'Paste Full'!AM86)</f>
        <v/>
      </c>
      <c r="AB86" s="4" t="str">
        <f>IF(ISBLANK('Paste Full'!AN86),"",'Paste Full'!AN86)</f>
        <v/>
      </c>
      <c r="AC86" s="4" t="str">
        <f>IF(ISBLANK('Paste Full'!AO86),"",'Paste Full'!AO86)</f>
        <v/>
      </c>
      <c r="AD86" s="4" t="str">
        <f>IF(ISBLANK('Paste Full'!AP86),"",'Paste Full'!AP86)</f>
        <v/>
      </c>
      <c r="AE86" s="4" t="str">
        <f>IF(ISBLANK('Paste Full'!AQ86),"",'Paste Full'!AQ86)</f>
        <v/>
      </c>
      <c r="AF86" s="4" t="str">
        <f>IF(ISBLANK('Paste Full'!AR86),"",'Paste Full'!AR86)</f>
        <v/>
      </c>
      <c r="AG86" s="4" t="str">
        <f>IF(ISBLANK('Paste Full'!AS86),"",'Paste Full'!AS86)</f>
        <v/>
      </c>
      <c r="AH86" s="4" t="str">
        <f>IF(ISBLANK('Paste Full'!AV86),"",'Paste Full'!AV86)</f>
        <v/>
      </c>
      <c r="AI86" s="4" t="str">
        <f>IF(ISBLANK('Paste Full'!AT86),"",'Paste Full'!AT86)</f>
        <v/>
      </c>
      <c r="AJ86" s="4" t="str">
        <f>IF(ISBLANK('Paste Full'!AU86),"",'Paste Full'!AU86)</f>
        <v/>
      </c>
      <c r="AK86" s="4" t="str">
        <f>IF(ISBLANK('Paste Full'!AW86),"",'Paste Full'!AW86)</f>
        <v/>
      </c>
      <c r="AL86" s="5" t="str">
        <f>IF(ISBLANK('Paste Full'!AX86),"",'Paste Full'!AX86)</f>
        <v/>
      </c>
      <c r="AM86" s="5" t="str">
        <f>IF(ISBLANK('Paste Full'!AY86),"",'Paste Full'!AY86)</f>
        <v/>
      </c>
      <c r="AN86" s="5" t="str">
        <f>IF(ISBLANK('Paste Full'!AZ86),"",'Paste Full'!AZ86)</f>
        <v/>
      </c>
      <c r="AO86" s="5" t="str">
        <f>IF(ISBLANK('Paste Full'!BA86),"",'Paste Full'!BA86)</f>
        <v/>
      </c>
      <c r="AP86" s="5" t="str">
        <f>IF(ISBLANK('Paste Full'!BB86),"",'Paste Full'!BB86)</f>
        <v/>
      </c>
      <c r="AQ86" s="5" t="str">
        <f>IF(ISBLANK('Paste Full'!BC86),"",'Paste Full'!BC86)</f>
        <v/>
      </c>
      <c r="AR86" s="5" t="str">
        <f>IF(ISBLANK('Paste Full'!BD86),"",'Paste Full'!BD86)</f>
        <v/>
      </c>
      <c r="AS86" s="5" t="str">
        <f>IF(ISBLANK('Paste Full'!BE86),"",'Paste Full'!BE86)</f>
        <v/>
      </c>
      <c r="AT86" s="5" t="str">
        <f>IF(ISBLANK('Paste Full'!BF86),"",'Paste Full'!BF86)</f>
        <v/>
      </c>
      <c r="AU86" s="5" t="str">
        <f>IF(ISBLANK('Paste Full'!BG86),"",'Paste Full'!BG86)</f>
        <v/>
      </c>
      <c r="AV86" s="5" t="str">
        <f>IF(ISBLANK('Paste Full'!BH86),"",'Paste Full'!BH86)</f>
        <v/>
      </c>
      <c r="AW86" s="5" t="str">
        <f>IF(ISBLANK('Paste Full'!BI86),"",'Paste Full'!BI86)</f>
        <v/>
      </c>
      <c r="AX86" s="5" t="str">
        <f>IF(ISBLANK('Paste Full'!BJ86),"",'Paste Full'!BJ86)</f>
        <v/>
      </c>
      <c r="AY86" s="5" t="str">
        <f>IF(ISBLANK('Paste Full'!BK86),"",'Paste Full'!BK86)</f>
        <v/>
      </c>
      <c r="AZ86" s="6" t="str">
        <f>IF(ISBLANK('Paste Full'!BM86),"",'Paste Full'!BM86)</f>
        <v/>
      </c>
      <c r="BA86" s="6" t="str">
        <f>IF(ISBLANK('Paste Full'!BN86),"",'Paste Full'!BN86)</f>
        <v/>
      </c>
      <c r="BB86" s="6" t="str">
        <f>IF(ISBLANK('Paste Full'!BO86),"",'Paste Full'!BO86)</f>
        <v/>
      </c>
      <c r="BC86" s="6" t="str">
        <f>IF(ISBLANK('Paste Full'!BP86),"",'Paste Full'!BP86)</f>
        <v/>
      </c>
      <c r="BD86" s="6" t="str">
        <f>IF(ISBLANK('Paste Full'!BR86),"",'Paste Full'!BR86)</f>
        <v/>
      </c>
      <c r="BE86" s="6" t="str">
        <f>IF(ISBLANK('Paste Full'!BS86),"",'Paste Full'!BS86)</f>
        <v/>
      </c>
      <c r="BF86" s="6" t="str">
        <f>IF(ISBLANK('Paste Full'!BU86),"",'Paste Full'!BU86)</f>
        <v/>
      </c>
      <c r="BG86" s="6" t="str">
        <f>IF(ISBLANK('Paste Full'!BV86),"",'Paste Full'!BV86)</f>
        <v/>
      </c>
      <c r="BH86" s="6" t="str">
        <f>IF(ISBLANK('Paste Full'!BX86),"",'Paste Full'!BX86)</f>
        <v/>
      </c>
      <c r="BI86" s="6" t="str">
        <f>IF(ISBLANK('Paste Full'!BY86),"",'Paste Full'!BY86)</f>
        <v/>
      </c>
      <c r="BJ86" s="13" t="str">
        <f>IF(ISBLANK('Paste Full'!BL86),"",'Paste Full'!BL86)</f>
        <v/>
      </c>
      <c r="BK86" s="13" t="str">
        <f>IF(ISBLANK('Paste Full'!BQ86),"",'Paste Full'!BQ86)</f>
        <v/>
      </c>
      <c r="BL86" s="13" t="str">
        <f>IF(ISBLANK('Paste Full'!BT86),"",'Paste Full'!BT86)</f>
        <v/>
      </c>
      <c r="BM86" s="13" t="str">
        <f>IF(ISBLANK('Paste Full'!BW86),"",'Paste Full'!BW86)</f>
        <v/>
      </c>
      <c r="BN86" s="41" t="str">
        <f>IF(ISBLANK('Paste Full'!BZ86),"",'Paste Full'!BZ86)</f>
        <v/>
      </c>
      <c r="BO86" s="41" t="str">
        <f>IF(ISBLANK('Paste Full'!CA86),"",'Paste Full'!CA86)</f>
        <v/>
      </c>
      <c r="BP86" s="41" t="str">
        <f>IF(ISBLANK('Paste Full'!CB86),"",'Paste Full'!CB86)</f>
        <v/>
      </c>
      <c r="BQ86" s="41" t="str">
        <f>IF(ISBLANK('Paste Full'!CC86),"",'Paste Full'!CC86)</f>
        <v/>
      </c>
      <c r="BR86" s="41" t="str">
        <f>IF(ISBLANK('Paste Full'!CD86),"",'Paste Full'!CD86)</f>
        <v/>
      </c>
      <c r="BS86" s="41" t="str">
        <f>IF(ISBLANK('Paste Full'!CE86),"",'Paste Full'!CE86)</f>
        <v/>
      </c>
      <c r="BT86" s="41" t="str">
        <f>IF(ISBLANK('Paste Full'!CF86),"",'Paste Full'!CF86)</f>
        <v/>
      </c>
      <c r="BU86" s="41" t="str">
        <f>IF(ISBLANK('Paste Full'!CG86),"",'Paste Full'!CG86)</f>
        <v/>
      </c>
      <c r="BV86" s="41" t="str">
        <f>IF(ISBLANK('Paste Full'!CH86),"",'Paste Full'!CH86)</f>
        <v/>
      </c>
    </row>
    <row r="87" spans="1:74" x14ac:dyDescent="0.3">
      <c r="A87" t="str">
        <f>IF(ISBLANK('Paste Full'!C87),"",'Paste Full'!C87)</f>
        <v/>
      </c>
      <c r="B87" t="str">
        <f t="shared" si="2"/>
        <v>Striker</v>
      </c>
      <c r="C87" s="2" t="str">
        <f>IF(ISBLANK('Paste Full'!H87),"",'Paste Full'!H87)</f>
        <v/>
      </c>
      <c r="D87" s="2" t="str">
        <f>IF(ISBLANK('Paste Full'!F87),"",'Paste Full'!F87)</f>
        <v/>
      </c>
      <c r="E87" s="2" t="str">
        <f>IF(ISBLANK('Paste Full'!G87),"",'Paste Full'!G87)</f>
        <v/>
      </c>
      <c r="F87" s="21" t="str">
        <f>IF(ISBLANK('Paste Full'!E87),"",'Paste Full'!E87)</f>
        <v/>
      </c>
      <c r="G87" t="str">
        <f>IF(ISBLANK('Paste Full'!CI87),"",'Paste Full'!CI87)</f>
        <v/>
      </c>
      <c r="H87" s="21" t="str">
        <f>IF(ISBLANK('Paste Full'!J87),"",'Paste Full'!J87)</f>
        <v/>
      </c>
      <c r="I87" s="21" t="str">
        <f>IF(ISBLANK('Paste Full'!D87),"",'Paste Full'!D87)</f>
        <v/>
      </c>
      <c r="J87" s="14">
        <f>AVERAGE(SUMPRODUCT($S87:$BM87,AttWeights!$C$10:$AW$10)/SUM(AttWeights!$C$10:$AW$10),SUMPRODUCT($S87:$BM87,AttWeights!$C$17:$AW$17)/SUM(AttWeights!$C$17:$AW$17))*10</f>
        <v>0</v>
      </c>
      <c r="K87" s="14">
        <f>AVERAGE(SUMPRODUCT($S87:$BM87,AttWeights!$C$7:$AW$7)/SUM(AttWeights!$C$7:$AW$7),SUMPRODUCT($S87:$BM87,AttWeights!$C$15:$AW$15)/SUM(AttWeights!$C$15:$AW$15))*10</f>
        <v>0</v>
      </c>
      <c r="L87" s="14">
        <f>AVERAGE(SUMPRODUCT($S87:$BM87,AttWeights!$C$8:$AW$8)/SUM(AttWeights!$C$8:$AW$8),SUMPRODUCT($S87:$BM87,AttWeights!$C$16:$AW$16)/SUM(AttWeights!$C$16:$AW$16))*10</f>
        <v>0</v>
      </c>
      <c r="M87" s="14">
        <f>AVERAGE(SUMPRODUCT($S87:$BM87,AttWeights!$C$9:$AW$9)/SUM(AttWeights!$C$9:$AW$9),SUMPRODUCT($S87:$BM87,AttWeights!$C$15:$AW$15)/SUM(AttWeights!$C$15:$AW$15))*10</f>
        <v>0</v>
      </c>
      <c r="N87" s="14">
        <f>AVERAGE(SUMPRODUCT($S87:$BM87,AttWeights!$C$6:$AW$6)/SUM(AttWeights!$C$6:$AW$6),SUMPRODUCT($S87:$BM87,AttWeights!$C$14:$AW$14)/SUM(AttWeights!$C$14:$AW$14))*10</f>
        <v>0</v>
      </c>
      <c r="O87" s="14">
        <f>AVERAGE(SUMPRODUCT($S87:$BM87,AttWeights!$C$5:$AW$5)/SUM(AttWeights!$C$5:$AW$5),SUMPRODUCT($S87:$BM87,AttWeights!$C$14:$AW$14)/SUM(AttWeights!$C$14:$AW$14))*10</f>
        <v>0</v>
      </c>
      <c r="P87" s="14">
        <f>AVERAGE(SUMPRODUCT($S87:$BM87,AttWeights!$C$4:$AW$4)/SUM(AttWeights!$C$4:$AW$4),SUMPRODUCT($S87:$BM87,AttWeights!$C$13:$AW$13)/SUM(AttWeights!$C$13:$AW$13))*10</f>
        <v>0</v>
      </c>
      <c r="Q87" s="14">
        <f>AVERAGE(SUMPRODUCT($S87:$BM87,AttWeights!$C$3:$AW$3)/SUM(AttWeights!$C$3:$AW$3),SUMPRODUCT($S87:$BM87,AttWeights!$C$12:$AW$12)/SUM(AttWeights!$C$12:$AW$12))*10</f>
        <v>0</v>
      </c>
      <c r="R87" s="14">
        <f>AVERAGE(SUMPRODUCT($S87:$BM87,AttWeights!$C$2:$AW$2)/SUM(AttWeights!$C$2:$AW$2),SUMPRODUCT($S87:$BM87,AttWeights!$C$11:$AW$11)/SUM(AttWeights!$C$11:$AW$11))*10</f>
        <v>0</v>
      </c>
      <c r="S87" s="3" t="str">
        <f>IF(ISBLANK('Paste Full'!AC87),"",'Paste Full'!AC87)</f>
        <v/>
      </c>
      <c r="T87" s="3" t="str">
        <f>IF(ISBLANK('Paste Full'!AD87),"",'Paste Full'!AD87)</f>
        <v/>
      </c>
      <c r="U87" s="3" t="str">
        <f>IF(ISBLANK('Paste Full'!AE87),"",'Paste Full'!AE87)</f>
        <v/>
      </c>
      <c r="V87" s="3" t="str">
        <f>IF(ISBLANK('Paste Full'!AF87),"",'Paste Full'!AF87)</f>
        <v/>
      </c>
      <c r="W87" s="3" t="str">
        <f>IF(ISBLANK('Paste Full'!AH87),"",'Paste Full'!AH87)</f>
        <v/>
      </c>
      <c r="X87" s="3" t="str">
        <f>IF(ISBLANK('Paste Full'!AI87),"",'Paste Full'!AI87)</f>
        <v/>
      </c>
      <c r="Y87" s="3" t="str">
        <f>IF(ISBLANK('Paste Full'!AK87),"",'Paste Full'!AK87)</f>
        <v/>
      </c>
      <c r="Z87" s="3" t="str">
        <f>IF(ISBLANK('Paste Full'!AL87),"",'Paste Full'!AL87)</f>
        <v/>
      </c>
      <c r="AA87" s="4" t="str">
        <f>IF(ISBLANK('Paste Full'!AM87),"",'Paste Full'!AM87)</f>
        <v/>
      </c>
      <c r="AB87" s="4" t="str">
        <f>IF(ISBLANK('Paste Full'!AN87),"",'Paste Full'!AN87)</f>
        <v/>
      </c>
      <c r="AC87" s="4" t="str">
        <f>IF(ISBLANK('Paste Full'!AO87),"",'Paste Full'!AO87)</f>
        <v/>
      </c>
      <c r="AD87" s="4" t="str">
        <f>IF(ISBLANK('Paste Full'!AP87),"",'Paste Full'!AP87)</f>
        <v/>
      </c>
      <c r="AE87" s="4" t="str">
        <f>IF(ISBLANK('Paste Full'!AQ87),"",'Paste Full'!AQ87)</f>
        <v/>
      </c>
      <c r="AF87" s="4" t="str">
        <f>IF(ISBLANK('Paste Full'!AR87),"",'Paste Full'!AR87)</f>
        <v/>
      </c>
      <c r="AG87" s="4" t="str">
        <f>IF(ISBLANK('Paste Full'!AS87),"",'Paste Full'!AS87)</f>
        <v/>
      </c>
      <c r="AH87" s="4" t="str">
        <f>IF(ISBLANK('Paste Full'!AV87),"",'Paste Full'!AV87)</f>
        <v/>
      </c>
      <c r="AI87" s="4" t="str">
        <f>IF(ISBLANK('Paste Full'!AT87),"",'Paste Full'!AT87)</f>
        <v/>
      </c>
      <c r="AJ87" s="4" t="str">
        <f>IF(ISBLANK('Paste Full'!AU87),"",'Paste Full'!AU87)</f>
        <v/>
      </c>
      <c r="AK87" s="4" t="str">
        <f>IF(ISBLANK('Paste Full'!AW87),"",'Paste Full'!AW87)</f>
        <v/>
      </c>
      <c r="AL87" s="5" t="str">
        <f>IF(ISBLANK('Paste Full'!AX87),"",'Paste Full'!AX87)</f>
        <v/>
      </c>
      <c r="AM87" s="5" t="str">
        <f>IF(ISBLANK('Paste Full'!AY87),"",'Paste Full'!AY87)</f>
        <v/>
      </c>
      <c r="AN87" s="5" t="str">
        <f>IF(ISBLANK('Paste Full'!AZ87),"",'Paste Full'!AZ87)</f>
        <v/>
      </c>
      <c r="AO87" s="5" t="str">
        <f>IF(ISBLANK('Paste Full'!BA87),"",'Paste Full'!BA87)</f>
        <v/>
      </c>
      <c r="AP87" s="5" t="str">
        <f>IF(ISBLANK('Paste Full'!BB87),"",'Paste Full'!BB87)</f>
        <v/>
      </c>
      <c r="AQ87" s="5" t="str">
        <f>IF(ISBLANK('Paste Full'!BC87),"",'Paste Full'!BC87)</f>
        <v/>
      </c>
      <c r="AR87" s="5" t="str">
        <f>IF(ISBLANK('Paste Full'!BD87),"",'Paste Full'!BD87)</f>
        <v/>
      </c>
      <c r="AS87" s="5" t="str">
        <f>IF(ISBLANK('Paste Full'!BE87),"",'Paste Full'!BE87)</f>
        <v/>
      </c>
      <c r="AT87" s="5" t="str">
        <f>IF(ISBLANK('Paste Full'!BF87),"",'Paste Full'!BF87)</f>
        <v/>
      </c>
      <c r="AU87" s="5" t="str">
        <f>IF(ISBLANK('Paste Full'!BG87),"",'Paste Full'!BG87)</f>
        <v/>
      </c>
      <c r="AV87" s="5" t="str">
        <f>IF(ISBLANK('Paste Full'!BH87),"",'Paste Full'!BH87)</f>
        <v/>
      </c>
      <c r="AW87" s="5" t="str">
        <f>IF(ISBLANK('Paste Full'!BI87),"",'Paste Full'!BI87)</f>
        <v/>
      </c>
      <c r="AX87" s="5" t="str">
        <f>IF(ISBLANK('Paste Full'!BJ87),"",'Paste Full'!BJ87)</f>
        <v/>
      </c>
      <c r="AY87" s="5" t="str">
        <f>IF(ISBLANK('Paste Full'!BK87),"",'Paste Full'!BK87)</f>
        <v/>
      </c>
      <c r="AZ87" s="6" t="str">
        <f>IF(ISBLANK('Paste Full'!BM87),"",'Paste Full'!BM87)</f>
        <v/>
      </c>
      <c r="BA87" s="6" t="str">
        <f>IF(ISBLANK('Paste Full'!BN87),"",'Paste Full'!BN87)</f>
        <v/>
      </c>
      <c r="BB87" s="6" t="str">
        <f>IF(ISBLANK('Paste Full'!BO87),"",'Paste Full'!BO87)</f>
        <v/>
      </c>
      <c r="BC87" s="6" t="str">
        <f>IF(ISBLANK('Paste Full'!BP87),"",'Paste Full'!BP87)</f>
        <v/>
      </c>
      <c r="BD87" s="6" t="str">
        <f>IF(ISBLANK('Paste Full'!BR87),"",'Paste Full'!BR87)</f>
        <v/>
      </c>
      <c r="BE87" s="6" t="str">
        <f>IF(ISBLANK('Paste Full'!BS87),"",'Paste Full'!BS87)</f>
        <v/>
      </c>
      <c r="BF87" s="6" t="str">
        <f>IF(ISBLANK('Paste Full'!BU87),"",'Paste Full'!BU87)</f>
        <v/>
      </c>
      <c r="BG87" s="6" t="str">
        <f>IF(ISBLANK('Paste Full'!BV87),"",'Paste Full'!BV87)</f>
        <v/>
      </c>
      <c r="BH87" s="6" t="str">
        <f>IF(ISBLANK('Paste Full'!BX87),"",'Paste Full'!BX87)</f>
        <v/>
      </c>
      <c r="BI87" s="6" t="str">
        <f>IF(ISBLANK('Paste Full'!BY87),"",'Paste Full'!BY87)</f>
        <v/>
      </c>
      <c r="BJ87" s="13" t="str">
        <f>IF(ISBLANK('Paste Full'!BL87),"",'Paste Full'!BL87)</f>
        <v/>
      </c>
      <c r="BK87" s="13" t="str">
        <f>IF(ISBLANK('Paste Full'!BQ87),"",'Paste Full'!BQ87)</f>
        <v/>
      </c>
      <c r="BL87" s="13" t="str">
        <f>IF(ISBLANK('Paste Full'!BT87),"",'Paste Full'!BT87)</f>
        <v/>
      </c>
      <c r="BM87" s="13" t="str">
        <f>IF(ISBLANK('Paste Full'!BW87),"",'Paste Full'!BW87)</f>
        <v/>
      </c>
      <c r="BN87" s="41" t="str">
        <f>IF(ISBLANK('Paste Full'!BZ87),"",'Paste Full'!BZ87)</f>
        <v/>
      </c>
      <c r="BO87" s="41" t="str">
        <f>IF(ISBLANK('Paste Full'!CA87),"",'Paste Full'!CA87)</f>
        <v/>
      </c>
      <c r="BP87" s="41" t="str">
        <f>IF(ISBLANK('Paste Full'!CB87),"",'Paste Full'!CB87)</f>
        <v/>
      </c>
      <c r="BQ87" s="41" t="str">
        <f>IF(ISBLANK('Paste Full'!CC87),"",'Paste Full'!CC87)</f>
        <v/>
      </c>
      <c r="BR87" s="41" t="str">
        <f>IF(ISBLANK('Paste Full'!CD87),"",'Paste Full'!CD87)</f>
        <v/>
      </c>
      <c r="BS87" s="41" t="str">
        <f>IF(ISBLANK('Paste Full'!CE87),"",'Paste Full'!CE87)</f>
        <v/>
      </c>
      <c r="BT87" s="41" t="str">
        <f>IF(ISBLANK('Paste Full'!CF87),"",'Paste Full'!CF87)</f>
        <v/>
      </c>
      <c r="BU87" s="41" t="str">
        <f>IF(ISBLANK('Paste Full'!CG87),"",'Paste Full'!CG87)</f>
        <v/>
      </c>
      <c r="BV87" s="41" t="str">
        <f>IF(ISBLANK('Paste Full'!CH87),"",'Paste Full'!CH87)</f>
        <v/>
      </c>
    </row>
    <row r="88" spans="1:74" x14ac:dyDescent="0.3">
      <c r="A88" t="str">
        <f>IF(ISBLANK('Paste Full'!C88),"",'Paste Full'!C88)</f>
        <v/>
      </c>
      <c r="B88" t="str">
        <f t="shared" si="2"/>
        <v>Striker</v>
      </c>
      <c r="C88" s="2" t="str">
        <f>IF(ISBLANK('Paste Full'!H88),"",'Paste Full'!H88)</f>
        <v/>
      </c>
      <c r="D88" s="2" t="str">
        <f>IF(ISBLANK('Paste Full'!F88),"",'Paste Full'!F88)</f>
        <v/>
      </c>
      <c r="E88" s="2" t="str">
        <f>IF(ISBLANK('Paste Full'!G88),"",'Paste Full'!G88)</f>
        <v/>
      </c>
      <c r="F88" s="21" t="str">
        <f>IF(ISBLANK('Paste Full'!E88),"",'Paste Full'!E88)</f>
        <v/>
      </c>
      <c r="G88" t="str">
        <f>IF(ISBLANK('Paste Full'!CI88),"",'Paste Full'!CI88)</f>
        <v/>
      </c>
      <c r="H88" s="21" t="str">
        <f>IF(ISBLANK('Paste Full'!J88),"",'Paste Full'!J88)</f>
        <v/>
      </c>
      <c r="I88" s="21" t="str">
        <f>IF(ISBLANK('Paste Full'!D88),"",'Paste Full'!D88)</f>
        <v/>
      </c>
      <c r="J88" s="14">
        <f>AVERAGE(SUMPRODUCT($S88:$BM88,AttWeights!$C$10:$AW$10)/SUM(AttWeights!$C$10:$AW$10),SUMPRODUCT($S88:$BM88,AttWeights!$C$17:$AW$17)/SUM(AttWeights!$C$17:$AW$17))*10</f>
        <v>0</v>
      </c>
      <c r="K88" s="14">
        <f>AVERAGE(SUMPRODUCT($S88:$BM88,AttWeights!$C$7:$AW$7)/SUM(AttWeights!$C$7:$AW$7),SUMPRODUCT($S88:$BM88,AttWeights!$C$15:$AW$15)/SUM(AttWeights!$C$15:$AW$15))*10</f>
        <v>0</v>
      </c>
      <c r="L88" s="14">
        <f>AVERAGE(SUMPRODUCT($S88:$BM88,AttWeights!$C$8:$AW$8)/SUM(AttWeights!$C$8:$AW$8),SUMPRODUCT($S88:$BM88,AttWeights!$C$16:$AW$16)/SUM(AttWeights!$C$16:$AW$16))*10</f>
        <v>0</v>
      </c>
      <c r="M88" s="14">
        <f>AVERAGE(SUMPRODUCT($S88:$BM88,AttWeights!$C$9:$AW$9)/SUM(AttWeights!$C$9:$AW$9),SUMPRODUCT($S88:$BM88,AttWeights!$C$15:$AW$15)/SUM(AttWeights!$C$15:$AW$15))*10</f>
        <v>0</v>
      </c>
      <c r="N88" s="14">
        <f>AVERAGE(SUMPRODUCT($S88:$BM88,AttWeights!$C$6:$AW$6)/SUM(AttWeights!$C$6:$AW$6),SUMPRODUCT($S88:$BM88,AttWeights!$C$14:$AW$14)/SUM(AttWeights!$C$14:$AW$14))*10</f>
        <v>0</v>
      </c>
      <c r="O88" s="14">
        <f>AVERAGE(SUMPRODUCT($S88:$BM88,AttWeights!$C$5:$AW$5)/SUM(AttWeights!$C$5:$AW$5),SUMPRODUCT($S88:$BM88,AttWeights!$C$14:$AW$14)/SUM(AttWeights!$C$14:$AW$14))*10</f>
        <v>0</v>
      </c>
      <c r="P88" s="14">
        <f>AVERAGE(SUMPRODUCT($S88:$BM88,AttWeights!$C$4:$AW$4)/SUM(AttWeights!$C$4:$AW$4),SUMPRODUCT($S88:$BM88,AttWeights!$C$13:$AW$13)/SUM(AttWeights!$C$13:$AW$13))*10</f>
        <v>0</v>
      </c>
      <c r="Q88" s="14">
        <f>AVERAGE(SUMPRODUCT($S88:$BM88,AttWeights!$C$3:$AW$3)/SUM(AttWeights!$C$3:$AW$3),SUMPRODUCT($S88:$BM88,AttWeights!$C$12:$AW$12)/SUM(AttWeights!$C$12:$AW$12))*10</f>
        <v>0</v>
      </c>
      <c r="R88" s="14">
        <f>AVERAGE(SUMPRODUCT($S88:$BM88,AttWeights!$C$2:$AW$2)/SUM(AttWeights!$C$2:$AW$2),SUMPRODUCT($S88:$BM88,AttWeights!$C$11:$AW$11)/SUM(AttWeights!$C$11:$AW$11))*10</f>
        <v>0</v>
      </c>
      <c r="S88" s="3" t="str">
        <f>IF(ISBLANK('Paste Full'!AC88),"",'Paste Full'!AC88)</f>
        <v/>
      </c>
      <c r="T88" s="3" t="str">
        <f>IF(ISBLANK('Paste Full'!AD88),"",'Paste Full'!AD88)</f>
        <v/>
      </c>
      <c r="U88" s="3" t="str">
        <f>IF(ISBLANK('Paste Full'!AE88),"",'Paste Full'!AE88)</f>
        <v/>
      </c>
      <c r="V88" s="3" t="str">
        <f>IF(ISBLANK('Paste Full'!AF88),"",'Paste Full'!AF88)</f>
        <v/>
      </c>
      <c r="W88" s="3" t="str">
        <f>IF(ISBLANK('Paste Full'!AH88),"",'Paste Full'!AH88)</f>
        <v/>
      </c>
      <c r="X88" s="3" t="str">
        <f>IF(ISBLANK('Paste Full'!AI88),"",'Paste Full'!AI88)</f>
        <v/>
      </c>
      <c r="Y88" s="3" t="str">
        <f>IF(ISBLANK('Paste Full'!AK88),"",'Paste Full'!AK88)</f>
        <v/>
      </c>
      <c r="Z88" s="3" t="str">
        <f>IF(ISBLANK('Paste Full'!AL88),"",'Paste Full'!AL88)</f>
        <v/>
      </c>
      <c r="AA88" s="4" t="str">
        <f>IF(ISBLANK('Paste Full'!AM88),"",'Paste Full'!AM88)</f>
        <v/>
      </c>
      <c r="AB88" s="4" t="str">
        <f>IF(ISBLANK('Paste Full'!AN88),"",'Paste Full'!AN88)</f>
        <v/>
      </c>
      <c r="AC88" s="4" t="str">
        <f>IF(ISBLANK('Paste Full'!AO88),"",'Paste Full'!AO88)</f>
        <v/>
      </c>
      <c r="AD88" s="4" t="str">
        <f>IF(ISBLANK('Paste Full'!AP88),"",'Paste Full'!AP88)</f>
        <v/>
      </c>
      <c r="AE88" s="4" t="str">
        <f>IF(ISBLANK('Paste Full'!AQ88),"",'Paste Full'!AQ88)</f>
        <v/>
      </c>
      <c r="AF88" s="4" t="str">
        <f>IF(ISBLANK('Paste Full'!AR88),"",'Paste Full'!AR88)</f>
        <v/>
      </c>
      <c r="AG88" s="4" t="str">
        <f>IF(ISBLANK('Paste Full'!AS88),"",'Paste Full'!AS88)</f>
        <v/>
      </c>
      <c r="AH88" s="4" t="str">
        <f>IF(ISBLANK('Paste Full'!AV88),"",'Paste Full'!AV88)</f>
        <v/>
      </c>
      <c r="AI88" s="4" t="str">
        <f>IF(ISBLANK('Paste Full'!AT88),"",'Paste Full'!AT88)</f>
        <v/>
      </c>
      <c r="AJ88" s="4" t="str">
        <f>IF(ISBLANK('Paste Full'!AU88),"",'Paste Full'!AU88)</f>
        <v/>
      </c>
      <c r="AK88" s="4" t="str">
        <f>IF(ISBLANK('Paste Full'!AW88),"",'Paste Full'!AW88)</f>
        <v/>
      </c>
      <c r="AL88" s="5" t="str">
        <f>IF(ISBLANK('Paste Full'!AX88),"",'Paste Full'!AX88)</f>
        <v/>
      </c>
      <c r="AM88" s="5" t="str">
        <f>IF(ISBLANK('Paste Full'!AY88),"",'Paste Full'!AY88)</f>
        <v/>
      </c>
      <c r="AN88" s="5" t="str">
        <f>IF(ISBLANK('Paste Full'!AZ88),"",'Paste Full'!AZ88)</f>
        <v/>
      </c>
      <c r="AO88" s="5" t="str">
        <f>IF(ISBLANK('Paste Full'!BA88),"",'Paste Full'!BA88)</f>
        <v/>
      </c>
      <c r="AP88" s="5" t="str">
        <f>IF(ISBLANK('Paste Full'!BB88),"",'Paste Full'!BB88)</f>
        <v/>
      </c>
      <c r="AQ88" s="5" t="str">
        <f>IF(ISBLANK('Paste Full'!BC88),"",'Paste Full'!BC88)</f>
        <v/>
      </c>
      <c r="AR88" s="5" t="str">
        <f>IF(ISBLANK('Paste Full'!BD88),"",'Paste Full'!BD88)</f>
        <v/>
      </c>
      <c r="AS88" s="5" t="str">
        <f>IF(ISBLANK('Paste Full'!BE88),"",'Paste Full'!BE88)</f>
        <v/>
      </c>
      <c r="AT88" s="5" t="str">
        <f>IF(ISBLANK('Paste Full'!BF88),"",'Paste Full'!BF88)</f>
        <v/>
      </c>
      <c r="AU88" s="5" t="str">
        <f>IF(ISBLANK('Paste Full'!BG88),"",'Paste Full'!BG88)</f>
        <v/>
      </c>
      <c r="AV88" s="5" t="str">
        <f>IF(ISBLANK('Paste Full'!BH88),"",'Paste Full'!BH88)</f>
        <v/>
      </c>
      <c r="AW88" s="5" t="str">
        <f>IF(ISBLANK('Paste Full'!BI88),"",'Paste Full'!BI88)</f>
        <v/>
      </c>
      <c r="AX88" s="5" t="str">
        <f>IF(ISBLANK('Paste Full'!BJ88),"",'Paste Full'!BJ88)</f>
        <v/>
      </c>
      <c r="AY88" s="5" t="str">
        <f>IF(ISBLANK('Paste Full'!BK88),"",'Paste Full'!BK88)</f>
        <v/>
      </c>
      <c r="AZ88" s="6" t="str">
        <f>IF(ISBLANK('Paste Full'!BM88),"",'Paste Full'!BM88)</f>
        <v/>
      </c>
      <c r="BA88" s="6" t="str">
        <f>IF(ISBLANK('Paste Full'!BN88),"",'Paste Full'!BN88)</f>
        <v/>
      </c>
      <c r="BB88" s="6" t="str">
        <f>IF(ISBLANK('Paste Full'!BO88),"",'Paste Full'!BO88)</f>
        <v/>
      </c>
      <c r="BC88" s="6" t="str">
        <f>IF(ISBLANK('Paste Full'!BP88),"",'Paste Full'!BP88)</f>
        <v/>
      </c>
      <c r="BD88" s="6" t="str">
        <f>IF(ISBLANK('Paste Full'!BR88),"",'Paste Full'!BR88)</f>
        <v/>
      </c>
      <c r="BE88" s="6" t="str">
        <f>IF(ISBLANK('Paste Full'!BS88),"",'Paste Full'!BS88)</f>
        <v/>
      </c>
      <c r="BF88" s="6" t="str">
        <f>IF(ISBLANK('Paste Full'!BU88),"",'Paste Full'!BU88)</f>
        <v/>
      </c>
      <c r="BG88" s="6" t="str">
        <f>IF(ISBLANK('Paste Full'!BV88),"",'Paste Full'!BV88)</f>
        <v/>
      </c>
      <c r="BH88" s="6" t="str">
        <f>IF(ISBLANK('Paste Full'!BX88),"",'Paste Full'!BX88)</f>
        <v/>
      </c>
      <c r="BI88" s="6" t="str">
        <f>IF(ISBLANK('Paste Full'!BY88),"",'Paste Full'!BY88)</f>
        <v/>
      </c>
      <c r="BJ88" s="13" t="str">
        <f>IF(ISBLANK('Paste Full'!BL88),"",'Paste Full'!BL88)</f>
        <v/>
      </c>
      <c r="BK88" s="13" t="str">
        <f>IF(ISBLANK('Paste Full'!BQ88),"",'Paste Full'!BQ88)</f>
        <v/>
      </c>
      <c r="BL88" s="13" t="str">
        <f>IF(ISBLANK('Paste Full'!BT88),"",'Paste Full'!BT88)</f>
        <v/>
      </c>
      <c r="BM88" s="13" t="str">
        <f>IF(ISBLANK('Paste Full'!BW88),"",'Paste Full'!BW88)</f>
        <v/>
      </c>
      <c r="BN88" s="41" t="str">
        <f>IF(ISBLANK('Paste Full'!BZ88),"",'Paste Full'!BZ88)</f>
        <v/>
      </c>
      <c r="BO88" s="41" t="str">
        <f>IF(ISBLANK('Paste Full'!CA88),"",'Paste Full'!CA88)</f>
        <v/>
      </c>
      <c r="BP88" s="41" t="str">
        <f>IF(ISBLANK('Paste Full'!CB88),"",'Paste Full'!CB88)</f>
        <v/>
      </c>
      <c r="BQ88" s="41" t="str">
        <f>IF(ISBLANK('Paste Full'!CC88),"",'Paste Full'!CC88)</f>
        <v/>
      </c>
      <c r="BR88" s="41" t="str">
        <f>IF(ISBLANK('Paste Full'!CD88),"",'Paste Full'!CD88)</f>
        <v/>
      </c>
      <c r="BS88" s="41" t="str">
        <f>IF(ISBLANK('Paste Full'!CE88),"",'Paste Full'!CE88)</f>
        <v/>
      </c>
      <c r="BT88" s="41" t="str">
        <f>IF(ISBLANK('Paste Full'!CF88),"",'Paste Full'!CF88)</f>
        <v/>
      </c>
      <c r="BU88" s="41" t="str">
        <f>IF(ISBLANK('Paste Full'!CG88),"",'Paste Full'!CG88)</f>
        <v/>
      </c>
      <c r="BV88" s="41" t="str">
        <f>IF(ISBLANK('Paste Full'!CH88),"",'Paste Full'!CH88)</f>
        <v/>
      </c>
    </row>
    <row r="89" spans="1:74" x14ac:dyDescent="0.3">
      <c r="A89" t="str">
        <f>IF(ISBLANK('Paste Full'!C89),"",'Paste Full'!C89)</f>
        <v/>
      </c>
      <c r="B89" t="str">
        <f t="shared" si="2"/>
        <v>Striker</v>
      </c>
      <c r="C89" s="2" t="str">
        <f>IF(ISBLANK('Paste Full'!H89),"",'Paste Full'!H89)</f>
        <v/>
      </c>
      <c r="D89" s="2" t="str">
        <f>IF(ISBLANK('Paste Full'!F89),"",'Paste Full'!F89)</f>
        <v/>
      </c>
      <c r="E89" s="2" t="str">
        <f>IF(ISBLANK('Paste Full'!G89),"",'Paste Full'!G89)</f>
        <v/>
      </c>
      <c r="F89" s="21" t="str">
        <f>IF(ISBLANK('Paste Full'!E89),"",'Paste Full'!E89)</f>
        <v/>
      </c>
      <c r="G89" t="str">
        <f>IF(ISBLANK('Paste Full'!CI89),"",'Paste Full'!CI89)</f>
        <v/>
      </c>
      <c r="H89" s="21" t="str">
        <f>IF(ISBLANK('Paste Full'!J89),"",'Paste Full'!J89)</f>
        <v/>
      </c>
      <c r="I89" s="21" t="str">
        <f>IF(ISBLANK('Paste Full'!D89),"",'Paste Full'!D89)</f>
        <v/>
      </c>
      <c r="J89" s="14">
        <f>AVERAGE(SUMPRODUCT($S89:$BM89,AttWeights!$C$10:$AW$10)/SUM(AttWeights!$C$10:$AW$10),SUMPRODUCT($S89:$BM89,AttWeights!$C$17:$AW$17)/SUM(AttWeights!$C$17:$AW$17))*10</f>
        <v>0</v>
      </c>
      <c r="K89" s="14">
        <f>AVERAGE(SUMPRODUCT($S89:$BM89,AttWeights!$C$7:$AW$7)/SUM(AttWeights!$C$7:$AW$7),SUMPRODUCT($S89:$BM89,AttWeights!$C$15:$AW$15)/SUM(AttWeights!$C$15:$AW$15))*10</f>
        <v>0</v>
      </c>
      <c r="L89" s="14">
        <f>AVERAGE(SUMPRODUCT($S89:$BM89,AttWeights!$C$8:$AW$8)/SUM(AttWeights!$C$8:$AW$8),SUMPRODUCT($S89:$BM89,AttWeights!$C$16:$AW$16)/SUM(AttWeights!$C$16:$AW$16))*10</f>
        <v>0</v>
      </c>
      <c r="M89" s="14">
        <f>AVERAGE(SUMPRODUCT($S89:$BM89,AttWeights!$C$9:$AW$9)/SUM(AttWeights!$C$9:$AW$9),SUMPRODUCT($S89:$BM89,AttWeights!$C$15:$AW$15)/SUM(AttWeights!$C$15:$AW$15))*10</f>
        <v>0</v>
      </c>
      <c r="N89" s="14">
        <f>AVERAGE(SUMPRODUCT($S89:$BM89,AttWeights!$C$6:$AW$6)/SUM(AttWeights!$C$6:$AW$6),SUMPRODUCT($S89:$BM89,AttWeights!$C$14:$AW$14)/SUM(AttWeights!$C$14:$AW$14))*10</f>
        <v>0</v>
      </c>
      <c r="O89" s="14">
        <f>AVERAGE(SUMPRODUCT($S89:$BM89,AttWeights!$C$5:$AW$5)/SUM(AttWeights!$C$5:$AW$5),SUMPRODUCT($S89:$BM89,AttWeights!$C$14:$AW$14)/SUM(AttWeights!$C$14:$AW$14))*10</f>
        <v>0</v>
      </c>
      <c r="P89" s="14">
        <f>AVERAGE(SUMPRODUCT($S89:$BM89,AttWeights!$C$4:$AW$4)/SUM(AttWeights!$C$4:$AW$4),SUMPRODUCT($S89:$BM89,AttWeights!$C$13:$AW$13)/SUM(AttWeights!$C$13:$AW$13))*10</f>
        <v>0</v>
      </c>
      <c r="Q89" s="14">
        <f>AVERAGE(SUMPRODUCT($S89:$BM89,AttWeights!$C$3:$AW$3)/SUM(AttWeights!$C$3:$AW$3),SUMPRODUCT($S89:$BM89,AttWeights!$C$12:$AW$12)/SUM(AttWeights!$C$12:$AW$12))*10</f>
        <v>0</v>
      </c>
      <c r="R89" s="14">
        <f>AVERAGE(SUMPRODUCT($S89:$BM89,AttWeights!$C$2:$AW$2)/SUM(AttWeights!$C$2:$AW$2),SUMPRODUCT($S89:$BM89,AttWeights!$C$11:$AW$11)/SUM(AttWeights!$C$11:$AW$11))*10</f>
        <v>0</v>
      </c>
      <c r="S89" s="3" t="str">
        <f>IF(ISBLANK('Paste Full'!AC89),"",'Paste Full'!AC89)</f>
        <v/>
      </c>
      <c r="T89" s="3" t="str">
        <f>IF(ISBLANK('Paste Full'!AD89),"",'Paste Full'!AD89)</f>
        <v/>
      </c>
      <c r="U89" s="3" t="str">
        <f>IF(ISBLANK('Paste Full'!AE89),"",'Paste Full'!AE89)</f>
        <v/>
      </c>
      <c r="V89" s="3" t="str">
        <f>IF(ISBLANK('Paste Full'!AF89),"",'Paste Full'!AF89)</f>
        <v/>
      </c>
      <c r="W89" s="3" t="str">
        <f>IF(ISBLANK('Paste Full'!AH89),"",'Paste Full'!AH89)</f>
        <v/>
      </c>
      <c r="X89" s="3" t="str">
        <f>IF(ISBLANK('Paste Full'!AI89),"",'Paste Full'!AI89)</f>
        <v/>
      </c>
      <c r="Y89" s="3" t="str">
        <f>IF(ISBLANK('Paste Full'!AK89),"",'Paste Full'!AK89)</f>
        <v/>
      </c>
      <c r="Z89" s="3" t="str">
        <f>IF(ISBLANK('Paste Full'!AL89),"",'Paste Full'!AL89)</f>
        <v/>
      </c>
      <c r="AA89" s="4" t="str">
        <f>IF(ISBLANK('Paste Full'!AM89),"",'Paste Full'!AM89)</f>
        <v/>
      </c>
      <c r="AB89" s="4" t="str">
        <f>IF(ISBLANK('Paste Full'!AN89),"",'Paste Full'!AN89)</f>
        <v/>
      </c>
      <c r="AC89" s="4" t="str">
        <f>IF(ISBLANK('Paste Full'!AO89),"",'Paste Full'!AO89)</f>
        <v/>
      </c>
      <c r="AD89" s="4" t="str">
        <f>IF(ISBLANK('Paste Full'!AP89),"",'Paste Full'!AP89)</f>
        <v/>
      </c>
      <c r="AE89" s="4" t="str">
        <f>IF(ISBLANK('Paste Full'!AQ89),"",'Paste Full'!AQ89)</f>
        <v/>
      </c>
      <c r="AF89" s="4" t="str">
        <f>IF(ISBLANK('Paste Full'!AR89),"",'Paste Full'!AR89)</f>
        <v/>
      </c>
      <c r="AG89" s="4" t="str">
        <f>IF(ISBLANK('Paste Full'!AS89),"",'Paste Full'!AS89)</f>
        <v/>
      </c>
      <c r="AH89" s="4" t="str">
        <f>IF(ISBLANK('Paste Full'!AV89),"",'Paste Full'!AV89)</f>
        <v/>
      </c>
      <c r="AI89" s="4" t="str">
        <f>IF(ISBLANK('Paste Full'!AT89),"",'Paste Full'!AT89)</f>
        <v/>
      </c>
      <c r="AJ89" s="4" t="str">
        <f>IF(ISBLANK('Paste Full'!AU89),"",'Paste Full'!AU89)</f>
        <v/>
      </c>
      <c r="AK89" s="4" t="str">
        <f>IF(ISBLANK('Paste Full'!AW89),"",'Paste Full'!AW89)</f>
        <v/>
      </c>
      <c r="AL89" s="5" t="str">
        <f>IF(ISBLANK('Paste Full'!AX89),"",'Paste Full'!AX89)</f>
        <v/>
      </c>
      <c r="AM89" s="5" t="str">
        <f>IF(ISBLANK('Paste Full'!AY89),"",'Paste Full'!AY89)</f>
        <v/>
      </c>
      <c r="AN89" s="5" t="str">
        <f>IF(ISBLANK('Paste Full'!AZ89),"",'Paste Full'!AZ89)</f>
        <v/>
      </c>
      <c r="AO89" s="5" t="str">
        <f>IF(ISBLANK('Paste Full'!BA89),"",'Paste Full'!BA89)</f>
        <v/>
      </c>
      <c r="AP89" s="5" t="str">
        <f>IF(ISBLANK('Paste Full'!BB89),"",'Paste Full'!BB89)</f>
        <v/>
      </c>
      <c r="AQ89" s="5" t="str">
        <f>IF(ISBLANK('Paste Full'!BC89),"",'Paste Full'!BC89)</f>
        <v/>
      </c>
      <c r="AR89" s="5" t="str">
        <f>IF(ISBLANK('Paste Full'!BD89),"",'Paste Full'!BD89)</f>
        <v/>
      </c>
      <c r="AS89" s="5" t="str">
        <f>IF(ISBLANK('Paste Full'!BE89),"",'Paste Full'!BE89)</f>
        <v/>
      </c>
      <c r="AT89" s="5" t="str">
        <f>IF(ISBLANK('Paste Full'!BF89),"",'Paste Full'!BF89)</f>
        <v/>
      </c>
      <c r="AU89" s="5" t="str">
        <f>IF(ISBLANK('Paste Full'!BG89),"",'Paste Full'!BG89)</f>
        <v/>
      </c>
      <c r="AV89" s="5" t="str">
        <f>IF(ISBLANK('Paste Full'!BH89),"",'Paste Full'!BH89)</f>
        <v/>
      </c>
      <c r="AW89" s="5" t="str">
        <f>IF(ISBLANK('Paste Full'!BI89),"",'Paste Full'!BI89)</f>
        <v/>
      </c>
      <c r="AX89" s="5" t="str">
        <f>IF(ISBLANK('Paste Full'!BJ89),"",'Paste Full'!BJ89)</f>
        <v/>
      </c>
      <c r="AY89" s="5" t="str">
        <f>IF(ISBLANK('Paste Full'!BK89),"",'Paste Full'!BK89)</f>
        <v/>
      </c>
      <c r="AZ89" s="6" t="str">
        <f>IF(ISBLANK('Paste Full'!BM89),"",'Paste Full'!BM89)</f>
        <v/>
      </c>
      <c r="BA89" s="6" t="str">
        <f>IF(ISBLANK('Paste Full'!BN89),"",'Paste Full'!BN89)</f>
        <v/>
      </c>
      <c r="BB89" s="6" t="str">
        <f>IF(ISBLANK('Paste Full'!BO89),"",'Paste Full'!BO89)</f>
        <v/>
      </c>
      <c r="BC89" s="6" t="str">
        <f>IF(ISBLANK('Paste Full'!BP89),"",'Paste Full'!BP89)</f>
        <v/>
      </c>
      <c r="BD89" s="6" t="str">
        <f>IF(ISBLANK('Paste Full'!BR89),"",'Paste Full'!BR89)</f>
        <v/>
      </c>
      <c r="BE89" s="6" t="str">
        <f>IF(ISBLANK('Paste Full'!BS89),"",'Paste Full'!BS89)</f>
        <v/>
      </c>
      <c r="BF89" s="6" t="str">
        <f>IF(ISBLANK('Paste Full'!BU89),"",'Paste Full'!BU89)</f>
        <v/>
      </c>
      <c r="BG89" s="6" t="str">
        <f>IF(ISBLANK('Paste Full'!BV89),"",'Paste Full'!BV89)</f>
        <v/>
      </c>
      <c r="BH89" s="6" t="str">
        <f>IF(ISBLANK('Paste Full'!BX89),"",'Paste Full'!BX89)</f>
        <v/>
      </c>
      <c r="BI89" s="6" t="str">
        <f>IF(ISBLANK('Paste Full'!BY89),"",'Paste Full'!BY89)</f>
        <v/>
      </c>
      <c r="BJ89" s="13" t="str">
        <f>IF(ISBLANK('Paste Full'!BL89),"",'Paste Full'!BL89)</f>
        <v/>
      </c>
      <c r="BK89" s="13" t="str">
        <f>IF(ISBLANK('Paste Full'!BQ89),"",'Paste Full'!BQ89)</f>
        <v/>
      </c>
      <c r="BL89" s="13" t="str">
        <f>IF(ISBLANK('Paste Full'!BT89),"",'Paste Full'!BT89)</f>
        <v/>
      </c>
      <c r="BM89" s="13" t="str">
        <f>IF(ISBLANK('Paste Full'!BW89),"",'Paste Full'!BW89)</f>
        <v/>
      </c>
      <c r="BN89" s="41" t="str">
        <f>IF(ISBLANK('Paste Full'!BZ89),"",'Paste Full'!BZ89)</f>
        <v/>
      </c>
      <c r="BO89" s="41" t="str">
        <f>IF(ISBLANK('Paste Full'!CA89),"",'Paste Full'!CA89)</f>
        <v/>
      </c>
      <c r="BP89" s="41" t="str">
        <f>IF(ISBLANK('Paste Full'!CB89),"",'Paste Full'!CB89)</f>
        <v/>
      </c>
      <c r="BQ89" s="41" t="str">
        <f>IF(ISBLANK('Paste Full'!CC89),"",'Paste Full'!CC89)</f>
        <v/>
      </c>
      <c r="BR89" s="41" t="str">
        <f>IF(ISBLANK('Paste Full'!CD89),"",'Paste Full'!CD89)</f>
        <v/>
      </c>
      <c r="BS89" s="41" t="str">
        <f>IF(ISBLANK('Paste Full'!CE89),"",'Paste Full'!CE89)</f>
        <v/>
      </c>
      <c r="BT89" s="41" t="str">
        <f>IF(ISBLANK('Paste Full'!CF89),"",'Paste Full'!CF89)</f>
        <v/>
      </c>
      <c r="BU89" s="41" t="str">
        <f>IF(ISBLANK('Paste Full'!CG89),"",'Paste Full'!CG89)</f>
        <v/>
      </c>
      <c r="BV89" s="41" t="str">
        <f>IF(ISBLANK('Paste Full'!CH89),"",'Paste Full'!CH89)</f>
        <v/>
      </c>
    </row>
    <row r="90" spans="1:74" x14ac:dyDescent="0.3">
      <c r="A90" t="str">
        <f>IF(ISBLANK('Paste Full'!C90),"",'Paste Full'!C90)</f>
        <v/>
      </c>
      <c r="B90" t="str">
        <f t="shared" si="2"/>
        <v>Striker</v>
      </c>
      <c r="C90" s="2" t="str">
        <f>IF(ISBLANK('Paste Full'!H90),"",'Paste Full'!H90)</f>
        <v/>
      </c>
      <c r="D90" s="2" t="str">
        <f>IF(ISBLANK('Paste Full'!F90),"",'Paste Full'!F90)</f>
        <v/>
      </c>
      <c r="E90" s="2" t="str">
        <f>IF(ISBLANK('Paste Full'!G90),"",'Paste Full'!G90)</f>
        <v/>
      </c>
      <c r="F90" s="21" t="str">
        <f>IF(ISBLANK('Paste Full'!E90),"",'Paste Full'!E90)</f>
        <v/>
      </c>
      <c r="G90" t="str">
        <f>IF(ISBLANK('Paste Full'!CI90),"",'Paste Full'!CI90)</f>
        <v/>
      </c>
      <c r="H90" s="21" t="str">
        <f>IF(ISBLANK('Paste Full'!J90),"",'Paste Full'!J90)</f>
        <v/>
      </c>
      <c r="I90" s="21" t="str">
        <f>IF(ISBLANK('Paste Full'!D90),"",'Paste Full'!D90)</f>
        <v/>
      </c>
      <c r="J90" s="14">
        <f>AVERAGE(SUMPRODUCT($S90:$BM90,AttWeights!$C$10:$AW$10)/SUM(AttWeights!$C$10:$AW$10),SUMPRODUCT($S90:$BM90,AttWeights!$C$17:$AW$17)/SUM(AttWeights!$C$17:$AW$17))*10</f>
        <v>0</v>
      </c>
      <c r="K90" s="14">
        <f>AVERAGE(SUMPRODUCT($S90:$BM90,AttWeights!$C$7:$AW$7)/SUM(AttWeights!$C$7:$AW$7),SUMPRODUCT($S90:$BM90,AttWeights!$C$15:$AW$15)/SUM(AttWeights!$C$15:$AW$15))*10</f>
        <v>0</v>
      </c>
      <c r="L90" s="14">
        <f>AVERAGE(SUMPRODUCT($S90:$BM90,AttWeights!$C$8:$AW$8)/SUM(AttWeights!$C$8:$AW$8),SUMPRODUCT($S90:$BM90,AttWeights!$C$16:$AW$16)/SUM(AttWeights!$C$16:$AW$16))*10</f>
        <v>0</v>
      </c>
      <c r="M90" s="14">
        <f>AVERAGE(SUMPRODUCT($S90:$BM90,AttWeights!$C$9:$AW$9)/SUM(AttWeights!$C$9:$AW$9),SUMPRODUCT($S90:$BM90,AttWeights!$C$15:$AW$15)/SUM(AttWeights!$C$15:$AW$15))*10</f>
        <v>0</v>
      </c>
      <c r="N90" s="14">
        <f>AVERAGE(SUMPRODUCT($S90:$BM90,AttWeights!$C$6:$AW$6)/SUM(AttWeights!$C$6:$AW$6),SUMPRODUCT($S90:$BM90,AttWeights!$C$14:$AW$14)/SUM(AttWeights!$C$14:$AW$14))*10</f>
        <v>0</v>
      </c>
      <c r="O90" s="14">
        <f>AVERAGE(SUMPRODUCT($S90:$BM90,AttWeights!$C$5:$AW$5)/SUM(AttWeights!$C$5:$AW$5),SUMPRODUCT($S90:$BM90,AttWeights!$C$14:$AW$14)/SUM(AttWeights!$C$14:$AW$14))*10</f>
        <v>0</v>
      </c>
      <c r="P90" s="14">
        <f>AVERAGE(SUMPRODUCT($S90:$BM90,AttWeights!$C$4:$AW$4)/SUM(AttWeights!$C$4:$AW$4),SUMPRODUCT($S90:$BM90,AttWeights!$C$13:$AW$13)/SUM(AttWeights!$C$13:$AW$13))*10</f>
        <v>0</v>
      </c>
      <c r="Q90" s="14">
        <f>AVERAGE(SUMPRODUCT($S90:$BM90,AttWeights!$C$3:$AW$3)/SUM(AttWeights!$C$3:$AW$3),SUMPRODUCT($S90:$BM90,AttWeights!$C$12:$AW$12)/SUM(AttWeights!$C$12:$AW$12))*10</f>
        <v>0</v>
      </c>
      <c r="R90" s="14">
        <f>AVERAGE(SUMPRODUCT($S90:$BM90,AttWeights!$C$2:$AW$2)/SUM(AttWeights!$C$2:$AW$2),SUMPRODUCT($S90:$BM90,AttWeights!$C$11:$AW$11)/SUM(AttWeights!$C$11:$AW$11))*10</f>
        <v>0</v>
      </c>
      <c r="S90" s="3" t="str">
        <f>IF(ISBLANK('Paste Full'!AC90),"",'Paste Full'!AC90)</f>
        <v/>
      </c>
      <c r="T90" s="3" t="str">
        <f>IF(ISBLANK('Paste Full'!AD90),"",'Paste Full'!AD90)</f>
        <v/>
      </c>
      <c r="U90" s="3" t="str">
        <f>IF(ISBLANK('Paste Full'!AE90),"",'Paste Full'!AE90)</f>
        <v/>
      </c>
      <c r="V90" s="3" t="str">
        <f>IF(ISBLANK('Paste Full'!AF90),"",'Paste Full'!AF90)</f>
        <v/>
      </c>
      <c r="W90" s="3" t="str">
        <f>IF(ISBLANK('Paste Full'!AH90),"",'Paste Full'!AH90)</f>
        <v/>
      </c>
      <c r="X90" s="3" t="str">
        <f>IF(ISBLANK('Paste Full'!AI90),"",'Paste Full'!AI90)</f>
        <v/>
      </c>
      <c r="Y90" s="3" t="str">
        <f>IF(ISBLANK('Paste Full'!AK90),"",'Paste Full'!AK90)</f>
        <v/>
      </c>
      <c r="Z90" s="3" t="str">
        <f>IF(ISBLANK('Paste Full'!AL90),"",'Paste Full'!AL90)</f>
        <v/>
      </c>
      <c r="AA90" s="4" t="str">
        <f>IF(ISBLANK('Paste Full'!AM90),"",'Paste Full'!AM90)</f>
        <v/>
      </c>
      <c r="AB90" s="4" t="str">
        <f>IF(ISBLANK('Paste Full'!AN90),"",'Paste Full'!AN90)</f>
        <v/>
      </c>
      <c r="AC90" s="4" t="str">
        <f>IF(ISBLANK('Paste Full'!AO90),"",'Paste Full'!AO90)</f>
        <v/>
      </c>
      <c r="AD90" s="4" t="str">
        <f>IF(ISBLANK('Paste Full'!AP90),"",'Paste Full'!AP90)</f>
        <v/>
      </c>
      <c r="AE90" s="4" t="str">
        <f>IF(ISBLANK('Paste Full'!AQ90),"",'Paste Full'!AQ90)</f>
        <v/>
      </c>
      <c r="AF90" s="4" t="str">
        <f>IF(ISBLANK('Paste Full'!AR90),"",'Paste Full'!AR90)</f>
        <v/>
      </c>
      <c r="AG90" s="4" t="str">
        <f>IF(ISBLANK('Paste Full'!AS90),"",'Paste Full'!AS90)</f>
        <v/>
      </c>
      <c r="AH90" s="4" t="str">
        <f>IF(ISBLANK('Paste Full'!AV90),"",'Paste Full'!AV90)</f>
        <v/>
      </c>
      <c r="AI90" s="4" t="str">
        <f>IF(ISBLANK('Paste Full'!AT90),"",'Paste Full'!AT90)</f>
        <v/>
      </c>
      <c r="AJ90" s="4" t="str">
        <f>IF(ISBLANK('Paste Full'!AU90),"",'Paste Full'!AU90)</f>
        <v/>
      </c>
      <c r="AK90" s="4" t="str">
        <f>IF(ISBLANK('Paste Full'!AW90),"",'Paste Full'!AW90)</f>
        <v/>
      </c>
      <c r="AL90" s="5" t="str">
        <f>IF(ISBLANK('Paste Full'!AX90),"",'Paste Full'!AX90)</f>
        <v/>
      </c>
      <c r="AM90" s="5" t="str">
        <f>IF(ISBLANK('Paste Full'!AY90),"",'Paste Full'!AY90)</f>
        <v/>
      </c>
      <c r="AN90" s="5" t="str">
        <f>IF(ISBLANK('Paste Full'!AZ90),"",'Paste Full'!AZ90)</f>
        <v/>
      </c>
      <c r="AO90" s="5" t="str">
        <f>IF(ISBLANK('Paste Full'!BA90),"",'Paste Full'!BA90)</f>
        <v/>
      </c>
      <c r="AP90" s="5" t="str">
        <f>IF(ISBLANK('Paste Full'!BB90),"",'Paste Full'!BB90)</f>
        <v/>
      </c>
      <c r="AQ90" s="5" t="str">
        <f>IF(ISBLANK('Paste Full'!BC90),"",'Paste Full'!BC90)</f>
        <v/>
      </c>
      <c r="AR90" s="5" t="str">
        <f>IF(ISBLANK('Paste Full'!BD90),"",'Paste Full'!BD90)</f>
        <v/>
      </c>
      <c r="AS90" s="5" t="str">
        <f>IF(ISBLANK('Paste Full'!BE90),"",'Paste Full'!BE90)</f>
        <v/>
      </c>
      <c r="AT90" s="5" t="str">
        <f>IF(ISBLANK('Paste Full'!BF90),"",'Paste Full'!BF90)</f>
        <v/>
      </c>
      <c r="AU90" s="5" t="str">
        <f>IF(ISBLANK('Paste Full'!BG90),"",'Paste Full'!BG90)</f>
        <v/>
      </c>
      <c r="AV90" s="5" t="str">
        <f>IF(ISBLANK('Paste Full'!BH90),"",'Paste Full'!BH90)</f>
        <v/>
      </c>
      <c r="AW90" s="5" t="str">
        <f>IF(ISBLANK('Paste Full'!BI90),"",'Paste Full'!BI90)</f>
        <v/>
      </c>
      <c r="AX90" s="5" t="str">
        <f>IF(ISBLANK('Paste Full'!BJ90),"",'Paste Full'!BJ90)</f>
        <v/>
      </c>
      <c r="AY90" s="5" t="str">
        <f>IF(ISBLANK('Paste Full'!BK90),"",'Paste Full'!BK90)</f>
        <v/>
      </c>
      <c r="AZ90" s="6" t="str">
        <f>IF(ISBLANK('Paste Full'!BM90),"",'Paste Full'!BM90)</f>
        <v/>
      </c>
      <c r="BA90" s="6" t="str">
        <f>IF(ISBLANK('Paste Full'!BN90),"",'Paste Full'!BN90)</f>
        <v/>
      </c>
      <c r="BB90" s="6" t="str">
        <f>IF(ISBLANK('Paste Full'!BO90),"",'Paste Full'!BO90)</f>
        <v/>
      </c>
      <c r="BC90" s="6" t="str">
        <f>IF(ISBLANK('Paste Full'!BP90),"",'Paste Full'!BP90)</f>
        <v/>
      </c>
      <c r="BD90" s="6" t="str">
        <f>IF(ISBLANK('Paste Full'!BR90),"",'Paste Full'!BR90)</f>
        <v/>
      </c>
      <c r="BE90" s="6" t="str">
        <f>IF(ISBLANK('Paste Full'!BS90),"",'Paste Full'!BS90)</f>
        <v/>
      </c>
      <c r="BF90" s="6" t="str">
        <f>IF(ISBLANK('Paste Full'!BU90),"",'Paste Full'!BU90)</f>
        <v/>
      </c>
      <c r="BG90" s="6" t="str">
        <f>IF(ISBLANK('Paste Full'!BV90),"",'Paste Full'!BV90)</f>
        <v/>
      </c>
      <c r="BH90" s="6" t="str">
        <f>IF(ISBLANK('Paste Full'!BX90),"",'Paste Full'!BX90)</f>
        <v/>
      </c>
      <c r="BI90" s="6" t="str">
        <f>IF(ISBLANK('Paste Full'!BY90),"",'Paste Full'!BY90)</f>
        <v/>
      </c>
      <c r="BJ90" s="13" t="str">
        <f>IF(ISBLANK('Paste Full'!BL90),"",'Paste Full'!BL90)</f>
        <v/>
      </c>
      <c r="BK90" s="13" t="str">
        <f>IF(ISBLANK('Paste Full'!BQ90),"",'Paste Full'!BQ90)</f>
        <v/>
      </c>
      <c r="BL90" s="13" t="str">
        <f>IF(ISBLANK('Paste Full'!BT90),"",'Paste Full'!BT90)</f>
        <v/>
      </c>
      <c r="BM90" s="13" t="str">
        <f>IF(ISBLANK('Paste Full'!BW90),"",'Paste Full'!BW90)</f>
        <v/>
      </c>
      <c r="BN90" s="41" t="str">
        <f>IF(ISBLANK('Paste Full'!BZ90),"",'Paste Full'!BZ90)</f>
        <v/>
      </c>
      <c r="BO90" s="41" t="str">
        <f>IF(ISBLANK('Paste Full'!CA90),"",'Paste Full'!CA90)</f>
        <v/>
      </c>
      <c r="BP90" s="41" t="str">
        <f>IF(ISBLANK('Paste Full'!CB90),"",'Paste Full'!CB90)</f>
        <v/>
      </c>
      <c r="BQ90" s="41" t="str">
        <f>IF(ISBLANK('Paste Full'!CC90),"",'Paste Full'!CC90)</f>
        <v/>
      </c>
      <c r="BR90" s="41" t="str">
        <f>IF(ISBLANK('Paste Full'!CD90),"",'Paste Full'!CD90)</f>
        <v/>
      </c>
      <c r="BS90" s="41" t="str">
        <f>IF(ISBLANK('Paste Full'!CE90),"",'Paste Full'!CE90)</f>
        <v/>
      </c>
      <c r="BT90" s="41" t="str">
        <f>IF(ISBLANK('Paste Full'!CF90),"",'Paste Full'!CF90)</f>
        <v/>
      </c>
      <c r="BU90" s="41" t="str">
        <f>IF(ISBLANK('Paste Full'!CG90),"",'Paste Full'!CG90)</f>
        <v/>
      </c>
      <c r="BV90" s="41" t="str">
        <f>IF(ISBLANK('Paste Full'!CH90),"",'Paste Full'!CH90)</f>
        <v/>
      </c>
    </row>
    <row r="91" spans="1:74" x14ac:dyDescent="0.3">
      <c r="A91" t="str">
        <f>IF(ISBLANK('Paste Full'!C91),"",'Paste Full'!C91)</f>
        <v/>
      </c>
      <c r="B91" t="str">
        <f t="shared" si="2"/>
        <v>Striker</v>
      </c>
      <c r="C91" s="2" t="str">
        <f>IF(ISBLANK('Paste Full'!H91),"",'Paste Full'!H91)</f>
        <v/>
      </c>
      <c r="D91" s="2" t="str">
        <f>IF(ISBLANK('Paste Full'!F91),"",'Paste Full'!F91)</f>
        <v/>
      </c>
      <c r="E91" s="2" t="str">
        <f>IF(ISBLANK('Paste Full'!G91),"",'Paste Full'!G91)</f>
        <v/>
      </c>
      <c r="F91" s="21" t="str">
        <f>IF(ISBLANK('Paste Full'!E91),"",'Paste Full'!E91)</f>
        <v/>
      </c>
      <c r="G91" t="str">
        <f>IF(ISBLANK('Paste Full'!CI91),"",'Paste Full'!CI91)</f>
        <v/>
      </c>
      <c r="H91" s="21" t="str">
        <f>IF(ISBLANK('Paste Full'!J91),"",'Paste Full'!J91)</f>
        <v/>
      </c>
      <c r="I91" s="21" t="str">
        <f>IF(ISBLANK('Paste Full'!D91),"",'Paste Full'!D91)</f>
        <v/>
      </c>
      <c r="J91" s="14">
        <f>AVERAGE(SUMPRODUCT($S91:$BM91,AttWeights!$C$10:$AW$10)/SUM(AttWeights!$C$10:$AW$10),SUMPRODUCT($S91:$BM91,AttWeights!$C$17:$AW$17)/SUM(AttWeights!$C$17:$AW$17))*10</f>
        <v>0</v>
      </c>
      <c r="K91" s="14">
        <f>AVERAGE(SUMPRODUCT($S91:$BM91,AttWeights!$C$7:$AW$7)/SUM(AttWeights!$C$7:$AW$7),SUMPRODUCT($S91:$BM91,AttWeights!$C$15:$AW$15)/SUM(AttWeights!$C$15:$AW$15))*10</f>
        <v>0</v>
      </c>
      <c r="L91" s="14">
        <f>AVERAGE(SUMPRODUCT($S91:$BM91,AttWeights!$C$8:$AW$8)/SUM(AttWeights!$C$8:$AW$8),SUMPRODUCT($S91:$BM91,AttWeights!$C$16:$AW$16)/SUM(AttWeights!$C$16:$AW$16))*10</f>
        <v>0</v>
      </c>
      <c r="M91" s="14">
        <f>AVERAGE(SUMPRODUCT($S91:$BM91,AttWeights!$C$9:$AW$9)/SUM(AttWeights!$C$9:$AW$9),SUMPRODUCT($S91:$BM91,AttWeights!$C$15:$AW$15)/SUM(AttWeights!$C$15:$AW$15))*10</f>
        <v>0</v>
      </c>
      <c r="N91" s="14">
        <f>AVERAGE(SUMPRODUCT($S91:$BM91,AttWeights!$C$6:$AW$6)/SUM(AttWeights!$C$6:$AW$6),SUMPRODUCT($S91:$BM91,AttWeights!$C$14:$AW$14)/SUM(AttWeights!$C$14:$AW$14))*10</f>
        <v>0</v>
      </c>
      <c r="O91" s="14">
        <f>AVERAGE(SUMPRODUCT($S91:$BM91,AttWeights!$C$5:$AW$5)/SUM(AttWeights!$C$5:$AW$5),SUMPRODUCT($S91:$BM91,AttWeights!$C$14:$AW$14)/SUM(AttWeights!$C$14:$AW$14))*10</f>
        <v>0</v>
      </c>
      <c r="P91" s="14">
        <f>AVERAGE(SUMPRODUCT($S91:$BM91,AttWeights!$C$4:$AW$4)/SUM(AttWeights!$C$4:$AW$4),SUMPRODUCT($S91:$BM91,AttWeights!$C$13:$AW$13)/SUM(AttWeights!$C$13:$AW$13))*10</f>
        <v>0</v>
      </c>
      <c r="Q91" s="14">
        <f>AVERAGE(SUMPRODUCT($S91:$BM91,AttWeights!$C$3:$AW$3)/SUM(AttWeights!$C$3:$AW$3),SUMPRODUCT($S91:$BM91,AttWeights!$C$12:$AW$12)/SUM(AttWeights!$C$12:$AW$12))*10</f>
        <v>0</v>
      </c>
      <c r="R91" s="14">
        <f>AVERAGE(SUMPRODUCT($S91:$BM91,AttWeights!$C$2:$AW$2)/SUM(AttWeights!$C$2:$AW$2),SUMPRODUCT($S91:$BM91,AttWeights!$C$11:$AW$11)/SUM(AttWeights!$C$11:$AW$11))*10</f>
        <v>0</v>
      </c>
      <c r="S91" s="3" t="str">
        <f>IF(ISBLANK('Paste Full'!AC91),"",'Paste Full'!AC91)</f>
        <v/>
      </c>
      <c r="T91" s="3" t="str">
        <f>IF(ISBLANK('Paste Full'!AD91),"",'Paste Full'!AD91)</f>
        <v/>
      </c>
      <c r="U91" s="3" t="str">
        <f>IF(ISBLANK('Paste Full'!AE91),"",'Paste Full'!AE91)</f>
        <v/>
      </c>
      <c r="V91" s="3" t="str">
        <f>IF(ISBLANK('Paste Full'!AF91),"",'Paste Full'!AF91)</f>
        <v/>
      </c>
      <c r="W91" s="3" t="str">
        <f>IF(ISBLANK('Paste Full'!AH91),"",'Paste Full'!AH91)</f>
        <v/>
      </c>
      <c r="X91" s="3" t="str">
        <f>IF(ISBLANK('Paste Full'!AI91),"",'Paste Full'!AI91)</f>
        <v/>
      </c>
      <c r="Y91" s="3" t="str">
        <f>IF(ISBLANK('Paste Full'!AK91),"",'Paste Full'!AK91)</f>
        <v/>
      </c>
      <c r="Z91" s="3" t="str">
        <f>IF(ISBLANK('Paste Full'!AL91),"",'Paste Full'!AL91)</f>
        <v/>
      </c>
      <c r="AA91" s="4" t="str">
        <f>IF(ISBLANK('Paste Full'!AM91),"",'Paste Full'!AM91)</f>
        <v/>
      </c>
      <c r="AB91" s="4" t="str">
        <f>IF(ISBLANK('Paste Full'!AN91),"",'Paste Full'!AN91)</f>
        <v/>
      </c>
      <c r="AC91" s="4" t="str">
        <f>IF(ISBLANK('Paste Full'!AO91),"",'Paste Full'!AO91)</f>
        <v/>
      </c>
      <c r="AD91" s="4" t="str">
        <f>IF(ISBLANK('Paste Full'!AP91),"",'Paste Full'!AP91)</f>
        <v/>
      </c>
      <c r="AE91" s="4" t="str">
        <f>IF(ISBLANK('Paste Full'!AQ91),"",'Paste Full'!AQ91)</f>
        <v/>
      </c>
      <c r="AF91" s="4" t="str">
        <f>IF(ISBLANK('Paste Full'!AR91),"",'Paste Full'!AR91)</f>
        <v/>
      </c>
      <c r="AG91" s="4" t="str">
        <f>IF(ISBLANK('Paste Full'!AS91),"",'Paste Full'!AS91)</f>
        <v/>
      </c>
      <c r="AH91" s="4" t="str">
        <f>IF(ISBLANK('Paste Full'!AV91),"",'Paste Full'!AV91)</f>
        <v/>
      </c>
      <c r="AI91" s="4" t="str">
        <f>IF(ISBLANK('Paste Full'!AT91),"",'Paste Full'!AT91)</f>
        <v/>
      </c>
      <c r="AJ91" s="4" t="str">
        <f>IF(ISBLANK('Paste Full'!AU91),"",'Paste Full'!AU91)</f>
        <v/>
      </c>
      <c r="AK91" s="4" t="str">
        <f>IF(ISBLANK('Paste Full'!AW91),"",'Paste Full'!AW91)</f>
        <v/>
      </c>
      <c r="AL91" s="5" t="str">
        <f>IF(ISBLANK('Paste Full'!AX91),"",'Paste Full'!AX91)</f>
        <v/>
      </c>
      <c r="AM91" s="5" t="str">
        <f>IF(ISBLANK('Paste Full'!AY91),"",'Paste Full'!AY91)</f>
        <v/>
      </c>
      <c r="AN91" s="5" t="str">
        <f>IF(ISBLANK('Paste Full'!AZ91),"",'Paste Full'!AZ91)</f>
        <v/>
      </c>
      <c r="AO91" s="5" t="str">
        <f>IF(ISBLANK('Paste Full'!BA91),"",'Paste Full'!BA91)</f>
        <v/>
      </c>
      <c r="AP91" s="5" t="str">
        <f>IF(ISBLANK('Paste Full'!BB91),"",'Paste Full'!BB91)</f>
        <v/>
      </c>
      <c r="AQ91" s="5" t="str">
        <f>IF(ISBLANK('Paste Full'!BC91),"",'Paste Full'!BC91)</f>
        <v/>
      </c>
      <c r="AR91" s="5" t="str">
        <f>IF(ISBLANK('Paste Full'!BD91),"",'Paste Full'!BD91)</f>
        <v/>
      </c>
      <c r="AS91" s="5" t="str">
        <f>IF(ISBLANK('Paste Full'!BE91),"",'Paste Full'!BE91)</f>
        <v/>
      </c>
      <c r="AT91" s="5" t="str">
        <f>IF(ISBLANK('Paste Full'!BF91),"",'Paste Full'!BF91)</f>
        <v/>
      </c>
      <c r="AU91" s="5" t="str">
        <f>IF(ISBLANK('Paste Full'!BG91),"",'Paste Full'!BG91)</f>
        <v/>
      </c>
      <c r="AV91" s="5" t="str">
        <f>IF(ISBLANK('Paste Full'!BH91),"",'Paste Full'!BH91)</f>
        <v/>
      </c>
      <c r="AW91" s="5" t="str">
        <f>IF(ISBLANK('Paste Full'!BI91),"",'Paste Full'!BI91)</f>
        <v/>
      </c>
      <c r="AX91" s="5" t="str">
        <f>IF(ISBLANK('Paste Full'!BJ91),"",'Paste Full'!BJ91)</f>
        <v/>
      </c>
      <c r="AY91" s="5" t="str">
        <f>IF(ISBLANK('Paste Full'!BK91),"",'Paste Full'!BK91)</f>
        <v/>
      </c>
      <c r="AZ91" s="6" t="str">
        <f>IF(ISBLANK('Paste Full'!BM91),"",'Paste Full'!BM91)</f>
        <v/>
      </c>
      <c r="BA91" s="6" t="str">
        <f>IF(ISBLANK('Paste Full'!BN91),"",'Paste Full'!BN91)</f>
        <v/>
      </c>
      <c r="BB91" s="6" t="str">
        <f>IF(ISBLANK('Paste Full'!BO91),"",'Paste Full'!BO91)</f>
        <v/>
      </c>
      <c r="BC91" s="6" t="str">
        <f>IF(ISBLANK('Paste Full'!BP91),"",'Paste Full'!BP91)</f>
        <v/>
      </c>
      <c r="BD91" s="6" t="str">
        <f>IF(ISBLANK('Paste Full'!BR91),"",'Paste Full'!BR91)</f>
        <v/>
      </c>
      <c r="BE91" s="6" t="str">
        <f>IF(ISBLANK('Paste Full'!BS91),"",'Paste Full'!BS91)</f>
        <v/>
      </c>
      <c r="BF91" s="6" t="str">
        <f>IF(ISBLANK('Paste Full'!BU91),"",'Paste Full'!BU91)</f>
        <v/>
      </c>
      <c r="BG91" s="6" t="str">
        <f>IF(ISBLANK('Paste Full'!BV91),"",'Paste Full'!BV91)</f>
        <v/>
      </c>
      <c r="BH91" s="6" t="str">
        <f>IF(ISBLANK('Paste Full'!BX91),"",'Paste Full'!BX91)</f>
        <v/>
      </c>
      <c r="BI91" s="6" t="str">
        <f>IF(ISBLANK('Paste Full'!BY91),"",'Paste Full'!BY91)</f>
        <v/>
      </c>
      <c r="BJ91" s="13" t="str">
        <f>IF(ISBLANK('Paste Full'!BL91),"",'Paste Full'!BL91)</f>
        <v/>
      </c>
      <c r="BK91" s="13" t="str">
        <f>IF(ISBLANK('Paste Full'!BQ91),"",'Paste Full'!BQ91)</f>
        <v/>
      </c>
      <c r="BL91" s="13" t="str">
        <f>IF(ISBLANK('Paste Full'!BT91),"",'Paste Full'!BT91)</f>
        <v/>
      </c>
      <c r="BM91" s="13" t="str">
        <f>IF(ISBLANK('Paste Full'!BW91),"",'Paste Full'!BW91)</f>
        <v/>
      </c>
      <c r="BN91" s="41" t="str">
        <f>IF(ISBLANK('Paste Full'!BZ91),"",'Paste Full'!BZ91)</f>
        <v/>
      </c>
      <c r="BO91" s="41" t="str">
        <f>IF(ISBLANK('Paste Full'!CA91),"",'Paste Full'!CA91)</f>
        <v/>
      </c>
      <c r="BP91" s="41" t="str">
        <f>IF(ISBLANK('Paste Full'!CB91),"",'Paste Full'!CB91)</f>
        <v/>
      </c>
      <c r="BQ91" s="41" t="str">
        <f>IF(ISBLANK('Paste Full'!CC91),"",'Paste Full'!CC91)</f>
        <v/>
      </c>
      <c r="BR91" s="41" t="str">
        <f>IF(ISBLANK('Paste Full'!CD91),"",'Paste Full'!CD91)</f>
        <v/>
      </c>
      <c r="BS91" s="41" t="str">
        <f>IF(ISBLANK('Paste Full'!CE91),"",'Paste Full'!CE91)</f>
        <v/>
      </c>
      <c r="BT91" s="41" t="str">
        <f>IF(ISBLANK('Paste Full'!CF91),"",'Paste Full'!CF91)</f>
        <v/>
      </c>
      <c r="BU91" s="41" t="str">
        <f>IF(ISBLANK('Paste Full'!CG91),"",'Paste Full'!CG91)</f>
        <v/>
      </c>
      <c r="BV91" s="41" t="str">
        <f>IF(ISBLANK('Paste Full'!CH91),"",'Paste Full'!CH91)</f>
        <v/>
      </c>
    </row>
    <row r="92" spans="1:74" x14ac:dyDescent="0.3">
      <c r="A92" t="str">
        <f>IF(ISBLANK('Paste Full'!C92),"",'Paste Full'!C92)</f>
        <v/>
      </c>
      <c r="B92" t="str">
        <f t="shared" si="2"/>
        <v>Striker</v>
      </c>
      <c r="C92" s="2" t="str">
        <f>IF(ISBLANK('Paste Full'!H92),"",'Paste Full'!H92)</f>
        <v/>
      </c>
      <c r="D92" s="2" t="str">
        <f>IF(ISBLANK('Paste Full'!F92),"",'Paste Full'!F92)</f>
        <v/>
      </c>
      <c r="E92" s="2" t="str">
        <f>IF(ISBLANK('Paste Full'!G92),"",'Paste Full'!G92)</f>
        <v/>
      </c>
      <c r="F92" s="21" t="str">
        <f>IF(ISBLANK('Paste Full'!E92),"",'Paste Full'!E92)</f>
        <v/>
      </c>
      <c r="G92" t="str">
        <f>IF(ISBLANK('Paste Full'!CI92),"",'Paste Full'!CI92)</f>
        <v/>
      </c>
      <c r="H92" s="21" t="str">
        <f>IF(ISBLANK('Paste Full'!J92),"",'Paste Full'!J92)</f>
        <v/>
      </c>
      <c r="I92" s="21" t="str">
        <f>IF(ISBLANK('Paste Full'!D92),"",'Paste Full'!D92)</f>
        <v/>
      </c>
      <c r="J92" s="14">
        <f>AVERAGE(SUMPRODUCT($S92:$BM92,AttWeights!$C$10:$AW$10)/SUM(AttWeights!$C$10:$AW$10),SUMPRODUCT($S92:$BM92,AttWeights!$C$17:$AW$17)/SUM(AttWeights!$C$17:$AW$17))*10</f>
        <v>0</v>
      </c>
      <c r="K92" s="14">
        <f>AVERAGE(SUMPRODUCT($S92:$BM92,AttWeights!$C$7:$AW$7)/SUM(AttWeights!$C$7:$AW$7),SUMPRODUCT($S92:$BM92,AttWeights!$C$15:$AW$15)/SUM(AttWeights!$C$15:$AW$15))*10</f>
        <v>0</v>
      </c>
      <c r="L92" s="14">
        <f>AVERAGE(SUMPRODUCT($S92:$BM92,AttWeights!$C$8:$AW$8)/SUM(AttWeights!$C$8:$AW$8),SUMPRODUCT($S92:$BM92,AttWeights!$C$16:$AW$16)/SUM(AttWeights!$C$16:$AW$16))*10</f>
        <v>0</v>
      </c>
      <c r="M92" s="14">
        <f>AVERAGE(SUMPRODUCT($S92:$BM92,AttWeights!$C$9:$AW$9)/SUM(AttWeights!$C$9:$AW$9),SUMPRODUCT($S92:$BM92,AttWeights!$C$15:$AW$15)/SUM(AttWeights!$C$15:$AW$15))*10</f>
        <v>0</v>
      </c>
      <c r="N92" s="14">
        <f>AVERAGE(SUMPRODUCT($S92:$BM92,AttWeights!$C$6:$AW$6)/SUM(AttWeights!$C$6:$AW$6),SUMPRODUCT($S92:$BM92,AttWeights!$C$14:$AW$14)/SUM(AttWeights!$C$14:$AW$14))*10</f>
        <v>0</v>
      </c>
      <c r="O92" s="14">
        <f>AVERAGE(SUMPRODUCT($S92:$BM92,AttWeights!$C$5:$AW$5)/SUM(AttWeights!$C$5:$AW$5),SUMPRODUCT($S92:$BM92,AttWeights!$C$14:$AW$14)/SUM(AttWeights!$C$14:$AW$14))*10</f>
        <v>0</v>
      </c>
      <c r="P92" s="14">
        <f>AVERAGE(SUMPRODUCT($S92:$BM92,AttWeights!$C$4:$AW$4)/SUM(AttWeights!$C$4:$AW$4),SUMPRODUCT($S92:$BM92,AttWeights!$C$13:$AW$13)/SUM(AttWeights!$C$13:$AW$13))*10</f>
        <v>0</v>
      </c>
      <c r="Q92" s="14">
        <f>AVERAGE(SUMPRODUCT($S92:$BM92,AttWeights!$C$3:$AW$3)/SUM(AttWeights!$C$3:$AW$3),SUMPRODUCT($S92:$BM92,AttWeights!$C$12:$AW$12)/SUM(AttWeights!$C$12:$AW$12))*10</f>
        <v>0</v>
      </c>
      <c r="R92" s="14">
        <f>AVERAGE(SUMPRODUCT($S92:$BM92,AttWeights!$C$2:$AW$2)/SUM(AttWeights!$C$2:$AW$2),SUMPRODUCT($S92:$BM92,AttWeights!$C$11:$AW$11)/SUM(AttWeights!$C$11:$AW$11))*10</f>
        <v>0</v>
      </c>
      <c r="S92" s="3" t="str">
        <f>IF(ISBLANK('Paste Full'!AC92),"",'Paste Full'!AC92)</f>
        <v/>
      </c>
      <c r="T92" s="3" t="str">
        <f>IF(ISBLANK('Paste Full'!AD92),"",'Paste Full'!AD92)</f>
        <v/>
      </c>
      <c r="U92" s="3" t="str">
        <f>IF(ISBLANK('Paste Full'!AE92),"",'Paste Full'!AE92)</f>
        <v/>
      </c>
      <c r="V92" s="3" t="str">
        <f>IF(ISBLANK('Paste Full'!AF92),"",'Paste Full'!AF92)</f>
        <v/>
      </c>
      <c r="W92" s="3" t="str">
        <f>IF(ISBLANK('Paste Full'!AH92),"",'Paste Full'!AH92)</f>
        <v/>
      </c>
      <c r="X92" s="3" t="str">
        <f>IF(ISBLANK('Paste Full'!AI92),"",'Paste Full'!AI92)</f>
        <v/>
      </c>
      <c r="Y92" s="3" t="str">
        <f>IF(ISBLANK('Paste Full'!AK92),"",'Paste Full'!AK92)</f>
        <v/>
      </c>
      <c r="Z92" s="3" t="str">
        <f>IF(ISBLANK('Paste Full'!AL92),"",'Paste Full'!AL92)</f>
        <v/>
      </c>
      <c r="AA92" s="4" t="str">
        <f>IF(ISBLANK('Paste Full'!AM92),"",'Paste Full'!AM92)</f>
        <v/>
      </c>
      <c r="AB92" s="4" t="str">
        <f>IF(ISBLANK('Paste Full'!AN92),"",'Paste Full'!AN92)</f>
        <v/>
      </c>
      <c r="AC92" s="4" t="str">
        <f>IF(ISBLANK('Paste Full'!AO92),"",'Paste Full'!AO92)</f>
        <v/>
      </c>
      <c r="AD92" s="4" t="str">
        <f>IF(ISBLANK('Paste Full'!AP92),"",'Paste Full'!AP92)</f>
        <v/>
      </c>
      <c r="AE92" s="4" t="str">
        <f>IF(ISBLANK('Paste Full'!AQ92),"",'Paste Full'!AQ92)</f>
        <v/>
      </c>
      <c r="AF92" s="4" t="str">
        <f>IF(ISBLANK('Paste Full'!AR92),"",'Paste Full'!AR92)</f>
        <v/>
      </c>
      <c r="AG92" s="4" t="str">
        <f>IF(ISBLANK('Paste Full'!AS92),"",'Paste Full'!AS92)</f>
        <v/>
      </c>
      <c r="AH92" s="4" t="str">
        <f>IF(ISBLANK('Paste Full'!AV92),"",'Paste Full'!AV92)</f>
        <v/>
      </c>
      <c r="AI92" s="4" t="str">
        <f>IF(ISBLANK('Paste Full'!AT92),"",'Paste Full'!AT92)</f>
        <v/>
      </c>
      <c r="AJ92" s="4" t="str">
        <f>IF(ISBLANK('Paste Full'!AU92),"",'Paste Full'!AU92)</f>
        <v/>
      </c>
      <c r="AK92" s="4" t="str">
        <f>IF(ISBLANK('Paste Full'!AW92),"",'Paste Full'!AW92)</f>
        <v/>
      </c>
      <c r="AL92" s="5" t="str">
        <f>IF(ISBLANK('Paste Full'!AX92),"",'Paste Full'!AX92)</f>
        <v/>
      </c>
      <c r="AM92" s="5" t="str">
        <f>IF(ISBLANK('Paste Full'!AY92),"",'Paste Full'!AY92)</f>
        <v/>
      </c>
      <c r="AN92" s="5" t="str">
        <f>IF(ISBLANK('Paste Full'!AZ92),"",'Paste Full'!AZ92)</f>
        <v/>
      </c>
      <c r="AO92" s="5" t="str">
        <f>IF(ISBLANK('Paste Full'!BA92),"",'Paste Full'!BA92)</f>
        <v/>
      </c>
      <c r="AP92" s="5" t="str">
        <f>IF(ISBLANK('Paste Full'!BB92),"",'Paste Full'!BB92)</f>
        <v/>
      </c>
      <c r="AQ92" s="5" t="str">
        <f>IF(ISBLANK('Paste Full'!BC92),"",'Paste Full'!BC92)</f>
        <v/>
      </c>
      <c r="AR92" s="5" t="str">
        <f>IF(ISBLANK('Paste Full'!BD92),"",'Paste Full'!BD92)</f>
        <v/>
      </c>
      <c r="AS92" s="5" t="str">
        <f>IF(ISBLANK('Paste Full'!BE92),"",'Paste Full'!BE92)</f>
        <v/>
      </c>
      <c r="AT92" s="5" t="str">
        <f>IF(ISBLANK('Paste Full'!BF92),"",'Paste Full'!BF92)</f>
        <v/>
      </c>
      <c r="AU92" s="5" t="str">
        <f>IF(ISBLANK('Paste Full'!BG92),"",'Paste Full'!BG92)</f>
        <v/>
      </c>
      <c r="AV92" s="5" t="str">
        <f>IF(ISBLANK('Paste Full'!BH92),"",'Paste Full'!BH92)</f>
        <v/>
      </c>
      <c r="AW92" s="5" t="str">
        <f>IF(ISBLANK('Paste Full'!BI92),"",'Paste Full'!BI92)</f>
        <v/>
      </c>
      <c r="AX92" s="5" t="str">
        <f>IF(ISBLANK('Paste Full'!BJ92),"",'Paste Full'!BJ92)</f>
        <v/>
      </c>
      <c r="AY92" s="5" t="str">
        <f>IF(ISBLANK('Paste Full'!BK92),"",'Paste Full'!BK92)</f>
        <v/>
      </c>
      <c r="AZ92" s="6" t="str">
        <f>IF(ISBLANK('Paste Full'!BM92),"",'Paste Full'!BM92)</f>
        <v/>
      </c>
      <c r="BA92" s="6" t="str">
        <f>IF(ISBLANK('Paste Full'!BN92),"",'Paste Full'!BN92)</f>
        <v/>
      </c>
      <c r="BB92" s="6" t="str">
        <f>IF(ISBLANK('Paste Full'!BO92),"",'Paste Full'!BO92)</f>
        <v/>
      </c>
      <c r="BC92" s="6" t="str">
        <f>IF(ISBLANK('Paste Full'!BP92),"",'Paste Full'!BP92)</f>
        <v/>
      </c>
      <c r="BD92" s="6" t="str">
        <f>IF(ISBLANK('Paste Full'!BR92),"",'Paste Full'!BR92)</f>
        <v/>
      </c>
      <c r="BE92" s="6" t="str">
        <f>IF(ISBLANK('Paste Full'!BS92),"",'Paste Full'!BS92)</f>
        <v/>
      </c>
      <c r="BF92" s="6" t="str">
        <f>IF(ISBLANK('Paste Full'!BU92),"",'Paste Full'!BU92)</f>
        <v/>
      </c>
      <c r="BG92" s="6" t="str">
        <f>IF(ISBLANK('Paste Full'!BV92),"",'Paste Full'!BV92)</f>
        <v/>
      </c>
      <c r="BH92" s="6" t="str">
        <f>IF(ISBLANK('Paste Full'!BX92),"",'Paste Full'!BX92)</f>
        <v/>
      </c>
      <c r="BI92" s="6" t="str">
        <f>IF(ISBLANK('Paste Full'!BY92),"",'Paste Full'!BY92)</f>
        <v/>
      </c>
      <c r="BJ92" s="13" t="str">
        <f>IF(ISBLANK('Paste Full'!BL92),"",'Paste Full'!BL92)</f>
        <v/>
      </c>
      <c r="BK92" s="13" t="str">
        <f>IF(ISBLANK('Paste Full'!BQ92),"",'Paste Full'!BQ92)</f>
        <v/>
      </c>
      <c r="BL92" s="13" t="str">
        <f>IF(ISBLANK('Paste Full'!BT92),"",'Paste Full'!BT92)</f>
        <v/>
      </c>
      <c r="BM92" s="13" t="str">
        <f>IF(ISBLANK('Paste Full'!BW92),"",'Paste Full'!BW92)</f>
        <v/>
      </c>
      <c r="BN92" s="41" t="str">
        <f>IF(ISBLANK('Paste Full'!BZ92),"",'Paste Full'!BZ92)</f>
        <v/>
      </c>
      <c r="BO92" s="41" t="str">
        <f>IF(ISBLANK('Paste Full'!CA92),"",'Paste Full'!CA92)</f>
        <v/>
      </c>
      <c r="BP92" s="41" t="str">
        <f>IF(ISBLANK('Paste Full'!CB92),"",'Paste Full'!CB92)</f>
        <v/>
      </c>
      <c r="BQ92" s="41" t="str">
        <f>IF(ISBLANK('Paste Full'!CC92),"",'Paste Full'!CC92)</f>
        <v/>
      </c>
      <c r="BR92" s="41" t="str">
        <f>IF(ISBLANK('Paste Full'!CD92),"",'Paste Full'!CD92)</f>
        <v/>
      </c>
      <c r="BS92" s="41" t="str">
        <f>IF(ISBLANK('Paste Full'!CE92),"",'Paste Full'!CE92)</f>
        <v/>
      </c>
      <c r="BT92" s="41" t="str">
        <f>IF(ISBLANK('Paste Full'!CF92),"",'Paste Full'!CF92)</f>
        <v/>
      </c>
      <c r="BU92" s="41" t="str">
        <f>IF(ISBLANK('Paste Full'!CG92),"",'Paste Full'!CG92)</f>
        <v/>
      </c>
      <c r="BV92" s="41" t="str">
        <f>IF(ISBLANK('Paste Full'!CH92),"",'Paste Full'!CH92)</f>
        <v/>
      </c>
    </row>
    <row r="93" spans="1:74" x14ac:dyDescent="0.3">
      <c r="A93" t="str">
        <f>IF(ISBLANK('Paste Full'!C93),"",'Paste Full'!C93)</f>
        <v/>
      </c>
      <c r="B93" t="str">
        <f t="shared" si="2"/>
        <v>Striker</v>
      </c>
      <c r="C93" s="2" t="str">
        <f>IF(ISBLANK('Paste Full'!H93),"",'Paste Full'!H93)</f>
        <v/>
      </c>
      <c r="D93" s="2" t="str">
        <f>IF(ISBLANK('Paste Full'!F93),"",'Paste Full'!F93)</f>
        <v/>
      </c>
      <c r="E93" s="2" t="str">
        <f>IF(ISBLANK('Paste Full'!G93),"",'Paste Full'!G93)</f>
        <v/>
      </c>
      <c r="F93" s="21" t="str">
        <f>IF(ISBLANK('Paste Full'!E93),"",'Paste Full'!E93)</f>
        <v/>
      </c>
      <c r="G93" t="str">
        <f>IF(ISBLANK('Paste Full'!CI93),"",'Paste Full'!CI93)</f>
        <v/>
      </c>
      <c r="H93" s="21" t="str">
        <f>IF(ISBLANK('Paste Full'!J93),"",'Paste Full'!J93)</f>
        <v/>
      </c>
      <c r="I93" s="21" t="str">
        <f>IF(ISBLANK('Paste Full'!D93),"",'Paste Full'!D93)</f>
        <v/>
      </c>
      <c r="J93" s="14">
        <f>AVERAGE(SUMPRODUCT($S93:$BM93,AttWeights!$C$10:$AW$10)/SUM(AttWeights!$C$10:$AW$10),SUMPRODUCT($S93:$BM93,AttWeights!$C$17:$AW$17)/SUM(AttWeights!$C$17:$AW$17))*10</f>
        <v>0</v>
      </c>
      <c r="K93" s="14">
        <f>AVERAGE(SUMPRODUCT($S93:$BM93,AttWeights!$C$7:$AW$7)/SUM(AttWeights!$C$7:$AW$7),SUMPRODUCT($S93:$BM93,AttWeights!$C$15:$AW$15)/SUM(AttWeights!$C$15:$AW$15))*10</f>
        <v>0</v>
      </c>
      <c r="L93" s="14">
        <f>AVERAGE(SUMPRODUCT($S93:$BM93,AttWeights!$C$8:$AW$8)/SUM(AttWeights!$C$8:$AW$8),SUMPRODUCT($S93:$BM93,AttWeights!$C$16:$AW$16)/SUM(AttWeights!$C$16:$AW$16))*10</f>
        <v>0</v>
      </c>
      <c r="M93" s="14">
        <f>AVERAGE(SUMPRODUCT($S93:$BM93,AttWeights!$C$9:$AW$9)/SUM(AttWeights!$C$9:$AW$9),SUMPRODUCT($S93:$BM93,AttWeights!$C$15:$AW$15)/SUM(AttWeights!$C$15:$AW$15))*10</f>
        <v>0</v>
      </c>
      <c r="N93" s="14">
        <f>AVERAGE(SUMPRODUCT($S93:$BM93,AttWeights!$C$6:$AW$6)/SUM(AttWeights!$C$6:$AW$6),SUMPRODUCT($S93:$BM93,AttWeights!$C$14:$AW$14)/SUM(AttWeights!$C$14:$AW$14))*10</f>
        <v>0</v>
      </c>
      <c r="O93" s="14">
        <f>AVERAGE(SUMPRODUCT($S93:$BM93,AttWeights!$C$5:$AW$5)/SUM(AttWeights!$C$5:$AW$5),SUMPRODUCT($S93:$BM93,AttWeights!$C$14:$AW$14)/SUM(AttWeights!$C$14:$AW$14))*10</f>
        <v>0</v>
      </c>
      <c r="P93" s="14">
        <f>AVERAGE(SUMPRODUCT($S93:$BM93,AttWeights!$C$4:$AW$4)/SUM(AttWeights!$C$4:$AW$4),SUMPRODUCT($S93:$BM93,AttWeights!$C$13:$AW$13)/SUM(AttWeights!$C$13:$AW$13))*10</f>
        <v>0</v>
      </c>
      <c r="Q93" s="14">
        <f>AVERAGE(SUMPRODUCT($S93:$BM93,AttWeights!$C$3:$AW$3)/SUM(AttWeights!$C$3:$AW$3),SUMPRODUCT($S93:$BM93,AttWeights!$C$12:$AW$12)/SUM(AttWeights!$C$12:$AW$12))*10</f>
        <v>0</v>
      </c>
      <c r="R93" s="14">
        <f>AVERAGE(SUMPRODUCT($S93:$BM93,AttWeights!$C$2:$AW$2)/SUM(AttWeights!$C$2:$AW$2),SUMPRODUCT($S93:$BM93,AttWeights!$C$11:$AW$11)/SUM(AttWeights!$C$11:$AW$11))*10</f>
        <v>0</v>
      </c>
      <c r="S93" s="3" t="str">
        <f>IF(ISBLANK('Paste Full'!AC93),"",'Paste Full'!AC93)</f>
        <v/>
      </c>
      <c r="T93" s="3" t="str">
        <f>IF(ISBLANK('Paste Full'!AD93),"",'Paste Full'!AD93)</f>
        <v/>
      </c>
      <c r="U93" s="3" t="str">
        <f>IF(ISBLANK('Paste Full'!AE93),"",'Paste Full'!AE93)</f>
        <v/>
      </c>
      <c r="V93" s="3" t="str">
        <f>IF(ISBLANK('Paste Full'!AF93),"",'Paste Full'!AF93)</f>
        <v/>
      </c>
      <c r="W93" s="3" t="str">
        <f>IF(ISBLANK('Paste Full'!AH93),"",'Paste Full'!AH93)</f>
        <v/>
      </c>
      <c r="X93" s="3" t="str">
        <f>IF(ISBLANK('Paste Full'!AI93),"",'Paste Full'!AI93)</f>
        <v/>
      </c>
      <c r="Y93" s="3" t="str">
        <f>IF(ISBLANK('Paste Full'!AK93),"",'Paste Full'!AK93)</f>
        <v/>
      </c>
      <c r="Z93" s="3" t="str">
        <f>IF(ISBLANK('Paste Full'!AL93),"",'Paste Full'!AL93)</f>
        <v/>
      </c>
      <c r="AA93" s="4" t="str">
        <f>IF(ISBLANK('Paste Full'!AM93),"",'Paste Full'!AM93)</f>
        <v/>
      </c>
      <c r="AB93" s="4" t="str">
        <f>IF(ISBLANK('Paste Full'!AN93),"",'Paste Full'!AN93)</f>
        <v/>
      </c>
      <c r="AC93" s="4" t="str">
        <f>IF(ISBLANK('Paste Full'!AO93),"",'Paste Full'!AO93)</f>
        <v/>
      </c>
      <c r="AD93" s="4" t="str">
        <f>IF(ISBLANK('Paste Full'!AP93),"",'Paste Full'!AP93)</f>
        <v/>
      </c>
      <c r="AE93" s="4" t="str">
        <f>IF(ISBLANK('Paste Full'!AQ93),"",'Paste Full'!AQ93)</f>
        <v/>
      </c>
      <c r="AF93" s="4" t="str">
        <f>IF(ISBLANK('Paste Full'!AR93),"",'Paste Full'!AR93)</f>
        <v/>
      </c>
      <c r="AG93" s="4" t="str">
        <f>IF(ISBLANK('Paste Full'!AS93),"",'Paste Full'!AS93)</f>
        <v/>
      </c>
      <c r="AH93" s="4" t="str">
        <f>IF(ISBLANK('Paste Full'!AV93),"",'Paste Full'!AV93)</f>
        <v/>
      </c>
      <c r="AI93" s="4" t="str">
        <f>IF(ISBLANK('Paste Full'!AT93),"",'Paste Full'!AT93)</f>
        <v/>
      </c>
      <c r="AJ93" s="4" t="str">
        <f>IF(ISBLANK('Paste Full'!AU93),"",'Paste Full'!AU93)</f>
        <v/>
      </c>
      <c r="AK93" s="4" t="str">
        <f>IF(ISBLANK('Paste Full'!AW93),"",'Paste Full'!AW93)</f>
        <v/>
      </c>
      <c r="AL93" s="5" t="str">
        <f>IF(ISBLANK('Paste Full'!AX93),"",'Paste Full'!AX93)</f>
        <v/>
      </c>
      <c r="AM93" s="5" t="str">
        <f>IF(ISBLANK('Paste Full'!AY93),"",'Paste Full'!AY93)</f>
        <v/>
      </c>
      <c r="AN93" s="5" t="str">
        <f>IF(ISBLANK('Paste Full'!AZ93),"",'Paste Full'!AZ93)</f>
        <v/>
      </c>
      <c r="AO93" s="5" t="str">
        <f>IF(ISBLANK('Paste Full'!BA93),"",'Paste Full'!BA93)</f>
        <v/>
      </c>
      <c r="AP93" s="5" t="str">
        <f>IF(ISBLANK('Paste Full'!BB93),"",'Paste Full'!BB93)</f>
        <v/>
      </c>
      <c r="AQ93" s="5" t="str">
        <f>IF(ISBLANK('Paste Full'!BC93),"",'Paste Full'!BC93)</f>
        <v/>
      </c>
      <c r="AR93" s="5" t="str">
        <f>IF(ISBLANK('Paste Full'!BD93),"",'Paste Full'!BD93)</f>
        <v/>
      </c>
      <c r="AS93" s="5" t="str">
        <f>IF(ISBLANK('Paste Full'!BE93),"",'Paste Full'!BE93)</f>
        <v/>
      </c>
      <c r="AT93" s="5" t="str">
        <f>IF(ISBLANK('Paste Full'!BF93),"",'Paste Full'!BF93)</f>
        <v/>
      </c>
      <c r="AU93" s="5" t="str">
        <f>IF(ISBLANK('Paste Full'!BG93),"",'Paste Full'!BG93)</f>
        <v/>
      </c>
      <c r="AV93" s="5" t="str">
        <f>IF(ISBLANK('Paste Full'!BH93),"",'Paste Full'!BH93)</f>
        <v/>
      </c>
      <c r="AW93" s="5" t="str">
        <f>IF(ISBLANK('Paste Full'!BI93),"",'Paste Full'!BI93)</f>
        <v/>
      </c>
      <c r="AX93" s="5" t="str">
        <f>IF(ISBLANK('Paste Full'!BJ93),"",'Paste Full'!BJ93)</f>
        <v/>
      </c>
      <c r="AY93" s="5" t="str">
        <f>IF(ISBLANK('Paste Full'!BK93),"",'Paste Full'!BK93)</f>
        <v/>
      </c>
      <c r="AZ93" s="6" t="str">
        <f>IF(ISBLANK('Paste Full'!BM93),"",'Paste Full'!BM93)</f>
        <v/>
      </c>
      <c r="BA93" s="6" t="str">
        <f>IF(ISBLANK('Paste Full'!BN93),"",'Paste Full'!BN93)</f>
        <v/>
      </c>
      <c r="BB93" s="6" t="str">
        <f>IF(ISBLANK('Paste Full'!BO93),"",'Paste Full'!BO93)</f>
        <v/>
      </c>
      <c r="BC93" s="6" t="str">
        <f>IF(ISBLANK('Paste Full'!BP93),"",'Paste Full'!BP93)</f>
        <v/>
      </c>
      <c r="BD93" s="6" t="str">
        <f>IF(ISBLANK('Paste Full'!BR93),"",'Paste Full'!BR93)</f>
        <v/>
      </c>
      <c r="BE93" s="6" t="str">
        <f>IF(ISBLANK('Paste Full'!BS93),"",'Paste Full'!BS93)</f>
        <v/>
      </c>
      <c r="BF93" s="6" t="str">
        <f>IF(ISBLANK('Paste Full'!BU93),"",'Paste Full'!BU93)</f>
        <v/>
      </c>
      <c r="BG93" s="6" t="str">
        <f>IF(ISBLANK('Paste Full'!BV93),"",'Paste Full'!BV93)</f>
        <v/>
      </c>
      <c r="BH93" s="6" t="str">
        <f>IF(ISBLANK('Paste Full'!BX93),"",'Paste Full'!BX93)</f>
        <v/>
      </c>
      <c r="BI93" s="6" t="str">
        <f>IF(ISBLANK('Paste Full'!BY93),"",'Paste Full'!BY93)</f>
        <v/>
      </c>
      <c r="BJ93" s="13" t="str">
        <f>IF(ISBLANK('Paste Full'!BL93),"",'Paste Full'!BL93)</f>
        <v/>
      </c>
      <c r="BK93" s="13" t="str">
        <f>IF(ISBLANK('Paste Full'!BQ93),"",'Paste Full'!BQ93)</f>
        <v/>
      </c>
      <c r="BL93" s="13" t="str">
        <f>IF(ISBLANK('Paste Full'!BT93),"",'Paste Full'!BT93)</f>
        <v/>
      </c>
      <c r="BM93" s="13" t="str">
        <f>IF(ISBLANK('Paste Full'!BW93),"",'Paste Full'!BW93)</f>
        <v/>
      </c>
      <c r="BN93" s="41" t="str">
        <f>IF(ISBLANK('Paste Full'!BZ93),"",'Paste Full'!BZ93)</f>
        <v/>
      </c>
      <c r="BO93" s="41" t="str">
        <f>IF(ISBLANK('Paste Full'!CA93),"",'Paste Full'!CA93)</f>
        <v/>
      </c>
      <c r="BP93" s="41" t="str">
        <f>IF(ISBLANK('Paste Full'!CB93),"",'Paste Full'!CB93)</f>
        <v/>
      </c>
      <c r="BQ93" s="41" t="str">
        <f>IF(ISBLANK('Paste Full'!CC93),"",'Paste Full'!CC93)</f>
        <v/>
      </c>
      <c r="BR93" s="41" t="str">
        <f>IF(ISBLANK('Paste Full'!CD93),"",'Paste Full'!CD93)</f>
        <v/>
      </c>
      <c r="BS93" s="41" t="str">
        <f>IF(ISBLANK('Paste Full'!CE93),"",'Paste Full'!CE93)</f>
        <v/>
      </c>
      <c r="BT93" s="41" t="str">
        <f>IF(ISBLANK('Paste Full'!CF93),"",'Paste Full'!CF93)</f>
        <v/>
      </c>
      <c r="BU93" s="41" t="str">
        <f>IF(ISBLANK('Paste Full'!CG93),"",'Paste Full'!CG93)</f>
        <v/>
      </c>
      <c r="BV93" s="41" t="str">
        <f>IF(ISBLANK('Paste Full'!CH93),"",'Paste Full'!CH93)</f>
        <v/>
      </c>
    </row>
    <row r="94" spans="1:74" x14ac:dyDescent="0.3">
      <c r="A94" t="str">
        <f>IF(ISBLANK('Paste Full'!C94),"",'Paste Full'!C94)</f>
        <v/>
      </c>
      <c r="B94" t="str">
        <f t="shared" si="2"/>
        <v>Striker</v>
      </c>
      <c r="C94" s="2" t="str">
        <f>IF(ISBLANK('Paste Full'!H94),"",'Paste Full'!H94)</f>
        <v/>
      </c>
      <c r="D94" s="2" t="str">
        <f>IF(ISBLANK('Paste Full'!F94),"",'Paste Full'!F94)</f>
        <v/>
      </c>
      <c r="E94" s="2" t="str">
        <f>IF(ISBLANK('Paste Full'!G94),"",'Paste Full'!G94)</f>
        <v/>
      </c>
      <c r="F94" s="21" t="str">
        <f>IF(ISBLANK('Paste Full'!E94),"",'Paste Full'!E94)</f>
        <v/>
      </c>
      <c r="G94" t="str">
        <f>IF(ISBLANK('Paste Full'!CI94),"",'Paste Full'!CI94)</f>
        <v/>
      </c>
      <c r="H94" s="21" t="str">
        <f>IF(ISBLANK('Paste Full'!J94),"",'Paste Full'!J94)</f>
        <v/>
      </c>
      <c r="I94" s="21" t="str">
        <f>IF(ISBLANK('Paste Full'!D94),"",'Paste Full'!D94)</f>
        <v/>
      </c>
      <c r="J94" s="14">
        <f>AVERAGE(SUMPRODUCT($S94:$BM94,AttWeights!$C$10:$AW$10)/SUM(AttWeights!$C$10:$AW$10),SUMPRODUCT($S94:$BM94,AttWeights!$C$17:$AW$17)/SUM(AttWeights!$C$17:$AW$17))*10</f>
        <v>0</v>
      </c>
      <c r="K94" s="14">
        <f>AVERAGE(SUMPRODUCT($S94:$BM94,AttWeights!$C$7:$AW$7)/SUM(AttWeights!$C$7:$AW$7),SUMPRODUCT($S94:$BM94,AttWeights!$C$15:$AW$15)/SUM(AttWeights!$C$15:$AW$15))*10</f>
        <v>0</v>
      </c>
      <c r="L94" s="14">
        <f>AVERAGE(SUMPRODUCT($S94:$BM94,AttWeights!$C$8:$AW$8)/SUM(AttWeights!$C$8:$AW$8),SUMPRODUCT($S94:$BM94,AttWeights!$C$16:$AW$16)/SUM(AttWeights!$C$16:$AW$16))*10</f>
        <v>0</v>
      </c>
      <c r="M94" s="14">
        <f>AVERAGE(SUMPRODUCT($S94:$BM94,AttWeights!$C$9:$AW$9)/SUM(AttWeights!$C$9:$AW$9),SUMPRODUCT($S94:$BM94,AttWeights!$C$15:$AW$15)/SUM(AttWeights!$C$15:$AW$15))*10</f>
        <v>0</v>
      </c>
      <c r="N94" s="14">
        <f>AVERAGE(SUMPRODUCT($S94:$BM94,AttWeights!$C$6:$AW$6)/SUM(AttWeights!$C$6:$AW$6),SUMPRODUCT($S94:$BM94,AttWeights!$C$14:$AW$14)/SUM(AttWeights!$C$14:$AW$14))*10</f>
        <v>0</v>
      </c>
      <c r="O94" s="14">
        <f>AVERAGE(SUMPRODUCT($S94:$BM94,AttWeights!$C$5:$AW$5)/SUM(AttWeights!$C$5:$AW$5),SUMPRODUCT($S94:$BM94,AttWeights!$C$14:$AW$14)/SUM(AttWeights!$C$14:$AW$14))*10</f>
        <v>0</v>
      </c>
      <c r="P94" s="14">
        <f>AVERAGE(SUMPRODUCT($S94:$BM94,AttWeights!$C$4:$AW$4)/SUM(AttWeights!$C$4:$AW$4),SUMPRODUCT($S94:$BM94,AttWeights!$C$13:$AW$13)/SUM(AttWeights!$C$13:$AW$13))*10</f>
        <v>0</v>
      </c>
      <c r="Q94" s="14">
        <f>AVERAGE(SUMPRODUCT($S94:$BM94,AttWeights!$C$3:$AW$3)/SUM(AttWeights!$C$3:$AW$3),SUMPRODUCT($S94:$BM94,AttWeights!$C$12:$AW$12)/SUM(AttWeights!$C$12:$AW$12))*10</f>
        <v>0</v>
      </c>
      <c r="R94" s="14">
        <f>AVERAGE(SUMPRODUCT($S94:$BM94,AttWeights!$C$2:$AW$2)/SUM(AttWeights!$C$2:$AW$2),SUMPRODUCT($S94:$BM94,AttWeights!$C$11:$AW$11)/SUM(AttWeights!$C$11:$AW$11))*10</f>
        <v>0</v>
      </c>
      <c r="S94" s="3" t="str">
        <f>IF(ISBLANK('Paste Full'!AC94),"",'Paste Full'!AC94)</f>
        <v/>
      </c>
      <c r="T94" s="3" t="str">
        <f>IF(ISBLANK('Paste Full'!AD94),"",'Paste Full'!AD94)</f>
        <v/>
      </c>
      <c r="U94" s="3" t="str">
        <f>IF(ISBLANK('Paste Full'!AE94),"",'Paste Full'!AE94)</f>
        <v/>
      </c>
      <c r="V94" s="3" t="str">
        <f>IF(ISBLANK('Paste Full'!AF94),"",'Paste Full'!AF94)</f>
        <v/>
      </c>
      <c r="W94" s="3" t="str">
        <f>IF(ISBLANK('Paste Full'!AH94),"",'Paste Full'!AH94)</f>
        <v/>
      </c>
      <c r="X94" s="3" t="str">
        <f>IF(ISBLANK('Paste Full'!AI94),"",'Paste Full'!AI94)</f>
        <v/>
      </c>
      <c r="Y94" s="3" t="str">
        <f>IF(ISBLANK('Paste Full'!AK94),"",'Paste Full'!AK94)</f>
        <v/>
      </c>
      <c r="Z94" s="3" t="str">
        <f>IF(ISBLANK('Paste Full'!AL94),"",'Paste Full'!AL94)</f>
        <v/>
      </c>
      <c r="AA94" s="4" t="str">
        <f>IF(ISBLANK('Paste Full'!AM94),"",'Paste Full'!AM94)</f>
        <v/>
      </c>
      <c r="AB94" s="4" t="str">
        <f>IF(ISBLANK('Paste Full'!AN94),"",'Paste Full'!AN94)</f>
        <v/>
      </c>
      <c r="AC94" s="4" t="str">
        <f>IF(ISBLANK('Paste Full'!AO94),"",'Paste Full'!AO94)</f>
        <v/>
      </c>
      <c r="AD94" s="4" t="str">
        <f>IF(ISBLANK('Paste Full'!AP94),"",'Paste Full'!AP94)</f>
        <v/>
      </c>
      <c r="AE94" s="4" t="str">
        <f>IF(ISBLANK('Paste Full'!AQ94),"",'Paste Full'!AQ94)</f>
        <v/>
      </c>
      <c r="AF94" s="4" t="str">
        <f>IF(ISBLANK('Paste Full'!AR94),"",'Paste Full'!AR94)</f>
        <v/>
      </c>
      <c r="AG94" s="4" t="str">
        <f>IF(ISBLANK('Paste Full'!AS94),"",'Paste Full'!AS94)</f>
        <v/>
      </c>
      <c r="AH94" s="4" t="str">
        <f>IF(ISBLANK('Paste Full'!AV94),"",'Paste Full'!AV94)</f>
        <v/>
      </c>
      <c r="AI94" s="4" t="str">
        <f>IF(ISBLANK('Paste Full'!AT94),"",'Paste Full'!AT94)</f>
        <v/>
      </c>
      <c r="AJ94" s="4" t="str">
        <f>IF(ISBLANK('Paste Full'!AU94),"",'Paste Full'!AU94)</f>
        <v/>
      </c>
      <c r="AK94" s="4" t="str">
        <f>IF(ISBLANK('Paste Full'!AW94),"",'Paste Full'!AW94)</f>
        <v/>
      </c>
      <c r="AL94" s="5" t="str">
        <f>IF(ISBLANK('Paste Full'!AX94),"",'Paste Full'!AX94)</f>
        <v/>
      </c>
      <c r="AM94" s="5" t="str">
        <f>IF(ISBLANK('Paste Full'!AY94),"",'Paste Full'!AY94)</f>
        <v/>
      </c>
      <c r="AN94" s="5" t="str">
        <f>IF(ISBLANK('Paste Full'!AZ94),"",'Paste Full'!AZ94)</f>
        <v/>
      </c>
      <c r="AO94" s="5" t="str">
        <f>IF(ISBLANK('Paste Full'!BA94),"",'Paste Full'!BA94)</f>
        <v/>
      </c>
      <c r="AP94" s="5" t="str">
        <f>IF(ISBLANK('Paste Full'!BB94),"",'Paste Full'!BB94)</f>
        <v/>
      </c>
      <c r="AQ94" s="5" t="str">
        <f>IF(ISBLANK('Paste Full'!BC94),"",'Paste Full'!BC94)</f>
        <v/>
      </c>
      <c r="AR94" s="5" t="str">
        <f>IF(ISBLANK('Paste Full'!BD94),"",'Paste Full'!BD94)</f>
        <v/>
      </c>
      <c r="AS94" s="5" t="str">
        <f>IF(ISBLANK('Paste Full'!BE94),"",'Paste Full'!BE94)</f>
        <v/>
      </c>
      <c r="AT94" s="5" t="str">
        <f>IF(ISBLANK('Paste Full'!BF94),"",'Paste Full'!BF94)</f>
        <v/>
      </c>
      <c r="AU94" s="5" t="str">
        <f>IF(ISBLANK('Paste Full'!BG94),"",'Paste Full'!BG94)</f>
        <v/>
      </c>
      <c r="AV94" s="5" t="str">
        <f>IF(ISBLANK('Paste Full'!BH94),"",'Paste Full'!BH94)</f>
        <v/>
      </c>
      <c r="AW94" s="5" t="str">
        <f>IF(ISBLANK('Paste Full'!BI94),"",'Paste Full'!BI94)</f>
        <v/>
      </c>
      <c r="AX94" s="5" t="str">
        <f>IF(ISBLANK('Paste Full'!BJ94),"",'Paste Full'!BJ94)</f>
        <v/>
      </c>
      <c r="AY94" s="5" t="str">
        <f>IF(ISBLANK('Paste Full'!BK94),"",'Paste Full'!BK94)</f>
        <v/>
      </c>
      <c r="AZ94" s="6" t="str">
        <f>IF(ISBLANK('Paste Full'!BM94),"",'Paste Full'!BM94)</f>
        <v/>
      </c>
      <c r="BA94" s="6" t="str">
        <f>IF(ISBLANK('Paste Full'!BN94),"",'Paste Full'!BN94)</f>
        <v/>
      </c>
      <c r="BB94" s="6" t="str">
        <f>IF(ISBLANK('Paste Full'!BO94),"",'Paste Full'!BO94)</f>
        <v/>
      </c>
      <c r="BC94" s="6" t="str">
        <f>IF(ISBLANK('Paste Full'!BP94),"",'Paste Full'!BP94)</f>
        <v/>
      </c>
      <c r="BD94" s="6" t="str">
        <f>IF(ISBLANK('Paste Full'!BR94),"",'Paste Full'!BR94)</f>
        <v/>
      </c>
      <c r="BE94" s="6" t="str">
        <f>IF(ISBLANK('Paste Full'!BS94),"",'Paste Full'!BS94)</f>
        <v/>
      </c>
      <c r="BF94" s="6" t="str">
        <f>IF(ISBLANK('Paste Full'!BU94),"",'Paste Full'!BU94)</f>
        <v/>
      </c>
      <c r="BG94" s="6" t="str">
        <f>IF(ISBLANK('Paste Full'!BV94),"",'Paste Full'!BV94)</f>
        <v/>
      </c>
      <c r="BH94" s="6" t="str">
        <f>IF(ISBLANK('Paste Full'!BX94),"",'Paste Full'!BX94)</f>
        <v/>
      </c>
      <c r="BI94" s="6" t="str">
        <f>IF(ISBLANK('Paste Full'!BY94),"",'Paste Full'!BY94)</f>
        <v/>
      </c>
      <c r="BJ94" s="13" t="str">
        <f>IF(ISBLANK('Paste Full'!BL94),"",'Paste Full'!BL94)</f>
        <v/>
      </c>
      <c r="BK94" s="13" t="str">
        <f>IF(ISBLANK('Paste Full'!BQ94),"",'Paste Full'!BQ94)</f>
        <v/>
      </c>
      <c r="BL94" s="13" t="str">
        <f>IF(ISBLANK('Paste Full'!BT94),"",'Paste Full'!BT94)</f>
        <v/>
      </c>
      <c r="BM94" s="13" t="str">
        <f>IF(ISBLANK('Paste Full'!BW94),"",'Paste Full'!BW94)</f>
        <v/>
      </c>
      <c r="BN94" s="41" t="str">
        <f>IF(ISBLANK('Paste Full'!BZ94),"",'Paste Full'!BZ94)</f>
        <v/>
      </c>
      <c r="BO94" s="41" t="str">
        <f>IF(ISBLANK('Paste Full'!CA94),"",'Paste Full'!CA94)</f>
        <v/>
      </c>
      <c r="BP94" s="41" t="str">
        <f>IF(ISBLANK('Paste Full'!CB94),"",'Paste Full'!CB94)</f>
        <v/>
      </c>
      <c r="BQ94" s="41" t="str">
        <f>IF(ISBLANK('Paste Full'!CC94),"",'Paste Full'!CC94)</f>
        <v/>
      </c>
      <c r="BR94" s="41" t="str">
        <f>IF(ISBLANK('Paste Full'!CD94),"",'Paste Full'!CD94)</f>
        <v/>
      </c>
      <c r="BS94" s="41" t="str">
        <f>IF(ISBLANK('Paste Full'!CE94),"",'Paste Full'!CE94)</f>
        <v/>
      </c>
      <c r="BT94" s="41" t="str">
        <f>IF(ISBLANK('Paste Full'!CF94),"",'Paste Full'!CF94)</f>
        <v/>
      </c>
      <c r="BU94" s="41" t="str">
        <f>IF(ISBLANK('Paste Full'!CG94),"",'Paste Full'!CG94)</f>
        <v/>
      </c>
      <c r="BV94" s="41" t="str">
        <f>IF(ISBLANK('Paste Full'!CH94),"",'Paste Full'!CH94)</f>
        <v/>
      </c>
    </row>
    <row r="95" spans="1:74" x14ac:dyDescent="0.3">
      <c r="A95" t="str">
        <f>IF(ISBLANK('Paste Full'!C95),"",'Paste Full'!C95)</f>
        <v/>
      </c>
      <c r="B95" t="str">
        <f t="shared" si="2"/>
        <v>Striker</v>
      </c>
      <c r="C95" s="2" t="str">
        <f>IF(ISBLANK('Paste Full'!H95),"",'Paste Full'!H95)</f>
        <v/>
      </c>
      <c r="D95" s="2" t="str">
        <f>IF(ISBLANK('Paste Full'!F95),"",'Paste Full'!F95)</f>
        <v/>
      </c>
      <c r="E95" s="2" t="str">
        <f>IF(ISBLANK('Paste Full'!G95),"",'Paste Full'!G95)</f>
        <v/>
      </c>
      <c r="F95" s="21" t="str">
        <f>IF(ISBLANK('Paste Full'!E95),"",'Paste Full'!E95)</f>
        <v/>
      </c>
      <c r="G95" t="str">
        <f>IF(ISBLANK('Paste Full'!CI95),"",'Paste Full'!CI95)</f>
        <v/>
      </c>
      <c r="H95" s="21" t="str">
        <f>IF(ISBLANK('Paste Full'!J95),"",'Paste Full'!J95)</f>
        <v/>
      </c>
      <c r="I95" s="21" t="str">
        <f>IF(ISBLANK('Paste Full'!D95),"",'Paste Full'!D95)</f>
        <v/>
      </c>
      <c r="J95" s="14">
        <f>AVERAGE(SUMPRODUCT($S95:$BM95,AttWeights!$C$10:$AW$10)/SUM(AttWeights!$C$10:$AW$10),SUMPRODUCT($S95:$BM95,AttWeights!$C$17:$AW$17)/SUM(AttWeights!$C$17:$AW$17))*10</f>
        <v>0</v>
      </c>
      <c r="K95" s="14">
        <f>AVERAGE(SUMPRODUCT($S95:$BM95,AttWeights!$C$7:$AW$7)/SUM(AttWeights!$C$7:$AW$7),SUMPRODUCT($S95:$BM95,AttWeights!$C$15:$AW$15)/SUM(AttWeights!$C$15:$AW$15))*10</f>
        <v>0</v>
      </c>
      <c r="L95" s="14">
        <f>AVERAGE(SUMPRODUCT($S95:$BM95,AttWeights!$C$8:$AW$8)/SUM(AttWeights!$C$8:$AW$8),SUMPRODUCT($S95:$BM95,AttWeights!$C$16:$AW$16)/SUM(AttWeights!$C$16:$AW$16))*10</f>
        <v>0</v>
      </c>
      <c r="M95" s="14">
        <f>AVERAGE(SUMPRODUCT($S95:$BM95,AttWeights!$C$9:$AW$9)/SUM(AttWeights!$C$9:$AW$9),SUMPRODUCT($S95:$BM95,AttWeights!$C$15:$AW$15)/SUM(AttWeights!$C$15:$AW$15))*10</f>
        <v>0</v>
      </c>
      <c r="N95" s="14">
        <f>AVERAGE(SUMPRODUCT($S95:$BM95,AttWeights!$C$6:$AW$6)/SUM(AttWeights!$C$6:$AW$6),SUMPRODUCT($S95:$BM95,AttWeights!$C$14:$AW$14)/SUM(AttWeights!$C$14:$AW$14))*10</f>
        <v>0</v>
      </c>
      <c r="O95" s="14">
        <f>AVERAGE(SUMPRODUCT($S95:$BM95,AttWeights!$C$5:$AW$5)/SUM(AttWeights!$C$5:$AW$5),SUMPRODUCT($S95:$BM95,AttWeights!$C$14:$AW$14)/SUM(AttWeights!$C$14:$AW$14))*10</f>
        <v>0</v>
      </c>
      <c r="P95" s="14">
        <f>AVERAGE(SUMPRODUCT($S95:$BM95,AttWeights!$C$4:$AW$4)/SUM(AttWeights!$C$4:$AW$4),SUMPRODUCT($S95:$BM95,AttWeights!$C$13:$AW$13)/SUM(AttWeights!$C$13:$AW$13))*10</f>
        <v>0</v>
      </c>
      <c r="Q95" s="14">
        <f>AVERAGE(SUMPRODUCT($S95:$BM95,AttWeights!$C$3:$AW$3)/SUM(AttWeights!$C$3:$AW$3),SUMPRODUCT($S95:$BM95,AttWeights!$C$12:$AW$12)/SUM(AttWeights!$C$12:$AW$12))*10</f>
        <v>0</v>
      </c>
      <c r="R95" s="14">
        <f>AVERAGE(SUMPRODUCT($S95:$BM95,AttWeights!$C$2:$AW$2)/SUM(AttWeights!$C$2:$AW$2),SUMPRODUCT($S95:$BM95,AttWeights!$C$11:$AW$11)/SUM(AttWeights!$C$11:$AW$11))*10</f>
        <v>0</v>
      </c>
      <c r="S95" s="3" t="str">
        <f>IF(ISBLANK('Paste Full'!AC95),"",'Paste Full'!AC95)</f>
        <v/>
      </c>
      <c r="T95" s="3" t="str">
        <f>IF(ISBLANK('Paste Full'!AD95),"",'Paste Full'!AD95)</f>
        <v/>
      </c>
      <c r="U95" s="3" t="str">
        <f>IF(ISBLANK('Paste Full'!AE95),"",'Paste Full'!AE95)</f>
        <v/>
      </c>
      <c r="V95" s="3" t="str">
        <f>IF(ISBLANK('Paste Full'!AF95),"",'Paste Full'!AF95)</f>
        <v/>
      </c>
      <c r="W95" s="3" t="str">
        <f>IF(ISBLANK('Paste Full'!AH95),"",'Paste Full'!AH95)</f>
        <v/>
      </c>
      <c r="X95" s="3" t="str">
        <f>IF(ISBLANK('Paste Full'!AI95),"",'Paste Full'!AI95)</f>
        <v/>
      </c>
      <c r="Y95" s="3" t="str">
        <f>IF(ISBLANK('Paste Full'!AK95),"",'Paste Full'!AK95)</f>
        <v/>
      </c>
      <c r="Z95" s="3" t="str">
        <f>IF(ISBLANK('Paste Full'!AL95),"",'Paste Full'!AL95)</f>
        <v/>
      </c>
      <c r="AA95" s="4" t="str">
        <f>IF(ISBLANK('Paste Full'!AM95),"",'Paste Full'!AM95)</f>
        <v/>
      </c>
      <c r="AB95" s="4" t="str">
        <f>IF(ISBLANK('Paste Full'!AN95),"",'Paste Full'!AN95)</f>
        <v/>
      </c>
      <c r="AC95" s="4" t="str">
        <f>IF(ISBLANK('Paste Full'!AO95),"",'Paste Full'!AO95)</f>
        <v/>
      </c>
      <c r="AD95" s="4" t="str">
        <f>IF(ISBLANK('Paste Full'!AP95),"",'Paste Full'!AP95)</f>
        <v/>
      </c>
      <c r="AE95" s="4" t="str">
        <f>IF(ISBLANK('Paste Full'!AQ95),"",'Paste Full'!AQ95)</f>
        <v/>
      </c>
      <c r="AF95" s="4" t="str">
        <f>IF(ISBLANK('Paste Full'!AR95),"",'Paste Full'!AR95)</f>
        <v/>
      </c>
      <c r="AG95" s="4" t="str">
        <f>IF(ISBLANK('Paste Full'!AS95),"",'Paste Full'!AS95)</f>
        <v/>
      </c>
      <c r="AH95" s="4" t="str">
        <f>IF(ISBLANK('Paste Full'!AV95),"",'Paste Full'!AV95)</f>
        <v/>
      </c>
      <c r="AI95" s="4" t="str">
        <f>IF(ISBLANK('Paste Full'!AT95),"",'Paste Full'!AT95)</f>
        <v/>
      </c>
      <c r="AJ95" s="4" t="str">
        <f>IF(ISBLANK('Paste Full'!AU95),"",'Paste Full'!AU95)</f>
        <v/>
      </c>
      <c r="AK95" s="4" t="str">
        <f>IF(ISBLANK('Paste Full'!AW95),"",'Paste Full'!AW95)</f>
        <v/>
      </c>
      <c r="AL95" s="5" t="str">
        <f>IF(ISBLANK('Paste Full'!AX95),"",'Paste Full'!AX95)</f>
        <v/>
      </c>
      <c r="AM95" s="5" t="str">
        <f>IF(ISBLANK('Paste Full'!AY95),"",'Paste Full'!AY95)</f>
        <v/>
      </c>
      <c r="AN95" s="5" t="str">
        <f>IF(ISBLANK('Paste Full'!AZ95),"",'Paste Full'!AZ95)</f>
        <v/>
      </c>
      <c r="AO95" s="5" t="str">
        <f>IF(ISBLANK('Paste Full'!BA95),"",'Paste Full'!BA95)</f>
        <v/>
      </c>
      <c r="AP95" s="5" t="str">
        <f>IF(ISBLANK('Paste Full'!BB95),"",'Paste Full'!BB95)</f>
        <v/>
      </c>
      <c r="AQ95" s="5" t="str">
        <f>IF(ISBLANK('Paste Full'!BC95),"",'Paste Full'!BC95)</f>
        <v/>
      </c>
      <c r="AR95" s="5" t="str">
        <f>IF(ISBLANK('Paste Full'!BD95),"",'Paste Full'!BD95)</f>
        <v/>
      </c>
      <c r="AS95" s="5" t="str">
        <f>IF(ISBLANK('Paste Full'!BE95),"",'Paste Full'!BE95)</f>
        <v/>
      </c>
      <c r="AT95" s="5" t="str">
        <f>IF(ISBLANK('Paste Full'!BF95),"",'Paste Full'!BF95)</f>
        <v/>
      </c>
      <c r="AU95" s="5" t="str">
        <f>IF(ISBLANK('Paste Full'!BG95),"",'Paste Full'!BG95)</f>
        <v/>
      </c>
      <c r="AV95" s="5" t="str">
        <f>IF(ISBLANK('Paste Full'!BH95),"",'Paste Full'!BH95)</f>
        <v/>
      </c>
      <c r="AW95" s="5" t="str">
        <f>IF(ISBLANK('Paste Full'!BI95),"",'Paste Full'!BI95)</f>
        <v/>
      </c>
      <c r="AX95" s="5" t="str">
        <f>IF(ISBLANK('Paste Full'!BJ95),"",'Paste Full'!BJ95)</f>
        <v/>
      </c>
      <c r="AY95" s="5" t="str">
        <f>IF(ISBLANK('Paste Full'!BK95),"",'Paste Full'!BK95)</f>
        <v/>
      </c>
      <c r="AZ95" s="6" t="str">
        <f>IF(ISBLANK('Paste Full'!BM95),"",'Paste Full'!BM95)</f>
        <v/>
      </c>
      <c r="BA95" s="6" t="str">
        <f>IF(ISBLANK('Paste Full'!BN95),"",'Paste Full'!BN95)</f>
        <v/>
      </c>
      <c r="BB95" s="6" t="str">
        <f>IF(ISBLANK('Paste Full'!BO95),"",'Paste Full'!BO95)</f>
        <v/>
      </c>
      <c r="BC95" s="6" t="str">
        <f>IF(ISBLANK('Paste Full'!BP95),"",'Paste Full'!BP95)</f>
        <v/>
      </c>
      <c r="BD95" s="6" t="str">
        <f>IF(ISBLANK('Paste Full'!BR95),"",'Paste Full'!BR95)</f>
        <v/>
      </c>
      <c r="BE95" s="6" t="str">
        <f>IF(ISBLANK('Paste Full'!BS95),"",'Paste Full'!BS95)</f>
        <v/>
      </c>
      <c r="BF95" s="6" t="str">
        <f>IF(ISBLANK('Paste Full'!BU95),"",'Paste Full'!BU95)</f>
        <v/>
      </c>
      <c r="BG95" s="6" t="str">
        <f>IF(ISBLANK('Paste Full'!BV95),"",'Paste Full'!BV95)</f>
        <v/>
      </c>
      <c r="BH95" s="6" t="str">
        <f>IF(ISBLANK('Paste Full'!BX95),"",'Paste Full'!BX95)</f>
        <v/>
      </c>
      <c r="BI95" s="6" t="str">
        <f>IF(ISBLANK('Paste Full'!BY95),"",'Paste Full'!BY95)</f>
        <v/>
      </c>
      <c r="BJ95" s="13" t="str">
        <f>IF(ISBLANK('Paste Full'!BL95),"",'Paste Full'!BL95)</f>
        <v/>
      </c>
      <c r="BK95" s="13" t="str">
        <f>IF(ISBLANK('Paste Full'!BQ95),"",'Paste Full'!BQ95)</f>
        <v/>
      </c>
      <c r="BL95" s="13" t="str">
        <f>IF(ISBLANK('Paste Full'!BT95),"",'Paste Full'!BT95)</f>
        <v/>
      </c>
      <c r="BM95" s="13" t="str">
        <f>IF(ISBLANK('Paste Full'!BW95),"",'Paste Full'!BW95)</f>
        <v/>
      </c>
      <c r="BN95" s="41" t="str">
        <f>IF(ISBLANK('Paste Full'!BZ95),"",'Paste Full'!BZ95)</f>
        <v/>
      </c>
      <c r="BO95" s="41" t="str">
        <f>IF(ISBLANK('Paste Full'!CA95),"",'Paste Full'!CA95)</f>
        <v/>
      </c>
      <c r="BP95" s="41" t="str">
        <f>IF(ISBLANK('Paste Full'!CB95),"",'Paste Full'!CB95)</f>
        <v/>
      </c>
      <c r="BQ95" s="41" t="str">
        <f>IF(ISBLANK('Paste Full'!CC95),"",'Paste Full'!CC95)</f>
        <v/>
      </c>
      <c r="BR95" s="41" t="str">
        <f>IF(ISBLANK('Paste Full'!CD95),"",'Paste Full'!CD95)</f>
        <v/>
      </c>
      <c r="BS95" s="41" t="str">
        <f>IF(ISBLANK('Paste Full'!CE95),"",'Paste Full'!CE95)</f>
        <v/>
      </c>
      <c r="BT95" s="41" t="str">
        <f>IF(ISBLANK('Paste Full'!CF95),"",'Paste Full'!CF95)</f>
        <v/>
      </c>
      <c r="BU95" s="41" t="str">
        <f>IF(ISBLANK('Paste Full'!CG95),"",'Paste Full'!CG95)</f>
        <v/>
      </c>
      <c r="BV95" s="41" t="str">
        <f>IF(ISBLANK('Paste Full'!CH95),"",'Paste Full'!CH95)</f>
        <v/>
      </c>
    </row>
    <row r="96" spans="1:74" x14ac:dyDescent="0.3">
      <c r="A96" t="str">
        <f>IF(ISBLANK('Paste Full'!C96),"",'Paste Full'!C96)</f>
        <v/>
      </c>
      <c r="B96" t="str">
        <f t="shared" si="2"/>
        <v>Striker</v>
      </c>
      <c r="C96" s="2" t="str">
        <f>IF(ISBLANK('Paste Full'!H96),"",'Paste Full'!H96)</f>
        <v/>
      </c>
      <c r="D96" s="2" t="str">
        <f>IF(ISBLANK('Paste Full'!F96),"",'Paste Full'!F96)</f>
        <v/>
      </c>
      <c r="E96" s="2" t="str">
        <f>IF(ISBLANK('Paste Full'!G96),"",'Paste Full'!G96)</f>
        <v/>
      </c>
      <c r="F96" s="21" t="str">
        <f>IF(ISBLANK('Paste Full'!E96),"",'Paste Full'!E96)</f>
        <v/>
      </c>
      <c r="G96" t="str">
        <f>IF(ISBLANK('Paste Full'!CI96),"",'Paste Full'!CI96)</f>
        <v/>
      </c>
      <c r="H96" s="21" t="str">
        <f>IF(ISBLANK('Paste Full'!J96),"",'Paste Full'!J96)</f>
        <v/>
      </c>
      <c r="I96" s="21" t="str">
        <f>IF(ISBLANK('Paste Full'!D96),"",'Paste Full'!D96)</f>
        <v/>
      </c>
      <c r="J96" s="14">
        <f>AVERAGE(SUMPRODUCT($S96:$BM96,AttWeights!$C$10:$AW$10)/SUM(AttWeights!$C$10:$AW$10),SUMPRODUCT($S96:$BM96,AttWeights!$C$17:$AW$17)/SUM(AttWeights!$C$17:$AW$17))*10</f>
        <v>0</v>
      </c>
      <c r="K96" s="14">
        <f>AVERAGE(SUMPRODUCT($S96:$BM96,AttWeights!$C$7:$AW$7)/SUM(AttWeights!$C$7:$AW$7),SUMPRODUCT($S96:$BM96,AttWeights!$C$15:$AW$15)/SUM(AttWeights!$C$15:$AW$15))*10</f>
        <v>0</v>
      </c>
      <c r="L96" s="14">
        <f>AVERAGE(SUMPRODUCT($S96:$BM96,AttWeights!$C$8:$AW$8)/SUM(AttWeights!$C$8:$AW$8),SUMPRODUCT($S96:$BM96,AttWeights!$C$16:$AW$16)/SUM(AttWeights!$C$16:$AW$16))*10</f>
        <v>0</v>
      </c>
      <c r="M96" s="14">
        <f>AVERAGE(SUMPRODUCT($S96:$BM96,AttWeights!$C$9:$AW$9)/SUM(AttWeights!$C$9:$AW$9),SUMPRODUCT($S96:$BM96,AttWeights!$C$15:$AW$15)/SUM(AttWeights!$C$15:$AW$15))*10</f>
        <v>0</v>
      </c>
      <c r="N96" s="14">
        <f>AVERAGE(SUMPRODUCT($S96:$BM96,AttWeights!$C$6:$AW$6)/SUM(AttWeights!$C$6:$AW$6),SUMPRODUCT($S96:$BM96,AttWeights!$C$14:$AW$14)/SUM(AttWeights!$C$14:$AW$14))*10</f>
        <v>0</v>
      </c>
      <c r="O96" s="14">
        <f>AVERAGE(SUMPRODUCT($S96:$BM96,AttWeights!$C$5:$AW$5)/SUM(AttWeights!$C$5:$AW$5),SUMPRODUCT($S96:$BM96,AttWeights!$C$14:$AW$14)/SUM(AttWeights!$C$14:$AW$14))*10</f>
        <v>0</v>
      </c>
      <c r="P96" s="14">
        <f>AVERAGE(SUMPRODUCT($S96:$BM96,AttWeights!$C$4:$AW$4)/SUM(AttWeights!$C$4:$AW$4),SUMPRODUCT($S96:$BM96,AttWeights!$C$13:$AW$13)/SUM(AttWeights!$C$13:$AW$13))*10</f>
        <v>0</v>
      </c>
      <c r="Q96" s="14">
        <f>AVERAGE(SUMPRODUCT($S96:$BM96,AttWeights!$C$3:$AW$3)/SUM(AttWeights!$C$3:$AW$3),SUMPRODUCT($S96:$BM96,AttWeights!$C$12:$AW$12)/SUM(AttWeights!$C$12:$AW$12))*10</f>
        <v>0</v>
      </c>
      <c r="R96" s="14">
        <f>AVERAGE(SUMPRODUCT($S96:$BM96,AttWeights!$C$2:$AW$2)/SUM(AttWeights!$C$2:$AW$2),SUMPRODUCT($S96:$BM96,AttWeights!$C$11:$AW$11)/SUM(AttWeights!$C$11:$AW$11))*10</f>
        <v>0</v>
      </c>
      <c r="S96" s="3" t="str">
        <f>IF(ISBLANK('Paste Full'!AC96),"",'Paste Full'!AC96)</f>
        <v/>
      </c>
      <c r="T96" s="3" t="str">
        <f>IF(ISBLANK('Paste Full'!AD96),"",'Paste Full'!AD96)</f>
        <v/>
      </c>
      <c r="U96" s="3" t="str">
        <f>IF(ISBLANK('Paste Full'!AE96),"",'Paste Full'!AE96)</f>
        <v/>
      </c>
      <c r="V96" s="3" t="str">
        <f>IF(ISBLANK('Paste Full'!AF96),"",'Paste Full'!AF96)</f>
        <v/>
      </c>
      <c r="W96" s="3" t="str">
        <f>IF(ISBLANK('Paste Full'!AH96),"",'Paste Full'!AH96)</f>
        <v/>
      </c>
      <c r="X96" s="3" t="str">
        <f>IF(ISBLANK('Paste Full'!AI96),"",'Paste Full'!AI96)</f>
        <v/>
      </c>
      <c r="Y96" s="3" t="str">
        <f>IF(ISBLANK('Paste Full'!AK96),"",'Paste Full'!AK96)</f>
        <v/>
      </c>
      <c r="Z96" s="3" t="str">
        <f>IF(ISBLANK('Paste Full'!AL96),"",'Paste Full'!AL96)</f>
        <v/>
      </c>
      <c r="AA96" s="4" t="str">
        <f>IF(ISBLANK('Paste Full'!AM96),"",'Paste Full'!AM96)</f>
        <v/>
      </c>
      <c r="AB96" s="4" t="str">
        <f>IF(ISBLANK('Paste Full'!AN96),"",'Paste Full'!AN96)</f>
        <v/>
      </c>
      <c r="AC96" s="4" t="str">
        <f>IF(ISBLANK('Paste Full'!AO96),"",'Paste Full'!AO96)</f>
        <v/>
      </c>
      <c r="AD96" s="4" t="str">
        <f>IF(ISBLANK('Paste Full'!AP96),"",'Paste Full'!AP96)</f>
        <v/>
      </c>
      <c r="AE96" s="4" t="str">
        <f>IF(ISBLANK('Paste Full'!AQ96),"",'Paste Full'!AQ96)</f>
        <v/>
      </c>
      <c r="AF96" s="4" t="str">
        <f>IF(ISBLANK('Paste Full'!AR96),"",'Paste Full'!AR96)</f>
        <v/>
      </c>
      <c r="AG96" s="4" t="str">
        <f>IF(ISBLANK('Paste Full'!AS96),"",'Paste Full'!AS96)</f>
        <v/>
      </c>
      <c r="AH96" s="4" t="str">
        <f>IF(ISBLANK('Paste Full'!AV96),"",'Paste Full'!AV96)</f>
        <v/>
      </c>
      <c r="AI96" s="4" t="str">
        <f>IF(ISBLANK('Paste Full'!AT96),"",'Paste Full'!AT96)</f>
        <v/>
      </c>
      <c r="AJ96" s="4" t="str">
        <f>IF(ISBLANK('Paste Full'!AU96),"",'Paste Full'!AU96)</f>
        <v/>
      </c>
      <c r="AK96" s="4" t="str">
        <f>IF(ISBLANK('Paste Full'!AW96),"",'Paste Full'!AW96)</f>
        <v/>
      </c>
      <c r="AL96" s="5" t="str">
        <f>IF(ISBLANK('Paste Full'!AX96),"",'Paste Full'!AX96)</f>
        <v/>
      </c>
      <c r="AM96" s="5" t="str">
        <f>IF(ISBLANK('Paste Full'!AY96),"",'Paste Full'!AY96)</f>
        <v/>
      </c>
      <c r="AN96" s="5" t="str">
        <f>IF(ISBLANK('Paste Full'!AZ96),"",'Paste Full'!AZ96)</f>
        <v/>
      </c>
      <c r="AO96" s="5" t="str">
        <f>IF(ISBLANK('Paste Full'!BA96),"",'Paste Full'!BA96)</f>
        <v/>
      </c>
      <c r="AP96" s="5" t="str">
        <f>IF(ISBLANK('Paste Full'!BB96),"",'Paste Full'!BB96)</f>
        <v/>
      </c>
      <c r="AQ96" s="5" t="str">
        <f>IF(ISBLANK('Paste Full'!BC96),"",'Paste Full'!BC96)</f>
        <v/>
      </c>
      <c r="AR96" s="5" t="str">
        <f>IF(ISBLANK('Paste Full'!BD96),"",'Paste Full'!BD96)</f>
        <v/>
      </c>
      <c r="AS96" s="5" t="str">
        <f>IF(ISBLANK('Paste Full'!BE96),"",'Paste Full'!BE96)</f>
        <v/>
      </c>
      <c r="AT96" s="5" t="str">
        <f>IF(ISBLANK('Paste Full'!BF96),"",'Paste Full'!BF96)</f>
        <v/>
      </c>
      <c r="AU96" s="5" t="str">
        <f>IF(ISBLANK('Paste Full'!BG96),"",'Paste Full'!BG96)</f>
        <v/>
      </c>
      <c r="AV96" s="5" t="str">
        <f>IF(ISBLANK('Paste Full'!BH96),"",'Paste Full'!BH96)</f>
        <v/>
      </c>
      <c r="AW96" s="5" t="str">
        <f>IF(ISBLANK('Paste Full'!BI96),"",'Paste Full'!BI96)</f>
        <v/>
      </c>
      <c r="AX96" s="5" t="str">
        <f>IF(ISBLANK('Paste Full'!BJ96),"",'Paste Full'!BJ96)</f>
        <v/>
      </c>
      <c r="AY96" s="5" t="str">
        <f>IF(ISBLANK('Paste Full'!BK96),"",'Paste Full'!BK96)</f>
        <v/>
      </c>
      <c r="AZ96" s="6" t="str">
        <f>IF(ISBLANK('Paste Full'!BM96),"",'Paste Full'!BM96)</f>
        <v/>
      </c>
      <c r="BA96" s="6" t="str">
        <f>IF(ISBLANK('Paste Full'!BN96),"",'Paste Full'!BN96)</f>
        <v/>
      </c>
      <c r="BB96" s="6" t="str">
        <f>IF(ISBLANK('Paste Full'!BO96),"",'Paste Full'!BO96)</f>
        <v/>
      </c>
      <c r="BC96" s="6" t="str">
        <f>IF(ISBLANK('Paste Full'!BP96),"",'Paste Full'!BP96)</f>
        <v/>
      </c>
      <c r="BD96" s="6" t="str">
        <f>IF(ISBLANK('Paste Full'!BR96),"",'Paste Full'!BR96)</f>
        <v/>
      </c>
      <c r="BE96" s="6" t="str">
        <f>IF(ISBLANK('Paste Full'!BS96),"",'Paste Full'!BS96)</f>
        <v/>
      </c>
      <c r="BF96" s="6" t="str">
        <f>IF(ISBLANK('Paste Full'!BU96),"",'Paste Full'!BU96)</f>
        <v/>
      </c>
      <c r="BG96" s="6" t="str">
        <f>IF(ISBLANK('Paste Full'!BV96),"",'Paste Full'!BV96)</f>
        <v/>
      </c>
      <c r="BH96" s="6" t="str">
        <f>IF(ISBLANK('Paste Full'!BX96),"",'Paste Full'!BX96)</f>
        <v/>
      </c>
      <c r="BI96" s="6" t="str">
        <f>IF(ISBLANK('Paste Full'!BY96),"",'Paste Full'!BY96)</f>
        <v/>
      </c>
      <c r="BJ96" s="13" t="str">
        <f>IF(ISBLANK('Paste Full'!BL96),"",'Paste Full'!BL96)</f>
        <v/>
      </c>
      <c r="BK96" s="13" t="str">
        <f>IF(ISBLANK('Paste Full'!BQ96),"",'Paste Full'!BQ96)</f>
        <v/>
      </c>
      <c r="BL96" s="13" t="str">
        <f>IF(ISBLANK('Paste Full'!BT96),"",'Paste Full'!BT96)</f>
        <v/>
      </c>
      <c r="BM96" s="13" t="str">
        <f>IF(ISBLANK('Paste Full'!BW96),"",'Paste Full'!BW96)</f>
        <v/>
      </c>
      <c r="BN96" s="41" t="str">
        <f>IF(ISBLANK('Paste Full'!BZ96),"",'Paste Full'!BZ96)</f>
        <v/>
      </c>
      <c r="BO96" s="41" t="str">
        <f>IF(ISBLANK('Paste Full'!CA96),"",'Paste Full'!CA96)</f>
        <v/>
      </c>
      <c r="BP96" s="41" t="str">
        <f>IF(ISBLANK('Paste Full'!CB96),"",'Paste Full'!CB96)</f>
        <v/>
      </c>
      <c r="BQ96" s="41" t="str">
        <f>IF(ISBLANK('Paste Full'!CC96),"",'Paste Full'!CC96)</f>
        <v/>
      </c>
      <c r="BR96" s="41" t="str">
        <f>IF(ISBLANK('Paste Full'!CD96),"",'Paste Full'!CD96)</f>
        <v/>
      </c>
      <c r="BS96" s="41" t="str">
        <f>IF(ISBLANK('Paste Full'!CE96),"",'Paste Full'!CE96)</f>
        <v/>
      </c>
      <c r="BT96" s="41" t="str">
        <f>IF(ISBLANK('Paste Full'!CF96),"",'Paste Full'!CF96)</f>
        <v/>
      </c>
      <c r="BU96" s="41" t="str">
        <f>IF(ISBLANK('Paste Full'!CG96),"",'Paste Full'!CG96)</f>
        <v/>
      </c>
      <c r="BV96" s="41" t="str">
        <f>IF(ISBLANK('Paste Full'!CH96),"",'Paste Full'!CH96)</f>
        <v/>
      </c>
    </row>
    <row r="97" spans="1:74" x14ac:dyDescent="0.3">
      <c r="A97" t="str">
        <f>IF(ISBLANK('Paste Full'!C97),"",'Paste Full'!C97)</f>
        <v/>
      </c>
      <c r="B97" t="str">
        <f t="shared" si="2"/>
        <v>Striker</v>
      </c>
      <c r="C97" s="2" t="str">
        <f>IF(ISBLANK('Paste Full'!H97),"",'Paste Full'!H97)</f>
        <v/>
      </c>
      <c r="D97" s="2" t="str">
        <f>IF(ISBLANK('Paste Full'!F97),"",'Paste Full'!F97)</f>
        <v/>
      </c>
      <c r="E97" s="2" t="str">
        <f>IF(ISBLANK('Paste Full'!G97),"",'Paste Full'!G97)</f>
        <v/>
      </c>
      <c r="F97" s="21" t="str">
        <f>IF(ISBLANK('Paste Full'!E97),"",'Paste Full'!E97)</f>
        <v/>
      </c>
      <c r="G97" t="str">
        <f>IF(ISBLANK('Paste Full'!CI97),"",'Paste Full'!CI97)</f>
        <v/>
      </c>
      <c r="H97" s="21" t="str">
        <f>IF(ISBLANK('Paste Full'!J97),"",'Paste Full'!J97)</f>
        <v/>
      </c>
      <c r="I97" s="21" t="str">
        <f>IF(ISBLANK('Paste Full'!D97),"",'Paste Full'!D97)</f>
        <v/>
      </c>
      <c r="J97" s="14">
        <f>AVERAGE(SUMPRODUCT($S97:$BM97,AttWeights!$C$10:$AW$10)/SUM(AttWeights!$C$10:$AW$10),SUMPRODUCT($S97:$BM97,AttWeights!$C$17:$AW$17)/SUM(AttWeights!$C$17:$AW$17))*10</f>
        <v>0</v>
      </c>
      <c r="K97" s="14">
        <f>AVERAGE(SUMPRODUCT($S97:$BM97,AttWeights!$C$7:$AW$7)/SUM(AttWeights!$C$7:$AW$7),SUMPRODUCT($S97:$BM97,AttWeights!$C$15:$AW$15)/SUM(AttWeights!$C$15:$AW$15))*10</f>
        <v>0</v>
      </c>
      <c r="L97" s="14">
        <f>AVERAGE(SUMPRODUCT($S97:$BM97,AttWeights!$C$8:$AW$8)/SUM(AttWeights!$C$8:$AW$8),SUMPRODUCT($S97:$BM97,AttWeights!$C$16:$AW$16)/SUM(AttWeights!$C$16:$AW$16))*10</f>
        <v>0</v>
      </c>
      <c r="M97" s="14">
        <f>AVERAGE(SUMPRODUCT($S97:$BM97,AttWeights!$C$9:$AW$9)/SUM(AttWeights!$C$9:$AW$9),SUMPRODUCT($S97:$BM97,AttWeights!$C$15:$AW$15)/SUM(AttWeights!$C$15:$AW$15))*10</f>
        <v>0</v>
      </c>
      <c r="N97" s="14">
        <f>AVERAGE(SUMPRODUCT($S97:$BM97,AttWeights!$C$6:$AW$6)/SUM(AttWeights!$C$6:$AW$6),SUMPRODUCT($S97:$BM97,AttWeights!$C$14:$AW$14)/SUM(AttWeights!$C$14:$AW$14))*10</f>
        <v>0</v>
      </c>
      <c r="O97" s="14">
        <f>AVERAGE(SUMPRODUCT($S97:$BM97,AttWeights!$C$5:$AW$5)/SUM(AttWeights!$C$5:$AW$5),SUMPRODUCT($S97:$BM97,AttWeights!$C$14:$AW$14)/SUM(AttWeights!$C$14:$AW$14))*10</f>
        <v>0</v>
      </c>
      <c r="P97" s="14">
        <f>AVERAGE(SUMPRODUCT($S97:$BM97,AttWeights!$C$4:$AW$4)/SUM(AttWeights!$C$4:$AW$4),SUMPRODUCT($S97:$BM97,AttWeights!$C$13:$AW$13)/SUM(AttWeights!$C$13:$AW$13))*10</f>
        <v>0</v>
      </c>
      <c r="Q97" s="14">
        <f>AVERAGE(SUMPRODUCT($S97:$BM97,AttWeights!$C$3:$AW$3)/SUM(AttWeights!$C$3:$AW$3),SUMPRODUCT($S97:$BM97,AttWeights!$C$12:$AW$12)/SUM(AttWeights!$C$12:$AW$12))*10</f>
        <v>0</v>
      </c>
      <c r="R97" s="14">
        <f>AVERAGE(SUMPRODUCT($S97:$BM97,AttWeights!$C$2:$AW$2)/SUM(AttWeights!$C$2:$AW$2),SUMPRODUCT($S97:$BM97,AttWeights!$C$11:$AW$11)/SUM(AttWeights!$C$11:$AW$11))*10</f>
        <v>0</v>
      </c>
      <c r="S97" s="3" t="str">
        <f>IF(ISBLANK('Paste Full'!AC97),"",'Paste Full'!AC97)</f>
        <v/>
      </c>
      <c r="T97" s="3" t="str">
        <f>IF(ISBLANK('Paste Full'!AD97),"",'Paste Full'!AD97)</f>
        <v/>
      </c>
      <c r="U97" s="3" t="str">
        <f>IF(ISBLANK('Paste Full'!AE97),"",'Paste Full'!AE97)</f>
        <v/>
      </c>
      <c r="V97" s="3" t="str">
        <f>IF(ISBLANK('Paste Full'!AF97),"",'Paste Full'!AF97)</f>
        <v/>
      </c>
      <c r="W97" s="3" t="str">
        <f>IF(ISBLANK('Paste Full'!AH97),"",'Paste Full'!AH97)</f>
        <v/>
      </c>
      <c r="X97" s="3" t="str">
        <f>IF(ISBLANK('Paste Full'!AI97),"",'Paste Full'!AI97)</f>
        <v/>
      </c>
      <c r="Y97" s="3" t="str">
        <f>IF(ISBLANK('Paste Full'!AK97),"",'Paste Full'!AK97)</f>
        <v/>
      </c>
      <c r="Z97" s="3" t="str">
        <f>IF(ISBLANK('Paste Full'!AL97),"",'Paste Full'!AL97)</f>
        <v/>
      </c>
      <c r="AA97" s="4" t="str">
        <f>IF(ISBLANK('Paste Full'!AM97),"",'Paste Full'!AM97)</f>
        <v/>
      </c>
      <c r="AB97" s="4" t="str">
        <f>IF(ISBLANK('Paste Full'!AN97),"",'Paste Full'!AN97)</f>
        <v/>
      </c>
      <c r="AC97" s="4" t="str">
        <f>IF(ISBLANK('Paste Full'!AO97),"",'Paste Full'!AO97)</f>
        <v/>
      </c>
      <c r="AD97" s="4" t="str">
        <f>IF(ISBLANK('Paste Full'!AP97),"",'Paste Full'!AP97)</f>
        <v/>
      </c>
      <c r="AE97" s="4" t="str">
        <f>IF(ISBLANK('Paste Full'!AQ97),"",'Paste Full'!AQ97)</f>
        <v/>
      </c>
      <c r="AF97" s="4" t="str">
        <f>IF(ISBLANK('Paste Full'!AR97),"",'Paste Full'!AR97)</f>
        <v/>
      </c>
      <c r="AG97" s="4" t="str">
        <f>IF(ISBLANK('Paste Full'!AS97),"",'Paste Full'!AS97)</f>
        <v/>
      </c>
      <c r="AH97" s="4" t="str">
        <f>IF(ISBLANK('Paste Full'!AV97),"",'Paste Full'!AV97)</f>
        <v/>
      </c>
      <c r="AI97" s="4" t="str">
        <f>IF(ISBLANK('Paste Full'!AT97),"",'Paste Full'!AT97)</f>
        <v/>
      </c>
      <c r="AJ97" s="4" t="str">
        <f>IF(ISBLANK('Paste Full'!AU97),"",'Paste Full'!AU97)</f>
        <v/>
      </c>
      <c r="AK97" s="4" t="str">
        <f>IF(ISBLANK('Paste Full'!AW97),"",'Paste Full'!AW97)</f>
        <v/>
      </c>
      <c r="AL97" s="5" t="str">
        <f>IF(ISBLANK('Paste Full'!AX97),"",'Paste Full'!AX97)</f>
        <v/>
      </c>
      <c r="AM97" s="5" t="str">
        <f>IF(ISBLANK('Paste Full'!AY97),"",'Paste Full'!AY97)</f>
        <v/>
      </c>
      <c r="AN97" s="5" t="str">
        <f>IF(ISBLANK('Paste Full'!AZ97),"",'Paste Full'!AZ97)</f>
        <v/>
      </c>
      <c r="AO97" s="5" t="str">
        <f>IF(ISBLANK('Paste Full'!BA97),"",'Paste Full'!BA97)</f>
        <v/>
      </c>
      <c r="AP97" s="5" t="str">
        <f>IF(ISBLANK('Paste Full'!BB97),"",'Paste Full'!BB97)</f>
        <v/>
      </c>
      <c r="AQ97" s="5" t="str">
        <f>IF(ISBLANK('Paste Full'!BC97),"",'Paste Full'!BC97)</f>
        <v/>
      </c>
      <c r="AR97" s="5" t="str">
        <f>IF(ISBLANK('Paste Full'!BD97),"",'Paste Full'!BD97)</f>
        <v/>
      </c>
      <c r="AS97" s="5" t="str">
        <f>IF(ISBLANK('Paste Full'!BE97),"",'Paste Full'!BE97)</f>
        <v/>
      </c>
      <c r="AT97" s="5" t="str">
        <f>IF(ISBLANK('Paste Full'!BF97),"",'Paste Full'!BF97)</f>
        <v/>
      </c>
      <c r="AU97" s="5" t="str">
        <f>IF(ISBLANK('Paste Full'!BG97),"",'Paste Full'!BG97)</f>
        <v/>
      </c>
      <c r="AV97" s="5" t="str">
        <f>IF(ISBLANK('Paste Full'!BH97),"",'Paste Full'!BH97)</f>
        <v/>
      </c>
      <c r="AW97" s="5" t="str">
        <f>IF(ISBLANK('Paste Full'!BI97),"",'Paste Full'!BI97)</f>
        <v/>
      </c>
      <c r="AX97" s="5" t="str">
        <f>IF(ISBLANK('Paste Full'!BJ97),"",'Paste Full'!BJ97)</f>
        <v/>
      </c>
      <c r="AY97" s="5" t="str">
        <f>IF(ISBLANK('Paste Full'!BK97),"",'Paste Full'!BK97)</f>
        <v/>
      </c>
      <c r="AZ97" s="6" t="str">
        <f>IF(ISBLANK('Paste Full'!BM97),"",'Paste Full'!BM97)</f>
        <v/>
      </c>
      <c r="BA97" s="6" t="str">
        <f>IF(ISBLANK('Paste Full'!BN97),"",'Paste Full'!BN97)</f>
        <v/>
      </c>
      <c r="BB97" s="6" t="str">
        <f>IF(ISBLANK('Paste Full'!BO97),"",'Paste Full'!BO97)</f>
        <v/>
      </c>
      <c r="BC97" s="6" t="str">
        <f>IF(ISBLANK('Paste Full'!BP97),"",'Paste Full'!BP97)</f>
        <v/>
      </c>
      <c r="BD97" s="6" t="str">
        <f>IF(ISBLANK('Paste Full'!BR97),"",'Paste Full'!BR97)</f>
        <v/>
      </c>
      <c r="BE97" s="6" t="str">
        <f>IF(ISBLANK('Paste Full'!BS97),"",'Paste Full'!BS97)</f>
        <v/>
      </c>
      <c r="BF97" s="6" t="str">
        <f>IF(ISBLANK('Paste Full'!BU97),"",'Paste Full'!BU97)</f>
        <v/>
      </c>
      <c r="BG97" s="6" t="str">
        <f>IF(ISBLANK('Paste Full'!BV97),"",'Paste Full'!BV97)</f>
        <v/>
      </c>
      <c r="BH97" s="6" t="str">
        <f>IF(ISBLANK('Paste Full'!BX97),"",'Paste Full'!BX97)</f>
        <v/>
      </c>
      <c r="BI97" s="6" t="str">
        <f>IF(ISBLANK('Paste Full'!BY97),"",'Paste Full'!BY97)</f>
        <v/>
      </c>
      <c r="BJ97" s="13" t="str">
        <f>IF(ISBLANK('Paste Full'!BL97),"",'Paste Full'!BL97)</f>
        <v/>
      </c>
      <c r="BK97" s="13" t="str">
        <f>IF(ISBLANK('Paste Full'!BQ97),"",'Paste Full'!BQ97)</f>
        <v/>
      </c>
      <c r="BL97" s="13" t="str">
        <f>IF(ISBLANK('Paste Full'!BT97),"",'Paste Full'!BT97)</f>
        <v/>
      </c>
      <c r="BM97" s="13" t="str">
        <f>IF(ISBLANK('Paste Full'!BW97),"",'Paste Full'!BW97)</f>
        <v/>
      </c>
      <c r="BN97" s="41" t="str">
        <f>IF(ISBLANK('Paste Full'!BZ97),"",'Paste Full'!BZ97)</f>
        <v/>
      </c>
      <c r="BO97" s="41" t="str">
        <f>IF(ISBLANK('Paste Full'!CA97),"",'Paste Full'!CA97)</f>
        <v/>
      </c>
      <c r="BP97" s="41" t="str">
        <f>IF(ISBLANK('Paste Full'!CB97),"",'Paste Full'!CB97)</f>
        <v/>
      </c>
      <c r="BQ97" s="41" t="str">
        <f>IF(ISBLANK('Paste Full'!CC97),"",'Paste Full'!CC97)</f>
        <v/>
      </c>
      <c r="BR97" s="41" t="str">
        <f>IF(ISBLANK('Paste Full'!CD97),"",'Paste Full'!CD97)</f>
        <v/>
      </c>
      <c r="BS97" s="41" t="str">
        <f>IF(ISBLANK('Paste Full'!CE97),"",'Paste Full'!CE97)</f>
        <v/>
      </c>
      <c r="BT97" s="41" t="str">
        <f>IF(ISBLANK('Paste Full'!CF97),"",'Paste Full'!CF97)</f>
        <v/>
      </c>
      <c r="BU97" s="41" t="str">
        <f>IF(ISBLANK('Paste Full'!CG97),"",'Paste Full'!CG97)</f>
        <v/>
      </c>
      <c r="BV97" s="41" t="str">
        <f>IF(ISBLANK('Paste Full'!CH97),"",'Paste Full'!CH97)</f>
        <v/>
      </c>
    </row>
    <row r="98" spans="1:74" x14ac:dyDescent="0.3">
      <c r="A98" t="str">
        <f>IF(ISBLANK('Paste Full'!C98),"",'Paste Full'!C98)</f>
        <v/>
      </c>
      <c r="B98" t="str">
        <f t="shared" si="2"/>
        <v>Striker</v>
      </c>
      <c r="C98" s="2" t="str">
        <f>IF(ISBLANK('Paste Full'!H98),"",'Paste Full'!H98)</f>
        <v/>
      </c>
      <c r="D98" s="2" t="str">
        <f>IF(ISBLANK('Paste Full'!F98),"",'Paste Full'!F98)</f>
        <v/>
      </c>
      <c r="E98" s="2" t="str">
        <f>IF(ISBLANK('Paste Full'!G98),"",'Paste Full'!G98)</f>
        <v/>
      </c>
      <c r="F98" s="21" t="str">
        <f>IF(ISBLANK('Paste Full'!E98),"",'Paste Full'!E98)</f>
        <v/>
      </c>
      <c r="G98" t="str">
        <f>IF(ISBLANK('Paste Full'!CI98),"",'Paste Full'!CI98)</f>
        <v/>
      </c>
      <c r="H98" s="21" t="str">
        <f>IF(ISBLANK('Paste Full'!J98),"",'Paste Full'!J98)</f>
        <v/>
      </c>
      <c r="I98" s="21" t="str">
        <f>IF(ISBLANK('Paste Full'!D98),"",'Paste Full'!D98)</f>
        <v/>
      </c>
      <c r="J98" s="14">
        <f>AVERAGE(SUMPRODUCT($S98:$BM98,AttWeights!$C$10:$AW$10)/SUM(AttWeights!$C$10:$AW$10),SUMPRODUCT($S98:$BM98,AttWeights!$C$17:$AW$17)/SUM(AttWeights!$C$17:$AW$17))*10</f>
        <v>0</v>
      </c>
      <c r="K98" s="14">
        <f>AVERAGE(SUMPRODUCT($S98:$BM98,AttWeights!$C$7:$AW$7)/SUM(AttWeights!$C$7:$AW$7),SUMPRODUCT($S98:$BM98,AttWeights!$C$15:$AW$15)/SUM(AttWeights!$C$15:$AW$15))*10</f>
        <v>0</v>
      </c>
      <c r="L98" s="14">
        <f>AVERAGE(SUMPRODUCT($S98:$BM98,AttWeights!$C$8:$AW$8)/SUM(AttWeights!$C$8:$AW$8),SUMPRODUCT($S98:$BM98,AttWeights!$C$16:$AW$16)/SUM(AttWeights!$C$16:$AW$16))*10</f>
        <v>0</v>
      </c>
      <c r="M98" s="14">
        <f>AVERAGE(SUMPRODUCT($S98:$BM98,AttWeights!$C$9:$AW$9)/SUM(AttWeights!$C$9:$AW$9),SUMPRODUCT($S98:$BM98,AttWeights!$C$15:$AW$15)/SUM(AttWeights!$C$15:$AW$15))*10</f>
        <v>0</v>
      </c>
      <c r="N98" s="14">
        <f>AVERAGE(SUMPRODUCT($S98:$BM98,AttWeights!$C$6:$AW$6)/SUM(AttWeights!$C$6:$AW$6),SUMPRODUCT($S98:$BM98,AttWeights!$C$14:$AW$14)/SUM(AttWeights!$C$14:$AW$14))*10</f>
        <v>0</v>
      </c>
      <c r="O98" s="14">
        <f>AVERAGE(SUMPRODUCT($S98:$BM98,AttWeights!$C$5:$AW$5)/SUM(AttWeights!$C$5:$AW$5),SUMPRODUCT($S98:$BM98,AttWeights!$C$14:$AW$14)/SUM(AttWeights!$C$14:$AW$14))*10</f>
        <v>0</v>
      </c>
      <c r="P98" s="14">
        <f>AVERAGE(SUMPRODUCT($S98:$BM98,AttWeights!$C$4:$AW$4)/SUM(AttWeights!$C$4:$AW$4),SUMPRODUCT($S98:$BM98,AttWeights!$C$13:$AW$13)/SUM(AttWeights!$C$13:$AW$13))*10</f>
        <v>0</v>
      </c>
      <c r="Q98" s="14">
        <f>AVERAGE(SUMPRODUCT($S98:$BM98,AttWeights!$C$3:$AW$3)/SUM(AttWeights!$C$3:$AW$3),SUMPRODUCT($S98:$BM98,AttWeights!$C$12:$AW$12)/SUM(AttWeights!$C$12:$AW$12))*10</f>
        <v>0</v>
      </c>
      <c r="R98" s="14">
        <f>AVERAGE(SUMPRODUCT($S98:$BM98,AttWeights!$C$2:$AW$2)/SUM(AttWeights!$C$2:$AW$2),SUMPRODUCT($S98:$BM98,AttWeights!$C$11:$AW$11)/SUM(AttWeights!$C$11:$AW$11))*10</f>
        <v>0</v>
      </c>
      <c r="S98" s="3" t="str">
        <f>IF(ISBLANK('Paste Full'!AC98),"",'Paste Full'!AC98)</f>
        <v/>
      </c>
      <c r="T98" s="3" t="str">
        <f>IF(ISBLANK('Paste Full'!AD98),"",'Paste Full'!AD98)</f>
        <v/>
      </c>
      <c r="U98" s="3" t="str">
        <f>IF(ISBLANK('Paste Full'!AE98),"",'Paste Full'!AE98)</f>
        <v/>
      </c>
      <c r="V98" s="3" t="str">
        <f>IF(ISBLANK('Paste Full'!AF98),"",'Paste Full'!AF98)</f>
        <v/>
      </c>
      <c r="W98" s="3" t="str">
        <f>IF(ISBLANK('Paste Full'!AH98),"",'Paste Full'!AH98)</f>
        <v/>
      </c>
      <c r="X98" s="3" t="str">
        <f>IF(ISBLANK('Paste Full'!AI98),"",'Paste Full'!AI98)</f>
        <v/>
      </c>
      <c r="Y98" s="3" t="str">
        <f>IF(ISBLANK('Paste Full'!AK98),"",'Paste Full'!AK98)</f>
        <v/>
      </c>
      <c r="Z98" s="3" t="str">
        <f>IF(ISBLANK('Paste Full'!AL98),"",'Paste Full'!AL98)</f>
        <v/>
      </c>
      <c r="AA98" s="4" t="str">
        <f>IF(ISBLANK('Paste Full'!AM98),"",'Paste Full'!AM98)</f>
        <v/>
      </c>
      <c r="AB98" s="4" t="str">
        <f>IF(ISBLANK('Paste Full'!AN98),"",'Paste Full'!AN98)</f>
        <v/>
      </c>
      <c r="AC98" s="4" t="str">
        <f>IF(ISBLANK('Paste Full'!AO98),"",'Paste Full'!AO98)</f>
        <v/>
      </c>
      <c r="AD98" s="4" t="str">
        <f>IF(ISBLANK('Paste Full'!AP98),"",'Paste Full'!AP98)</f>
        <v/>
      </c>
      <c r="AE98" s="4" t="str">
        <f>IF(ISBLANK('Paste Full'!AQ98),"",'Paste Full'!AQ98)</f>
        <v/>
      </c>
      <c r="AF98" s="4" t="str">
        <f>IF(ISBLANK('Paste Full'!AR98),"",'Paste Full'!AR98)</f>
        <v/>
      </c>
      <c r="AG98" s="4" t="str">
        <f>IF(ISBLANK('Paste Full'!AS98),"",'Paste Full'!AS98)</f>
        <v/>
      </c>
      <c r="AH98" s="4" t="str">
        <f>IF(ISBLANK('Paste Full'!AV98),"",'Paste Full'!AV98)</f>
        <v/>
      </c>
      <c r="AI98" s="4" t="str">
        <f>IF(ISBLANK('Paste Full'!AT98),"",'Paste Full'!AT98)</f>
        <v/>
      </c>
      <c r="AJ98" s="4" t="str">
        <f>IF(ISBLANK('Paste Full'!AU98),"",'Paste Full'!AU98)</f>
        <v/>
      </c>
      <c r="AK98" s="4" t="str">
        <f>IF(ISBLANK('Paste Full'!AW98),"",'Paste Full'!AW98)</f>
        <v/>
      </c>
      <c r="AL98" s="5" t="str">
        <f>IF(ISBLANK('Paste Full'!AX98),"",'Paste Full'!AX98)</f>
        <v/>
      </c>
      <c r="AM98" s="5" t="str">
        <f>IF(ISBLANK('Paste Full'!AY98),"",'Paste Full'!AY98)</f>
        <v/>
      </c>
      <c r="AN98" s="5" t="str">
        <f>IF(ISBLANK('Paste Full'!AZ98),"",'Paste Full'!AZ98)</f>
        <v/>
      </c>
      <c r="AO98" s="5" t="str">
        <f>IF(ISBLANK('Paste Full'!BA98),"",'Paste Full'!BA98)</f>
        <v/>
      </c>
      <c r="AP98" s="5" t="str">
        <f>IF(ISBLANK('Paste Full'!BB98),"",'Paste Full'!BB98)</f>
        <v/>
      </c>
      <c r="AQ98" s="5" t="str">
        <f>IF(ISBLANK('Paste Full'!BC98),"",'Paste Full'!BC98)</f>
        <v/>
      </c>
      <c r="AR98" s="5" t="str">
        <f>IF(ISBLANK('Paste Full'!BD98),"",'Paste Full'!BD98)</f>
        <v/>
      </c>
      <c r="AS98" s="5" t="str">
        <f>IF(ISBLANK('Paste Full'!BE98),"",'Paste Full'!BE98)</f>
        <v/>
      </c>
      <c r="AT98" s="5" t="str">
        <f>IF(ISBLANK('Paste Full'!BF98),"",'Paste Full'!BF98)</f>
        <v/>
      </c>
      <c r="AU98" s="5" t="str">
        <f>IF(ISBLANK('Paste Full'!BG98),"",'Paste Full'!BG98)</f>
        <v/>
      </c>
      <c r="AV98" s="5" t="str">
        <f>IF(ISBLANK('Paste Full'!BH98),"",'Paste Full'!BH98)</f>
        <v/>
      </c>
      <c r="AW98" s="5" t="str">
        <f>IF(ISBLANK('Paste Full'!BI98),"",'Paste Full'!BI98)</f>
        <v/>
      </c>
      <c r="AX98" s="5" t="str">
        <f>IF(ISBLANK('Paste Full'!BJ98),"",'Paste Full'!BJ98)</f>
        <v/>
      </c>
      <c r="AY98" s="5" t="str">
        <f>IF(ISBLANK('Paste Full'!BK98),"",'Paste Full'!BK98)</f>
        <v/>
      </c>
      <c r="AZ98" s="6" t="str">
        <f>IF(ISBLANK('Paste Full'!BM98),"",'Paste Full'!BM98)</f>
        <v/>
      </c>
      <c r="BA98" s="6" t="str">
        <f>IF(ISBLANK('Paste Full'!BN98),"",'Paste Full'!BN98)</f>
        <v/>
      </c>
      <c r="BB98" s="6" t="str">
        <f>IF(ISBLANK('Paste Full'!BO98),"",'Paste Full'!BO98)</f>
        <v/>
      </c>
      <c r="BC98" s="6" t="str">
        <f>IF(ISBLANK('Paste Full'!BP98),"",'Paste Full'!BP98)</f>
        <v/>
      </c>
      <c r="BD98" s="6" t="str">
        <f>IF(ISBLANK('Paste Full'!BR98),"",'Paste Full'!BR98)</f>
        <v/>
      </c>
      <c r="BE98" s="6" t="str">
        <f>IF(ISBLANK('Paste Full'!BS98),"",'Paste Full'!BS98)</f>
        <v/>
      </c>
      <c r="BF98" s="6" t="str">
        <f>IF(ISBLANK('Paste Full'!BU98),"",'Paste Full'!BU98)</f>
        <v/>
      </c>
      <c r="BG98" s="6" t="str">
        <f>IF(ISBLANK('Paste Full'!BV98),"",'Paste Full'!BV98)</f>
        <v/>
      </c>
      <c r="BH98" s="6" t="str">
        <f>IF(ISBLANK('Paste Full'!BX98),"",'Paste Full'!BX98)</f>
        <v/>
      </c>
      <c r="BI98" s="6" t="str">
        <f>IF(ISBLANK('Paste Full'!BY98),"",'Paste Full'!BY98)</f>
        <v/>
      </c>
      <c r="BJ98" s="13" t="str">
        <f>IF(ISBLANK('Paste Full'!BL98),"",'Paste Full'!BL98)</f>
        <v/>
      </c>
      <c r="BK98" s="13" t="str">
        <f>IF(ISBLANK('Paste Full'!BQ98),"",'Paste Full'!BQ98)</f>
        <v/>
      </c>
      <c r="BL98" s="13" t="str">
        <f>IF(ISBLANK('Paste Full'!BT98),"",'Paste Full'!BT98)</f>
        <v/>
      </c>
      <c r="BM98" s="13" t="str">
        <f>IF(ISBLANK('Paste Full'!BW98),"",'Paste Full'!BW98)</f>
        <v/>
      </c>
      <c r="BN98" s="41" t="str">
        <f>IF(ISBLANK('Paste Full'!BZ98),"",'Paste Full'!BZ98)</f>
        <v/>
      </c>
      <c r="BO98" s="41" t="str">
        <f>IF(ISBLANK('Paste Full'!CA98),"",'Paste Full'!CA98)</f>
        <v/>
      </c>
      <c r="BP98" s="41" t="str">
        <f>IF(ISBLANK('Paste Full'!CB98),"",'Paste Full'!CB98)</f>
        <v/>
      </c>
      <c r="BQ98" s="41" t="str">
        <f>IF(ISBLANK('Paste Full'!CC98),"",'Paste Full'!CC98)</f>
        <v/>
      </c>
      <c r="BR98" s="41" t="str">
        <f>IF(ISBLANK('Paste Full'!CD98),"",'Paste Full'!CD98)</f>
        <v/>
      </c>
      <c r="BS98" s="41" t="str">
        <f>IF(ISBLANK('Paste Full'!CE98),"",'Paste Full'!CE98)</f>
        <v/>
      </c>
      <c r="BT98" s="41" t="str">
        <f>IF(ISBLANK('Paste Full'!CF98),"",'Paste Full'!CF98)</f>
        <v/>
      </c>
      <c r="BU98" s="41" t="str">
        <f>IF(ISBLANK('Paste Full'!CG98),"",'Paste Full'!CG98)</f>
        <v/>
      </c>
      <c r="BV98" s="41" t="str">
        <f>IF(ISBLANK('Paste Full'!CH98),"",'Paste Full'!CH98)</f>
        <v/>
      </c>
    </row>
    <row r="99" spans="1:74" x14ac:dyDescent="0.3">
      <c r="A99" t="str">
        <f>IF(ISBLANK('Paste Full'!C99),"",'Paste Full'!C99)</f>
        <v/>
      </c>
      <c r="B99" t="str">
        <f t="shared" si="2"/>
        <v>Striker</v>
      </c>
      <c r="C99" s="2" t="str">
        <f>IF(ISBLANK('Paste Full'!H99),"",'Paste Full'!H99)</f>
        <v/>
      </c>
      <c r="D99" s="2" t="str">
        <f>IF(ISBLANK('Paste Full'!F99),"",'Paste Full'!F99)</f>
        <v/>
      </c>
      <c r="E99" s="2" t="str">
        <f>IF(ISBLANK('Paste Full'!G99),"",'Paste Full'!G99)</f>
        <v/>
      </c>
      <c r="F99" s="21" t="str">
        <f>IF(ISBLANK('Paste Full'!E99),"",'Paste Full'!E99)</f>
        <v/>
      </c>
      <c r="G99" t="str">
        <f>IF(ISBLANK('Paste Full'!CI99),"",'Paste Full'!CI99)</f>
        <v/>
      </c>
      <c r="H99" s="21" t="str">
        <f>IF(ISBLANK('Paste Full'!J99),"",'Paste Full'!J99)</f>
        <v/>
      </c>
      <c r="I99" s="21" t="str">
        <f>IF(ISBLANK('Paste Full'!D99),"",'Paste Full'!D99)</f>
        <v/>
      </c>
      <c r="J99" s="14">
        <f>AVERAGE(SUMPRODUCT($S99:$BM99,AttWeights!$C$10:$AW$10)/SUM(AttWeights!$C$10:$AW$10),SUMPRODUCT($S99:$BM99,AttWeights!$C$17:$AW$17)/SUM(AttWeights!$C$17:$AW$17))*10</f>
        <v>0</v>
      </c>
      <c r="K99" s="14">
        <f>AVERAGE(SUMPRODUCT($S99:$BM99,AttWeights!$C$7:$AW$7)/SUM(AttWeights!$C$7:$AW$7),SUMPRODUCT($S99:$BM99,AttWeights!$C$15:$AW$15)/SUM(AttWeights!$C$15:$AW$15))*10</f>
        <v>0</v>
      </c>
      <c r="L99" s="14">
        <f>AVERAGE(SUMPRODUCT($S99:$BM99,AttWeights!$C$8:$AW$8)/SUM(AttWeights!$C$8:$AW$8),SUMPRODUCT($S99:$BM99,AttWeights!$C$16:$AW$16)/SUM(AttWeights!$C$16:$AW$16))*10</f>
        <v>0</v>
      </c>
      <c r="M99" s="14">
        <f>AVERAGE(SUMPRODUCT($S99:$BM99,AttWeights!$C$9:$AW$9)/SUM(AttWeights!$C$9:$AW$9),SUMPRODUCT($S99:$BM99,AttWeights!$C$15:$AW$15)/SUM(AttWeights!$C$15:$AW$15))*10</f>
        <v>0</v>
      </c>
      <c r="N99" s="14">
        <f>AVERAGE(SUMPRODUCT($S99:$BM99,AttWeights!$C$6:$AW$6)/SUM(AttWeights!$C$6:$AW$6),SUMPRODUCT($S99:$BM99,AttWeights!$C$14:$AW$14)/SUM(AttWeights!$C$14:$AW$14))*10</f>
        <v>0</v>
      </c>
      <c r="O99" s="14">
        <f>AVERAGE(SUMPRODUCT($S99:$BM99,AttWeights!$C$5:$AW$5)/SUM(AttWeights!$C$5:$AW$5),SUMPRODUCT($S99:$BM99,AttWeights!$C$14:$AW$14)/SUM(AttWeights!$C$14:$AW$14))*10</f>
        <v>0</v>
      </c>
      <c r="P99" s="14">
        <f>AVERAGE(SUMPRODUCT($S99:$BM99,AttWeights!$C$4:$AW$4)/SUM(AttWeights!$C$4:$AW$4),SUMPRODUCT($S99:$BM99,AttWeights!$C$13:$AW$13)/SUM(AttWeights!$C$13:$AW$13))*10</f>
        <v>0</v>
      </c>
      <c r="Q99" s="14">
        <f>AVERAGE(SUMPRODUCT($S99:$BM99,AttWeights!$C$3:$AW$3)/SUM(AttWeights!$C$3:$AW$3),SUMPRODUCT($S99:$BM99,AttWeights!$C$12:$AW$12)/SUM(AttWeights!$C$12:$AW$12))*10</f>
        <v>0</v>
      </c>
      <c r="R99" s="14">
        <f>AVERAGE(SUMPRODUCT($S99:$BM99,AttWeights!$C$2:$AW$2)/SUM(AttWeights!$C$2:$AW$2),SUMPRODUCT($S99:$BM99,AttWeights!$C$11:$AW$11)/SUM(AttWeights!$C$11:$AW$11))*10</f>
        <v>0</v>
      </c>
      <c r="S99" s="3" t="str">
        <f>IF(ISBLANK('Paste Full'!AC99),"",'Paste Full'!AC99)</f>
        <v/>
      </c>
      <c r="T99" s="3" t="str">
        <f>IF(ISBLANK('Paste Full'!AD99),"",'Paste Full'!AD99)</f>
        <v/>
      </c>
      <c r="U99" s="3" t="str">
        <f>IF(ISBLANK('Paste Full'!AE99),"",'Paste Full'!AE99)</f>
        <v/>
      </c>
      <c r="V99" s="3" t="str">
        <f>IF(ISBLANK('Paste Full'!AF99),"",'Paste Full'!AF99)</f>
        <v/>
      </c>
      <c r="W99" s="3" t="str">
        <f>IF(ISBLANK('Paste Full'!AH99),"",'Paste Full'!AH99)</f>
        <v/>
      </c>
      <c r="X99" s="3" t="str">
        <f>IF(ISBLANK('Paste Full'!AI99),"",'Paste Full'!AI99)</f>
        <v/>
      </c>
      <c r="Y99" s="3" t="str">
        <f>IF(ISBLANK('Paste Full'!AK99),"",'Paste Full'!AK99)</f>
        <v/>
      </c>
      <c r="Z99" s="3" t="str">
        <f>IF(ISBLANK('Paste Full'!AL99),"",'Paste Full'!AL99)</f>
        <v/>
      </c>
      <c r="AA99" s="4" t="str">
        <f>IF(ISBLANK('Paste Full'!AM99),"",'Paste Full'!AM99)</f>
        <v/>
      </c>
      <c r="AB99" s="4" t="str">
        <f>IF(ISBLANK('Paste Full'!AN99),"",'Paste Full'!AN99)</f>
        <v/>
      </c>
      <c r="AC99" s="4" t="str">
        <f>IF(ISBLANK('Paste Full'!AO99),"",'Paste Full'!AO99)</f>
        <v/>
      </c>
      <c r="AD99" s="4" t="str">
        <f>IF(ISBLANK('Paste Full'!AP99),"",'Paste Full'!AP99)</f>
        <v/>
      </c>
      <c r="AE99" s="4" t="str">
        <f>IF(ISBLANK('Paste Full'!AQ99),"",'Paste Full'!AQ99)</f>
        <v/>
      </c>
      <c r="AF99" s="4" t="str">
        <f>IF(ISBLANK('Paste Full'!AR99),"",'Paste Full'!AR99)</f>
        <v/>
      </c>
      <c r="AG99" s="4" t="str">
        <f>IF(ISBLANK('Paste Full'!AS99),"",'Paste Full'!AS99)</f>
        <v/>
      </c>
      <c r="AH99" s="4" t="str">
        <f>IF(ISBLANK('Paste Full'!AV99),"",'Paste Full'!AV99)</f>
        <v/>
      </c>
      <c r="AI99" s="4" t="str">
        <f>IF(ISBLANK('Paste Full'!AT99),"",'Paste Full'!AT99)</f>
        <v/>
      </c>
      <c r="AJ99" s="4" t="str">
        <f>IF(ISBLANK('Paste Full'!AU99),"",'Paste Full'!AU99)</f>
        <v/>
      </c>
      <c r="AK99" s="4" t="str">
        <f>IF(ISBLANK('Paste Full'!AW99),"",'Paste Full'!AW99)</f>
        <v/>
      </c>
      <c r="AL99" s="5" t="str">
        <f>IF(ISBLANK('Paste Full'!AX99),"",'Paste Full'!AX99)</f>
        <v/>
      </c>
      <c r="AM99" s="5" t="str">
        <f>IF(ISBLANK('Paste Full'!AY99),"",'Paste Full'!AY99)</f>
        <v/>
      </c>
      <c r="AN99" s="5" t="str">
        <f>IF(ISBLANK('Paste Full'!AZ99),"",'Paste Full'!AZ99)</f>
        <v/>
      </c>
      <c r="AO99" s="5" t="str">
        <f>IF(ISBLANK('Paste Full'!BA99),"",'Paste Full'!BA99)</f>
        <v/>
      </c>
      <c r="AP99" s="5" t="str">
        <f>IF(ISBLANK('Paste Full'!BB99),"",'Paste Full'!BB99)</f>
        <v/>
      </c>
      <c r="AQ99" s="5" t="str">
        <f>IF(ISBLANK('Paste Full'!BC99),"",'Paste Full'!BC99)</f>
        <v/>
      </c>
      <c r="AR99" s="5" t="str">
        <f>IF(ISBLANK('Paste Full'!BD99),"",'Paste Full'!BD99)</f>
        <v/>
      </c>
      <c r="AS99" s="5" t="str">
        <f>IF(ISBLANK('Paste Full'!BE99),"",'Paste Full'!BE99)</f>
        <v/>
      </c>
      <c r="AT99" s="5" t="str">
        <f>IF(ISBLANK('Paste Full'!BF99),"",'Paste Full'!BF99)</f>
        <v/>
      </c>
      <c r="AU99" s="5" t="str">
        <f>IF(ISBLANK('Paste Full'!BG99),"",'Paste Full'!BG99)</f>
        <v/>
      </c>
      <c r="AV99" s="5" t="str">
        <f>IF(ISBLANK('Paste Full'!BH99),"",'Paste Full'!BH99)</f>
        <v/>
      </c>
      <c r="AW99" s="5" t="str">
        <f>IF(ISBLANK('Paste Full'!BI99),"",'Paste Full'!BI99)</f>
        <v/>
      </c>
      <c r="AX99" s="5" t="str">
        <f>IF(ISBLANK('Paste Full'!BJ99),"",'Paste Full'!BJ99)</f>
        <v/>
      </c>
      <c r="AY99" s="5" t="str">
        <f>IF(ISBLANK('Paste Full'!BK99),"",'Paste Full'!BK99)</f>
        <v/>
      </c>
      <c r="AZ99" s="6" t="str">
        <f>IF(ISBLANK('Paste Full'!BM99),"",'Paste Full'!BM99)</f>
        <v/>
      </c>
      <c r="BA99" s="6" t="str">
        <f>IF(ISBLANK('Paste Full'!BN99),"",'Paste Full'!BN99)</f>
        <v/>
      </c>
      <c r="BB99" s="6" t="str">
        <f>IF(ISBLANK('Paste Full'!BO99),"",'Paste Full'!BO99)</f>
        <v/>
      </c>
      <c r="BC99" s="6" t="str">
        <f>IF(ISBLANK('Paste Full'!BP99),"",'Paste Full'!BP99)</f>
        <v/>
      </c>
      <c r="BD99" s="6" t="str">
        <f>IF(ISBLANK('Paste Full'!BR99),"",'Paste Full'!BR99)</f>
        <v/>
      </c>
      <c r="BE99" s="6" t="str">
        <f>IF(ISBLANK('Paste Full'!BS99),"",'Paste Full'!BS99)</f>
        <v/>
      </c>
      <c r="BF99" s="6" t="str">
        <f>IF(ISBLANK('Paste Full'!BU99),"",'Paste Full'!BU99)</f>
        <v/>
      </c>
      <c r="BG99" s="6" t="str">
        <f>IF(ISBLANK('Paste Full'!BV99),"",'Paste Full'!BV99)</f>
        <v/>
      </c>
      <c r="BH99" s="6" t="str">
        <f>IF(ISBLANK('Paste Full'!BX99),"",'Paste Full'!BX99)</f>
        <v/>
      </c>
      <c r="BI99" s="6" t="str">
        <f>IF(ISBLANK('Paste Full'!BY99),"",'Paste Full'!BY99)</f>
        <v/>
      </c>
      <c r="BJ99" s="13" t="str">
        <f>IF(ISBLANK('Paste Full'!BL99),"",'Paste Full'!BL99)</f>
        <v/>
      </c>
      <c r="BK99" s="13" t="str">
        <f>IF(ISBLANK('Paste Full'!BQ99),"",'Paste Full'!BQ99)</f>
        <v/>
      </c>
      <c r="BL99" s="13" t="str">
        <f>IF(ISBLANK('Paste Full'!BT99),"",'Paste Full'!BT99)</f>
        <v/>
      </c>
      <c r="BM99" s="13" t="str">
        <f>IF(ISBLANK('Paste Full'!BW99),"",'Paste Full'!BW99)</f>
        <v/>
      </c>
      <c r="BN99" s="41" t="str">
        <f>IF(ISBLANK('Paste Full'!BZ99),"",'Paste Full'!BZ99)</f>
        <v/>
      </c>
      <c r="BO99" s="41" t="str">
        <f>IF(ISBLANK('Paste Full'!CA99),"",'Paste Full'!CA99)</f>
        <v/>
      </c>
      <c r="BP99" s="41" t="str">
        <f>IF(ISBLANK('Paste Full'!CB99),"",'Paste Full'!CB99)</f>
        <v/>
      </c>
      <c r="BQ99" s="41" t="str">
        <f>IF(ISBLANK('Paste Full'!CC99),"",'Paste Full'!CC99)</f>
        <v/>
      </c>
      <c r="BR99" s="41" t="str">
        <f>IF(ISBLANK('Paste Full'!CD99),"",'Paste Full'!CD99)</f>
        <v/>
      </c>
      <c r="BS99" s="41" t="str">
        <f>IF(ISBLANK('Paste Full'!CE99),"",'Paste Full'!CE99)</f>
        <v/>
      </c>
      <c r="BT99" s="41" t="str">
        <f>IF(ISBLANK('Paste Full'!CF99),"",'Paste Full'!CF99)</f>
        <v/>
      </c>
      <c r="BU99" s="41" t="str">
        <f>IF(ISBLANK('Paste Full'!CG99),"",'Paste Full'!CG99)</f>
        <v/>
      </c>
      <c r="BV99" s="41" t="str">
        <f>IF(ISBLANK('Paste Full'!CH99),"",'Paste Full'!CH99)</f>
        <v/>
      </c>
    </row>
    <row r="100" spans="1:74" x14ac:dyDescent="0.3">
      <c r="A100" t="str">
        <f>IF(ISBLANK('Paste Full'!C100),"",'Paste Full'!C100)</f>
        <v/>
      </c>
      <c r="B100" t="str">
        <f t="shared" si="2"/>
        <v>Striker</v>
      </c>
      <c r="C100" s="2" t="str">
        <f>IF(ISBLANK('Paste Full'!H100),"",'Paste Full'!H100)</f>
        <v/>
      </c>
      <c r="D100" s="2" t="str">
        <f>IF(ISBLANK('Paste Full'!F100),"",'Paste Full'!F100)</f>
        <v/>
      </c>
      <c r="E100" s="2" t="str">
        <f>IF(ISBLANK('Paste Full'!G100),"",'Paste Full'!G100)</f>
        <v/>
      </c>
      <c r="F100" s="21" t="str">
        <f>IF(ISBLANK('Paste Full'!E100),"",'Paste Full'!E100)</f>
        <v/>
      </c>
      <c r="G100" t="str">
        <f>IF(ISBLANK('Paste Full'!CI100),"",'Paste Full'!CI100)</f>
        <v/>
      </c>
      <c r="H100" s="21" t="str">
        <f>IF(ISBLANK('Paste Full'!J100),"",'Paste Full'!J100)</f>
        <v/>
      </c>
      <c r="I100" s="21" t="str">
        <f>IF(ISBLANK('Paste Full'!D100),"",'Paste Full'!D100)</f>
        <v/>
      </c>
      <c r="J100" s="14">
        <f>AVERAGE(SUMPRODUCT($S100:$BM100,AttWeights!$C$10:$AW$10)/SUM(AttWeights!$C$10:$AW$10),SUMPRODUCT($S100:$BM100,AttWeights!$C$17:$AW$17)/SUM(AttWeights!$C$17:$AW$17))*10</f>
        <v>0</v>
      </c>
      <c r="K100" s="14">
        <f>AVERAGE(SUMPRODUCT($S100:$BM100,AttWeights!$C$7:$AW$7)/SUM(AttWeights!$C$7:$AW$7),SUMPRODUCT($S100:$BM100,AttWeights!$C$15:$AW$15)/SUM(AttWeights!$C$15:$AW$15))*10</f>
        <v>0</v>
      </c>
      <c r="L100" s="14">
        <f>AVERAGE(SUMPRODUCT($S100:$BM100,AttWeights!$C$8:$AW$8)/SUM(AttWeights!$C$8:$AW$8),SUMPRODUCT($S100:$BM100,AttWeights!$C$16:$AW$16)/SUM(AttWeights!$C$16:$AW$16))*10</f>
        <v>0</v>
      </c>
      <c r="M100" s="14">
        <f>AVERAGE(SUMPRODUCT($S100:$BM100,AttWeights!$C$9:$AW$9)/SUM(AttWeights!$C$9:$AW$9),SUMPRODUCT($S100:$BM100,AttWeights!$C$15:$AW$15)/SUM(AttWeights!$C$15:$AW$15))*10</f>
        <v>0</v>
      </c>
      <c r="N100" s="14">
        <f>AVERAGE(SUMPRODUCT($S100:$BM100,AttWeights!$C$6:$AW$6)/SUM(AttWeights!$C$6:$AW$6),SUMPRODUCT($S100:$BM100,AttWeights!$C$14:$AW$14)/SUM(AttWeights!$C$14:$AW$14))*10</f>
        <v>0</v>
      </c>
      <c r="O100" s="14">
        <f>AVERAGE(SUMPRODUCT($S100:$BM100,AttWeights!$C$5:$AW$5)/SUM(AttWeights!$C$5:$AW$5),SUMPRODUCT($S100:$BM100,AttWeights!$C$14:$AW$14)/SUM(AttWeights!$C$14:$AW$14))*10</f>
        <v>0</v>
      </c>
      <c r="P100" s="14">
        <f>AVERAGE(SUMPRODUCT($S100:$BM100,AttWeights!$C$4:$AW$4)/SUM(AttWeights!$C$4:$AW$4),SUMPRODUCT($S100:$BM100,AttWeights!$C$13:$AW$13)/SUM(AttWeights!$C$13:$AW$13))*10</f>
        <v>0</v>
      </c>
      <c r="Q100" s="14">
        <f>AVERAGE(SUMPRODUCT($S100:$BM100,AttWeights!$C$3:$AW$3)/SUM(AttWeights!$C$3:$AW$3),SUMPRODUCT($S100:$BM100,AttWeights!$C$12:$AW$12)/SUM(AttWeights!$C$12:$AW$12))*10</f>
        <v>0</v>
      </c>
      <c r="R100" s="14">
        <f>AVERAGE(SUMPRODUCT($S100:$BM100,AttWeights!$C$2:$AW$2)/SUM(AttWeights!$C$2:$AW$2),SUMPRODUCT($S100:$BM100,AttWeights!$C$11:$AW$11)/SUM(AttWeights!$C$11:$AW$11))*10</f>
        <v>0</v>
      </c>
      <c r="S100" s="3" t="str">
        <f>IF(ISBLANK('Paste Full'!AC100),"",'Paste Full'!AC100)</f>
        <v/>
      </c>
      <c r="T100" s="3" t="str">
        <f>IF(ISBLANK('Paste Full'!AD100),"",'Paste Full'!AD100)</f>
        <v/>
      </c>
      <c r="U100" s="3" t="str">
        <f>IF(ISBLANK('Paste Full'!AE100),"",'Paste Full'!AE100)</f>
        <v/>
      </c>
      <c r="V100" s="3" t="str">
        <f>IF(ISBLANK('Paste Full'!AF100),"",'Paste Full'!AF100)</f>
        <v/>
      </c>
      <c r="W100" s="3" t="str">
        <f>IF(ISBLANK('Paste Full'!AH100),"",'Paste Full'!AH100)</f>
        <v/>
      </c>
      <c r="X100" s="3" t="str">
        <f>IF(ISBLANK('Paste Full'!AI100),"",'Paste Full'!AI100)</f>
        <v/>
      </c>
      <c r="Y100" s="3" t="str">
        <f>IF(ISBLANK('Paste Full'!AK100),"",'Paste Full'!AK100)</f>
        <v/>
      </c>
      <c r="Z100" s="3" t="str">
        <f>IF(ISBLANK('Paste Full'!AL100),"",'Paste Full'!AL100)</f>
        <v/>
      </c>
      <c r="AA100" s="4" t="str">
        <f>IF(ISBLANK('Paste Full'!AM100),"",'Paste Full'!AM100)</f>
        <v/>
      </c>
      <c r="AB100" s="4" t="str">
        <f>IF(ISBLANK('Paste Full'!AN100),"",'Paste Full'!AN100)</f>
        <v/>
      </c>
      <c r="AC100" s="4" t="str">
        <f>IF(ISBLANK('Paste Full'!AO100),"",'Paste Full'!AO100)</f>
        <v/>
      </c>
      <c r="AD100" s="4" t="str">
        <f>IF(ISBLANK('Paste Full'!AP100),"",'Paste Full'!AP100)</f>
        <v/>
      </c>
      <c r="AE100" s="4" t="str">
        <f>IF(ISBLANK('Paste Full'!AQ100),"",'Paste Full'!AQ100)</f>
        <v/>
      </c>
      <c r="AF100" s="4" t="str">
        <f>IF(ISBLANK('Paste Full'!AR100),"",'Paste Full'!AR100)</f>
        <v/>
      </c>
      <c r="AG100" s="4" t="str">
        <f>IF(ISBLANK('Paste Full'!AS100),"",'Paste Full'!AS100)</f>
        <v/>
      </c>
      <c r="AH100" s="4" t="str">
        <f>IF(ISBLANK('Paste Full'!AV100),"",'Paste Full'!AV100)</f>
        <v/>
      </c>
      <c r="AI100" s="4" t="str">
        <f>IF(ISBLANK('Paste Full'!AT100),"",'Paste Full'!AT100)</f>
        <v/>
      </c>
      <c r="AJ100" s="4" t="str">
        <f>IF(ISBLANK('Paste Full'!AU100),"",'Paste Full'!AU100)</f>
        <v/>
      </c>
      <c r="AK100" s="4" t="str">
        <f>IF(ISBLANK('Paste Full'!AW100),"",'Paste Full'!AW100)</f>
        <v/>
      </c>
      <c r="AL100" s="5" t="str">
        <f>IF(ISBLANK('Paste Full'!AX100),"",'Paste Full'!AX100)</f>
        <v/>
      </c>
      <c r="AM100" s="5" t="str">
        <f>IF(ISBLANK('Paste Full'!AY100),"",'Paste Full'!AY100)</f>
        <v/>
      </c>
      <c r="AN100" s="5" t="str">
        <f>IF(ISBLANK('Paste Full'!AZ100),"",'Paste Full'!AZ100)</f>
        <v/>
      </c>
      <c r="AO100" s="5" t="str">
        <f>IF(ISBLANK('Paste Full'!BA100),"",'Paste Full'!BA100)</f>
        <v/>
      </c>
      <c r="AP100" s="5" t="str">
        <f>IF(ISBLANK('Paste Full'!BB100),"",'Paste Full'!BB100)</f>
        <v/>
      </c>
      <c r="AQ100" s="5" t="str">
        <f>IF(ISBLANK('Paste Full'!BC100),"",'Paste Full'!BC100)</f>
        <v/>
      </c>
      <c r="AR100" s="5" t="str">
        <f>IF(ISBLANK('Paste Full'!BD100),"",'Paste Full'!BD100)</f>
        <v/>
      </c>
      <c r="AS100" s="5" t="str">
        <f>IF(ISBLANK('Paste Full'!BE100),"",'Paste Full'!BE100)</f>
        <v/>
      </c>
      <c r="AT100" s="5" t="str">
        <f>IF(ISBLANK('Paste Full'!BF100),"",'Paste Full'!BF100)</f>
        <v/>
      </c>
      <c r="AU100" s="5" t="str">
        <f>IF(ISBLANK('Paste Full'!BG100),"",'Paste Full'!BG100)</f>
        <v/>
      </c>
      <c r="AV100" s="5" t="str">
        <f>IF(ISBLANK('Paste Full'!BH100),"",'Paste Full'!BH100)</f>
        <v/>
      </c>
      <c r="AW100" s="5" t="str">
        <f>IF(ISBLANK('Paste Full'!BI100),"",'Paste Full'!BI100)</f>
        <v/>
      </c>
      <c r="AX100" s="5" t="str">
        <f>IF(ISBLANK('Paste Full'!BJ100),"",'Paste Full'!BJ100)</f>
        <v/>
      </c>
      <c r="AY100" s="5" t="str">
        <f>IF(ISBLANK('Paste Full'!BK100),"",'Paste Full'!BK100)</f>
        <v/>
      </c>
      <c r="AZ100" s="6" t="str">
        <f>IF(ISBLANK('Paste Full'!BM100),"",'Paste Full'!BM100)</f>
        <v/>
      </c>
      <c r="BA100" s="6" t="str">
        <f>IF(ISBLANK('Paste Full'!BN100),"",'Paste Full'!BN100)</f>
        <v/>
      </c>
      <c r="BB100" s="6" t="str">
        <f>IF(ISBLANK('Paste Full'!BO100),"",'Paste Full'!BO100)</f>
        <v/>
      </c>
      <c r="BC100" s="6" t="str">
        <f>IF(ISBLANK('Paste Full'!BP100),"",'Paste Full'!BP100)</f>
        <v/>
      </c>
      <c r="BD100" s="6" t="str">
        <f>IF(ISBLANK('Paste Full'!BR100),"",'Paste Full'!BR100)</f>
        <v/>
      </c>
      <c r="BE100" s="6" t="str">
        <f>IF(ISBLANK('Paste Full'!BS100),"",'Paste Full'!BS100)</f>
        <v/>
      </c>
      <c r="BF100" s="6" t="str">
        <f>IF(ISBLANK('Paste Full'!BU100),"",'Paste Full'!BU100)</f>
        <v/>
      </c>
      <c r="BG100" s="6" t="str">
        <f>IF(ISBLANK('Paste Full'!BV100),"",'Paste Full'!BV100)</f>
        <v/>
      </c>
      <c r="BH100" s="6" t="str">
        <f>IF(ISBLANK('Paste Full'!BX100),"",'Paste Full'!BX100)</f>
        <v/>
      </c>
      <c r="BI100" s="6" t="str">
        <f>IF(ISBLANK('Paste Full'!BY100),"",'Paste Full'!BY100)</f>
        <v/>
      </c>
      <c r="BJ100" s="13" t="str">
        <f>IF(ISBLANK('Paste Full'!BL100),"",'Paste Full'!BL100)</f>
        <v/>
      </c>
      <c r="BK100" s="13" t="str">
        <f>IF(ISBLANK('Paste Full'!BQ100),"",'Paste Full'!BQ100)</f>
        <v/>
      </c>
      <c r="BL100" s="13" t="str">
        <f>IF(ISBLANK('Paste Full'!BT100),"",'Paste Full'!BT100)</f>
        <v/>
      </c>
      <c r="BM100" s="13" t="str">
        <f>IF(ISBLANK('Paste Full'!BW100),"",'Paste Full'!BW100)</f>
        <v/>
      </c>
      <c r="BN100" s="41" t="str">
        <f>IF(ISBLANK('Paste Full'!BZ100),"",'Paste Full'!BZ100)</f>
        <v/>
      </c>
      <c r="BO100" s="41" t="str">
        <f>IF(ISBLANK('Paste Full'!CA100),"",'Paste Full'!CA100)</f>
        <v/>
      </c>
      <c r="BP100" s="41" t="str">
        <f>IF(ISBLANK('Paste Full'!CB100),"",'Paste Full'!CB100)</f>
        <v/>
      </c>
      <c r="BQ100" s="41" t="str">
        <f>IF(ISBLANK('Paste Full'!CC100),"",'Paste Full'!CC100)</f>
        <v/>
      </c>
      <c r="BR100" s="41" t="str">
        <f>IF(ISBLANK('Paste Full'!CD100),"",'Paste Full'!CD100)</f>
        <v/>
      </c>
      <c r="BS100" s="41" t="str">
        <f>IF(ISBLANK('Paste Full'!CE100),"",'Paste Full'!CE100)</f>
        <v/>
      </c>
      <c r="BT100" s="41" t="str">
        <f>IF(ISBLANK('Paste Full'!CF100),"",'Paste Full'!CF100)</f>
        <v/>
      </c>
      <c r="BU100" s="41" t="str">
        <f>IF(ISBLANK('Paste Full'!CG100),"",'Paste Full'!CG100)</f>
        <v/>
      </c>
      <c r="BV100" s="41" t="str">
        <f>IF(ISBLANK('Paste Full'!CH100),"",'Paste Full'!CH100)</f>
        <v/>
      </c>
    </row>
    <row r="101" spans="1:74" x14ac:dyDescent="0.3">
      <c r="BN101" s="41" t="str">
        <f>IF(ISBLANK('Paste Full'!BZ101),"",'Paste Full'!BZ101)</f>
        <v/>
      </c>
      <c r="BO101" s="41" t="str">
        <f>IF(ISBLANK('Paste Full'!CA101),"",'Paste Full'!CA101)</f>
        <v/>
      </c>
      <c r="BP101" s="41" t="str">
        <f>IF(ISBLANK('Paste Full'!CB101),"",'Paste Full'!CB101)</f>
        <v/>
      </c>
      <c r="BQ101" s="41" t="str">
        <f>IF(ISBLANK('Paste Full'!CC101),"",'Paste Full'!CC101)</f>
        <v/>
      </c>
      <c r="BR101" s="41" t="str">
        <f>IF(ISBLANK('Paste Full'!CD101),"",'Paste Full'!CD101)</f>
        <v/>
      </c>
      <c r="BS101" s="41" t="str">
        <f>IF(ISBLANK('Paste Full'!CE101),"",'Paste Full'!CE101)</f>
        <v/>
      </c>
      <c r="BT101" s="41" t="str">
        <f>IF(ISBLANK('Paste Full'!CF101),"",'Paste Full'!CF101)</f>
        <v/>
      </c>
      <c r="BU101" s="41" t="str">
        <f>IF(ISBLANK('Paste Full'!CG101),"",'Paste Full'!CG101)</f>
        <v/>
      </c>
      <c r="BV101" s="41" t="str">
        <f>IF(ISBLANK('Paste Full'!CH101),"",'Paste Full'!CH101)</f>
        <v/>
      </c>
    </row>
    <row r="102" spans="1:74" x14ac:dyDescent="0.3">
      <c r="BN102" s="41" t="str">
        <f>IF(ISBLANK('Paste Full'!BZ102),"",'Paste Full'!BZ102)</f>
        <v/>
      </c>
      <c r="BO102" s="41" t="str">
        <f>IF(ISBLANK('Paste Full'!CA102),"",'Paste Full'!CA102)</f>
        <v/>
      </c>
      <c r="BP102" s="41" t="str">
        <f>IF(ISBLANK('Paste Full'!CB102),"",'Paste Full'!CB102)</f>
        <v/>
      </c>
      <c r="BQ102" s="41" t="str">
        <f>IF(ISBLANK('Paste Full'!CC102),"",'Paste Full'!CC102)</f>
        <v/>
      </c>
      <c r="BR102" s="41" t="str">
        <f>IF(ISBLANK('Paste Full'!CD102),"",'Paste Full'!CD102)</f>
        <v/>
      </c>
      <c r="BS102" s="41" t="str">
        <f>IF(ISBLANK('Paste Full'!CE102),"",'Paste Full'!CE102)</f>
        <v/>
      </c>
      <c r="BT102" s="41" t="str">
        <f>IF(ISBLANK('Paste Full'!CF102),"",'Paste Full'!CF102)</f>
        <v/>
      </c>
      <c r="BU102" s="41" t="str">
        <f>IF(ISBLANK('Paste Full'!CG102),"",'Paste Full'!CG102)</f>
        <v/>
      </c>
      <c r="BV102" s="41" t="str">
        <f>IF(ISBLANK('Paste Full'!CH102),"",'Paste Full'!CH102)</f>
        <v/>
      </c>
    </row>
    <row r="103" spans="1:74" x14ac:dyDescent="0.3">
      <c r="BN103" s="41" t="str">
        <f>IF(ISBLANK('Paste Full'!BZ103),"",'Paste Full'!BZ103)</f>
        <v/>
      </c>
      <c r="BO103" s="41" t="str">
        <f>IF(ISBLANK('Paste Full'!CA103),"",'Paste Full'!CA103)</f>
        <v/>
      </c>
      <c r="BP103" s="41" t="str">
        <f>IF(ISBLANK('Paste Full'!CB103),"",'Paste Full'!CB103)</f>
        <v/>
      </c>
      <c r="BQ103" s="41" t="str">
        <f>IF(ISBLANK('Paste Full'!CC103),"",'Paste Full'!CC103)</f>
        <v/>
      </c>
      <c r="BR103" s="41" t="str">
        <f>IF(ISBLANK('Paste Full'!CD103),"",'Paste Full'!CD103)</f>
        <v/>
      </c>
      <c r="BS103" s="41" t="str">
        <f>IF(ISBLANK('Paste Full'!CE103),"",'Paste Full'!CE103)</f>
        <v/>
      </c>
      <c r="BT103" s="41" t="str">
        <f>IF(ISBLANK('Paste Full'!CF103),"",'Paste Full'!CF103)</f>
        <v/>
      </c>
      <c r="BU103" s="41" t="str">
        <f>IF(ISBLANK('Paste Full'!CG103),"",'Paste Full'!CG103)</f>
        <v/>
      </c>
      <c r="BV103" s="41" t="str">
        <f>IF(ISBLANK('Paste Full'!CH103),"",'Paste Full'!CH103)</f>
        <v/>
      </c>
    </row>
    <row r="104" spans="1:74" x14ac:dyDescent="0.3">
      <c r="BN104" s="41" t="str">
        <f>IF(ISBLANK('Paste Full'!BZ104),"",'Paste Full'!BZ104)</f>
        <v/>
      </c>
      <c r="BO104" s="41" t="str">
        <f>IF(ISBLANK('Paste Full'!CA104),"",'Paste Full'!CA104)</f>
        <v/>
      </c>
      <c r="BP104" s="41" t="str">
        <f>IF(ISBLANK('Paste Full'!CB104),"",'Paste Full'!CB104)</f>
        <v/>
      </c>
      <c r="BQ104" s="41" t="str">
        <f>IF(ISBLANK('Paste Full'!CC104),"",'Paste Full'!CC104)</f>
        <v/>
      </c>
      <c r="BR104" s="41" t="str">
        <f>IF(ISBLANK('Paste Full'!CD104),"",'Paste Full'!CD104)</f>
        <v/>
      </c>
      <c r="BS104" s="41" t="str">
        <f>IF(ISBLANK('Paste Full'!CE104),"",'Paste Full'!CE104)</f>
        <v/>
      </c>
      <c r="BT104" s="41" t="str">
        <f>IF(ISBLANK('Paste Full'!CF104),"",'Paste Full'!CF104)</f>
        <v/>
      </c>
      <c r="BU104" s="41" t="str">
        <f>IF(ISBLANK('Paste Full'!CG104),"",'Paste Full'!CG104)</f>
        <v/>
      </c>
      <c r="BV104" s="41" t="str">
        <f>IF(ISBLANK('Paste Full'!CH104),"",'Paste Full'!CH104)</f>
        <v/>
      </c>
    </row>
    <row r="105" spans="1:74" x14ac:dyDescent="0.3">
      <c r="BN105" s="41" t="str">
        <f>IF(ISBLANK('Paste Full'!BZ105),"",'Paste Full'!BZ105)</f>
        <v/>
      </c>
      <c r="BO105" s="41" t="str">
        <f>IF(ISBLANK('Paste Full'!CA105),"",'Paste Full'!CA105)</f>
        <v/>
      </c>
      <c r="BP105" s="41" t="str">
        <f>IF(ISBLANK('Paste Full'!CB105),"",'Paste Full'!CB105)</f>
        <v/>
      </c>
      <c r="BQ105" s="41" t="str">
        <f>IF(ISBLANK('Paste Full'!CC105),"",'Paste Full'!CC105)</f>
        <v/>
      </c>
      <c r="BR105" s="41" t="str">
        <f>IF(ISBLANK('Paste Full'!CD105),"",'Paste Full'!CD105)</f>
        <v/>
      </c>
      <c r="BS105" s="41" t="str">
        <f>IF(ISBLANK('Paste Full'!CE105),"",'Paste Full'!CE105)</f>
        <v/>
      </c>
      <c r="BT105" s="41" t="str">
        <f>IF(ISBLANK('Paste Full'!CF105),"",'Paste Full'!CF105)</f>
        <v/>
      </c>
      <c r="BU105" s="41" t="str">
        <f>IF(ISBLANK('Paste Full'!CG105),"",'Paste Full'!CG105)</f>
        <v/>
      </c>
      <c r="BV105" s="41" t="str">
        <f>IF(ISBLANK('Paste Full'!CH105),"",'Paste Full'!CH105)</f>
        <v/>
      </c>
    </row>
    <row r="106" spans="1:74" x14ac:dyDescent="0.3">
      <c r="BN106" s="41" t="str">
        <f>IF(ISBLANK('Paste Full'!BZ106),"",'Paste Full'!BZ106)</f>
        <v/>
      </c>
      <c r="BO106" s="41" t="str">
        <f>IF(ISBLANK('Paste Full'!CA106),"",'Paste Full'!CA106)</f>
        <v/>
      </c>
      <c r="BP106" s="41" t="str">
        <f>IF(ISBLANK('Paste Full'!CB106),"",'Paste Full'!CB106)</f>
        <v/>
      </c>
      <c r="BQ106" s="41" t="str">
        <f>IF(ISBLANK('Paste Full'!CC106),"",'Paste Full'!CC106)</f>
        <v/>
      </c>
      <c r="BR106" s="41" t="str">
        <f>IF(ISBLANK('Paste Full'!CD106),"",'Paste Full'!CD106)</f>
        <v/>
      </c>
      <c r="BS106" s="41" t="str">
        <f>IF(ISBLANK('Paste Full'!CE106),"",'Paste Full'!CE106)</f>
        <v/>
      </c>
      <c r="BT106" s="41" t="str">
        <f>IF(ISBLANK('Paste Full'!CF106),"",'Paste Full'!CF106)</f>
        <v/>
      </c>
      <c r="BU106" s="41" t="str">
        <f>IF(ISBLANK('Paste Full'!CG106),"",'Paste Full'!CG106)</f>
        <v/>
      </c>
      <c r="BV106" s="41" t="str">
        <f>IF(ISBLANK('Paste Full'!CH106),"",'Paste Full'!CH106)</f>
        <v/>
      </c>
    </row>
    <row r="107" spans="1:74" x14ac:dyDescent="0.3">
      <c r="BN107" s="41" t="str">
        <f>IF(ISBLANK('Paste Full'!BZ107),"",'Paste Full'!BZ107)</f>
        <v/>
      </c>
      <c r="BO107" s="41" t="str">
        <f>IF(ISBLANK('Paste Full'!CA107),"",'Paste Full'!CA107)</f>
        <v/>
      </c>
      <c r="BP107" s="41" t="str">
        <f>IF(ISBLANK('Paste Full'!CB107),"",'Paste Full'!CB107)</f>
        <v/>
      </c>
      <c r="BQ107" s="41" t="str">
        <f>IF(ISBLANK('Paste Full'!CC107),"",'Paste Full'!CC107)</f>
        <v/>
      </c>
      <c r="BR107" s="41" t="str">
        <f>IF(ISBLANK('Paste Full'!CD107),"",'Paste Full'!CD107)</f>
        <v/>
      </c>
      <c r="BS107" s="41" t="str">
        <f>IF(ISBLANK('Paste Full'!CE107),"",'Paste Full'!CE107)</f>
        <v/>
      </c>
      <c r="BT107" s="41" t="str">
        <f>IF(ISBLANK('Paste Full'!CF107),"",'Paste Full'!CF107)</f>
        <v/>
      </c>
      <c r="BU107" s="41" t="str">
        <f>IF(ISBLANK('Paste Full'!CG107),"",'Paste Full'!CG107)</f>
        <v/>
      </c>
      <c r="BV107" s="41" t="str">
        <f>IF(ISBLANK('Paste Full'!CH107),"",'Paste Full'!CH107)</f>
        <v/>
      </c>
    </row>
    <row r="108" spans="1:74" x14ac:dyDescent="0.3">
      <c r="BN108" s="41" t="str">
        <f>IF(ISBLANK('Paste Full'!BZ108),"",'Paste Full'!BZ108)</f>
        <v/>
      </c>
      <c r="BO108" s="41" t="str">
        <f>IF(ISBLANK('Paste Full'!CA108),"",'Paste Full'!CA108)</f>
        <v/>
      </c>
      <c r="BP108" s="41" t="str">
        <f>IF(ISBLANK('Paste Full'!CB108),"",'Paste Full'!CB108)</f>
        <v/>
      </c>
      <c r="BQ108" s="41" t="str">
        <f>IF(ISBLANK('Paste Full'!CC108),"",'Paste Full'!CC108)</f>
        <v/>
      </c>
      <c r="BR108" s="41" t="str">
        <f>IF(ISBLANK('Paste Full'!CD108),"",'Paste Full'!CD108)</f>
        <v/>
      </c>
      <c r="BS108" s="41" t="str">
        <f>IF(ISBLANK('Paste Full'!CE108),"",'Paste Full'!CE108)</f>
        <v/>
      </c>
      <c r="BT108" s="41" t="str">
        <f>IF(ISBLANK('Paste Full'!CF108),"",'Paste Full'!CF108)</f>
        <v/>
      </c>
      <c r="BU108" s="41" t="str">
        <f>IF(ISBLANK('Paste Full'!CG108),"",'Paste Full'!CG108)</f>
        <v/>
      </c>
      <c r="BV108" s="41" t="str">
        <f>IF(ISBLANK('Paste Full'!CH108),"",'Paste Full'!CH108)</f>
        <v/>
      </c>
    </row>
    <row r="109" spans="1:74" x14ac:dyDescent="0.3">
      <c r="BN109" s="41" t="str">
        <f>IF(ISBLANK('Paste Full'!BZ109),"",'Paste Full'!BZ109)</f>
        <v/>
      </c>
      <c r="BO109" s="41" t="str">
        <f>IF(ISBLANK('Paste Full'!CA109),"",'Paste Full'!CA109)</f>
        <v/>
      </c>
      <c r="BP109" s="41" t="str">
        <f>IF(ISBLANK('Paste Full'!CB109),"",'Paste Full'!CB109)</f>
        <v/>
      </c>
      <c r="BQ109" s="41" t="str">
        <f>IF(ISBLANK('Paste Full'!CC109),"",'Paste Full'!CC109)</f>
        <v/>
      </c>
      <c r="BR109" s="41" t="str">
        <f>IF(ISBLANK('Paste Full'!CD109),"",'Paste Full'!CD109)</f>
        <v/>
      </c>
      <c r="BS109" s="41" t="str">
        <f>IF(ISBLANK('Paste Full'!CE109),"",'Paste Full'!CE109)</f>
        <v/>
      </c>
      <c r="BT109" s="41" t="str">
        <f>IF(ISBLANK('Paste Full'!CF109),"",'Paste Full'!CF109)</f>
        <v/>
      </c>
      <c r="BU109" s="41" t="str">
        <f>IF(ISBLANK('Paste Full'!CG109),"",'Paste Full'!CG109)</f>
        <v/>
      </c>
      <c r="BV109" s="41" t="str">
        <f>IF(ISBLANK('Paste Full'!CH109),"",'Paste Full'!CH109)</f>
        <v/>
      </c>
    </row>
    <row r="110" spans="1:74" x14ac:dyDescent="0.3">
      <c r="BN110" s="41" t="str">
        <f>IF(ISBLANK('Paste Full'!BZ110),"",'Paste Full'!BZ110)</f>
        <v/>
      </c>
      <c r="BO110" s="41" t="str">
        <f>IF(ISBLANK('Paste Full'!CA110),"",'Paste Full'!CA110)</f>
        <v/>
      </c>
      <c r="BP110" s="41" t="str">
        <f>IF(ISBLANK('Paste Full'!CB110),"",'Paste Full'!CB110)</f>
        <v/>
      </c>
      <c r="BQ110" s="41" t="str">
        <f>IF(ISBLANK('Paste Full'!CC110),"",'Paste Full'!CC110)</f>
        <v/>
      </c>
      <c r="BR110" s="41" t="str">
        <f>IF(ISBLANK('Paste Full'!CD110),"",'Paste Full'!CD110)</f>
        <v/>
      </c>
      <c r="BS110" s="41" t="str">
        <f>IF(ISBLANK('Paste Full'!CE110),"",'Paste Full'!CE110)</f>
        <v/>
      </c>
      <c r="BT110" s="41" t="str">
        <f>IF(ISBLANK('Paste Full'!CF110),"",'Paste Full'!CF110)</f>
        <v/>
      </c>
      <c r="BU110" s="41" t="str">
        <f>IF(ISBLANK('Paste Full'!CG110),"",'Paste Full'!CG110)</f>
        <v/>
      </c>
      <c r="BV110" s="41" t="str">
        <f>IF(ISBLANK('Paste Full'!CH110),"",'Paste Full'!CH110)</f>
        <v/>
      </c>
    </row>
    <row r="111" spans="1:74" x14ac:dyDescent="0.3">
      <c r="BN111" s="41" t="str">
        <f>IF(ISBLANK('Paste Full'!BZ111),"",'Paste Full'!BZ111)</f>
        <v/>
      </c>
      <c r="BO111" s="41" t="str">
        <f>IF(ISBLANK('Paste Full'!CA111),"",'Paste Full'!CA111)</f>
        <v/>
      </c>
      <c r="BP111" s="41" t="str">
        <f>IF(ISBLANK('Paste Full'!CB111),"",'Paste Full'!CB111)</f>
        <v/>
      </c>
      <c r="BQ111" s="41" t="str">
        <f>IF(ISBLANK('Paste Full'!CC111),"",'Paste Full'!CC111)</f>
        <v/>
      </c>
      <c r="BR111" s="41" t="str">
        <f>IF(ISBLANK('Paste Full'!CD111),"",'Paste Full'!CD111)</f>
        <v/>
      </c>
      <c r="BS111" s="41" t="str">
        <f>IF(ISBLANK('Paste Full'!CE111),"",'Paste Full'!CE111)</f>
        <v/>
      </c>
      <c r="BT111" s="41" t="str">
        <f>IF(ISBLANK('Paste Full'!CF111),"",'Paste Full'!CF111)</f>
        <v/>
      </c>
      <c r="BU111" s="41" t="str">
        <f>IF(ISBLANK('Paste Full'!CG111),"",'Paste Full'!CG111)</f>
        <v/>
      </c>
      <c r="BV111" s="41" t="str">
        <f>IF(ISBLANK('Paste Full'!CH111),"",'Paste Full'!CH111)</f>
        <v/>
      </c>
    </row>
    <row r="112" spans="1:74" x14ac:dyDescent="0.3">
      <c r="BN112" s="41" t="str">
        <f>IF(ISBLANK('Paste Full'!BZ112),"",'Paste Full'!BZ112)</f>
        <v/>
      </c>
      <c r="BO112" s="41" t="str">
        <f>IF(ISBLANK('Paste Full'!CA112),"",'Paste Full'!CA112)</f>
        <v/>
      </c>
      <c r="BP112" s="41" t="str">
        <f>IF(ISBLANK('Paste Full'!CB112),"",'Paste Full'!CB112)</f>
        <v/>
      </c>
      <c r="BQ112" s="41" t="str">
        <f>IF(ISBLANK('Paste Full'!CC112),"",'Paste Full'!CC112)</f>
        <v/>
      </c>
      <c r="BR112" s="41" t="str">
        <f>IF(ISBLANK('Paste Full'!CD112),"",'Paste Full'!CD112)</f>
        <v/>
      </c>
      <c r="BS112" s="41" t="str">
        <f>IF(ISBLANK('Paste Full'!CE112),"",'Paste Full'!CE112)</f>
        <v/>
      </c>
      <c r="BT112" s="41" t="str">
        <f>IF(ISBLANK('Paste Full'!CF112),"",'Paste Full'!CF112)</f>
        <v/>
      </c>
      <c r="BU112" s="41" t="str">
        <f>IF(ISBLANK('Paste Full'!CG112),"",'Paste Full'!CG112)</f>
        <v/>
      </c>
      <c r="BV112" s="41" t="str">
        <f>IF(ISBLANK('Paste Full'!CH112),"",'Paste Full'!CH112)</f>
        <v/>
      </c>
    </row>
    <row r="113" spans="66:74" x14ac:dyDescent="0.3">
      <c r="BN113" s="41" t="str">
        <f>IF(ISBLANK('Paste Full'!BZ113),"",'Paste Full'!BZ113)</f>
        <v/>
      </c>
      <c r="BO113" s="41" t="str">
        <f>IF(ISBLANK('Paste Full'!CA113),"",'Paste Full'!CA113)</f>
        <v/>
      </c>
      <c r="BP113" s="41" t="str">
        <f>IF(ISBLANK('Paste Full'!CB113),"",'Paste Full'!CB113)</f>
        <v/>
      </c>
      <c r="BQ113" s="41" t="str">
        <f>IF(ISBLANK('Paste Full'!CC113),"",'Paste Full'!CC113)</f>
        <v/>
      </c>
      <c r="BR113" s="41" t="str">
        <f>IF(ISBLANK('Paste Full'!CD113),"",'Paste Full'!CD113)</f>
        <v/>
      </c>
      <c r="BS113" s="41" t="str">
        <f>IF(ISBLANK('Paste Full'!CE113),"",'Paste Full'!CE113)</f>
        <v/>
      </c>
      <c r="BT113" s="41" t="str">
        <f>IF(ISBLANK('Paste Full'!CF113),"",'Paste Full'!CF113)</f>
        <v/>
      </c>
      <c r="BU113" s="41" t="str">
        <f>IF(ISBLANK('Paste Full'!CG113),"",'Paste Full'!CG113)</f>
        <v/>
      </c>
      <c r="BV113" s="41" t="str">
        <f>IF(ISBLANK('Paste Full'!CH113),"",'Paste Full'!CH113)</f>
        <v/>
      </c>
    </row>
    <row r="114" spans="66:74" x14ac:dyDescent="0.3">
      <c r="BN114" s="41" t="str">
        <f>IF(ISBLANK('Paste Full'!BZ114),"",'Paste Full'!BZ114)</f>
        <v/>
      </c>
      <c r="BO114" s="41" t="str">
        <f>IF(ISBLANK('Paste Full'!CA114),"",'Paste Full'!CA114)</f>
        <v/>
      </c>
      <c r="BP114" s="41" t="str">
        <f>IF(ISBLANK('Paste Full'!CB114),"",'Paste Full'!CB114)</f>
        <v/>
      </c>
      <c r="BQ114" s="41" t="str">
        <f>IF(ISBLANK('Paste Full'!CC114),"",'Paste Full'!CC114)</f>
        <v/>
      </c>
      <c r="BR114" s="41" t="str">
        <f>IF(ISBLANK('Paste Full'!CD114),"",'Paste Full'!CD114)</f>
        <v/>
      </c>
      <c r="BS114" s="41" t="str">
        <f>IF(ISBLANK('Paste Full'!CE114),"",'Paste Full'!CE114)</f>
        <v/>
      </c>
      <c r="BT114" s="41" t="str">
        <f>IF(ISBLANK('Paste Full'!CF114),"",'Paste Full'!CF114)</f>
        <v/>
      </c>
      <c r="BU114" s="41" t="str">
        <f>IF(ISBLANK('Paste Full'!CG114),"",'Paste Full'!CG114)</f>
        <v/>
      </c>
      <c r="BV114" s="41" t="str">
        <f>IF(ISBLANK('Paste Full'!CH114),"",'Paste Full'!CH114)</f>
        <v/>
      </c>
    </row>
    <row r="115" spans="66:74" x14ac:dyDescent="0.3">
      <c r="BN115" s="41" t="str">
        <f>IF(ISBLANK('Paste Full'!BZ115),"",'Paste Full'!BZ115)</f>
        <v/>
      </c>
      <c r="BO115" s="41" t="str">
        <f>IF(ISBLANK('Paste Full'!CA115),"",'Paste Full'!CA115)</f>
        <v/>
      </c>
      <c r="BP115" s="41" t="str">
        <f>IF(ISBLANK('Paste Full'!CB115),"",'Paste Full'!CB115)</f>
        <v/>
      </c>
      <c r="BQ115" s="41" t="str">
        <f>IF(ISBLANK('Paste Full'!CC115),"",'Paste Full'!CC115)</f>
        <v/>
      </c>
      <c r="BR115" s="41" t="str">
        <f>IF(ISBLANK('Paste Full'!CD115),"",'Paste Full'!CD115)</f>
        <v/>
      </c>
      <c r="BS115" s="41" t="str">
        <f>IF(ISBLANK('Paste Full'!CE115),"",'Paste Full'!CE115)</f>
        <v/>
      </c>
      <c r="BT115" s="41" t="str">
        <f>IF(ISBLANK('Paste Full'!CF115),"",'Paste Full'!CF115)</f>
        <v/>
      </c>
      <c r="BU115" s="41" t="str">
        <f>IF(ISBLANK('Paste Full'!CG115),"",'Paste Full'!CG115)</f>
        <v/>
      </c>
      <c r="BV115" s="41" t="str">
        <f>IF(ISBLANK('Paste Full'!CH115),"",'Paste Full'!CH115)</f>
        <v/>
      </c>
    </row>
    <row r="116" spans="66:74" x14ac:dyDescent="0.3">
      <c r="BN116" s="41" t="str">
        <f>IF(ISBLANK('Paste Full'!BZ116),"",'Paste Full'!BZ116)</f>
        <v/>
      </c>
      <c r="BO116" s="41" t="str">
        <f>IF(ISBLANK('Paste Full'!CA116),"",'Paste Full'!CA116)</f>
        <v/>
      </c>
      <c r="BP116" s="41" t="str">
        <f>IF(ISBLANK('Paste Full'!CB116),"",'Paste Full'!CB116)</f>
        <v/>
      </c>
      <c r="BQ116" s="41" t="str">
        <f>IF(ISBLANK('Paste Full'!CC116),"",'Paste Full'!CC116)</f>
        <v/>
      </c>
      <c r="BR116" s="41" t="str">
        <f>IF(ISBLANK('Paste Full'!CD116),"",'Paste Full'!CD116)</f>
        <v/>
      </c>
      <c r="BS116" s="41" t="str">
        <f>IF(ISBLANK('Paste Full'!CE116),"",'Paste Full'!CE116)</f>
        <v/>
      </c>
      <c r="BT116" s="41" t="str">
        <f>IF(ISBLANK('Paste Full'!CF116),"",'Paste Full'!CF116)</f>
        <v/>
      </c>
      <c r="BU116" s="41" t="str">
        <f>IF(ISBLANK('Paste Full'!CG116),"",'Paste Full'!CG116)</f>
        <v/>
      </c>
      <c r="BV116" s="41" t="str">
        <f>IF(ISBLANK('Paste Full'!CH116),"",'Paste Full'!CH116)</f>
        <v/>
      </c>
    </row>
    <row r="117" spans="66:74" x14ac:dyDescent="0.3">
      <c r="BN117" s="41" t="str">
        <f>IF(ISBLANK('Paste Full'!BZ117),"",'Paste Full'!BZ117)</f>
        <v/>
      </c>
      <c r="BO117" s="41" t="str">
        <f>IF(ISBLANK('Paste Full'!CA117),"",'Paste Full'!CA117)</f>
        <v/>
      </c>
      <c r="BP117" s="41" t="str">
        <f>IF(ISBLANK('Paste Full'!CB117),"",'Paste Full'!CB117)</f>
        <v/>
      </c>
      <c r="BQ117" s="41" t="str">
        <f>IF(ISBLANK('Paste Full'!CC117),"",'Paste Full'!CC117)</f>
        <v/>
      </c>
      <c r="BR117" s="41" t="str">
        <f>IF(ISBLANK('Paste Full'!CD117),"",'Paste Full'!CD117)</f>
        <v/>
      </c>
      <c r="BS117" s="41" t="str">
        <f>IF(ISBLANK('Paste Full'!CE117),"",'Paste Full'!CE117)</f>
        <v/>
      </c>
      <c r="BT117" s="41" t="str">
        <f>IF(ISBLANK('Paste Full'!CF117),"",'Paste Full'!CF117)</f>
        <v/>
      </c>
      <c r="BU117" s="41" t="str">
        <f>IF(ISBLANK('Paste Full'!CG117),"",'Paste Full'!CG117)</f>
        <v/>
      </c>
      <c r="BV117" s="41" t="str">
        <f>IF(ISBLANK('Paste Full'!CH117),"",'Paste Full'!CH117)</f>
        <v/>
      </c>
    </row>
    <row r="118" spans="66:74" x14ac:dyDescent="0.3">
      <c r="BN118" s="41" t="str">
        <f>IF(ISBLANK('Paste Full'!BZ118),"",'Paste Full'!BZ118)</f>
        <v/>
      </c>
      <c r="BO118" s="41" t="str">
        <f>IF(ISBLANK('Paste Full'!CA118),"",'Paste Full'!CA118)</f>
        <v/>
      </c>
      <c r="BP118" s="41" t="str">
        <f>IF(ISBLANK('Paste Full'!CB118),"",'Paste Full'!CB118)</f>
        <v/>
      </c>
      <c r="BQ118" s="41" t="str">
        <f>IF(ISBLANK('Paste Full'!CC118),"",'Paste Full'!CC118)</f>
        <v/>
      </c>
      <c r="BR118" s="41" t="str">
        <f>IF(ISBLANK('Paste Full'!CD118),"",'Paste Full'!CD118)</f>
        <v/>
      </c>
      <c r="BS118" s="41" t="str">
        <f>IF(ISBLANK('Paste Full'!CE118),"",'Paste Full'!CE118)</f>
        <v/>
      </c>
      <c r="BT118" s="41" t="str">
        <f>IF(ISBLANK('Paste Full'!CF118),"",'Paste Full'!CF118)</f>
        <v/>
      </c>
      <c r="BU118" s="41" t="str">
        <f>IF(ISBLANK('Paste Full'!CG118),"",'Paste Full'!CG118)</f>
        <v/>
      </c>
      <c r="BV118" s="41" t="str">
        <f>IF(ISBLANK('Paste Full'!CH118),"",'Paste Full'!CH118)</f>
        <v/>
      </c>
    </row>
    <row r="119" spans="66:74" x14ac:dyDescent="0.3">
      <c r="BN119" s="41" t="str">
        <f>IF(ISBLANK('Paste Full'!BZ119),"",'Paste Full'!BZ119)</f>
        <v/>
      </c>
      <c r="BO119" s="41" t="str">
        <f>IF(ISBLANK('Paste Full'!CA119),"",'Paste Full'!CA119)</f>
        <v/>
      </c>
      <c r="BP119" s="41" t="str">
        <f>IF(ISBLANK('Paste Full'!CB119),"",'Paste Full'!CB119)</f>
        <v/>
      </c>
      <c r="BQ119" s="41" t="str">
        <f>IF(ISBLANK('Paste Full'!CC119),"",'Paste Full'!CC119)</f>
        <v/>
      </c>
      <c r="BR119" s="41" t="str">
        <f>IF(ISBLANK('Paste Full'!CD119),"",'Paste Full'!CD119)</f>
        <v/>
      </c>
      <c r="BS119" s="41" t="str">
        <f>IF(ISBLANK('Paste Full'!CE119),"",'Paste Full'!CE119)</f>
        <v/>
      </c>
      <c r="BT119" s="41" t="str">
        <f>IF(ISBLANK('Paste Full'!CF119),"",'Paste Full'!CF119)</f>
        <v/>
      </c>
      <c r="BU119" s="41" t="str">
        <f>IF(ISBLANK('Paste Full'!CG119),"",'Paste Full'!CG119)</f>
        <v/>
      </c>
      <c r="BV119" s="41" t="str">
        <f>IF(ISBLANK('Paste Full'!CH119),"",'Paste Full'!CH119)</f>
        <v/>
      </c>
    </row>
    <row r="120" spans="66:74" x14ac:dyDescent="0.3">
      <c r="BN120" s="41" t="str">
        <f>IF(ISBLANK('Paste Full'!BZ120),"",'Paste Full'!BZ120)</f>
        <v/>
      </c>
      <c r="BO120" s="41" t="str">
        <f>IF(ISBLANK('Paste Full'!CA120),"",'Paste Full'!CA120)</f>
        <v/>
      </c>
      <c r="BP120" s="41" t="str">
        <f>IF(ISBLANK('Paste Full'!CB120),"",'Paste Full'!CB120)</f>
        <v/>
      </c>
      <c r="BQ120" s="41" t="str">
        <f>IF(ISBLANK('Paste Full'!CC120),"",'Paste Full'!CC120)</f>
        <v/>
      </c>
      <c r="BR120" s="41" t="str">
        <f>IF(ISBLANK('Paste Full'!CD120),"",'Paste Full'!CD120)</f>
        <v/>
      </c>
      <c r="BS120" s="41" t="str">
        <f>IF(ISBLANK('Paste Full'!CE120),"",'Paste Full'!CE120)</f>
        <v/>
      </c>
      <c r="BT120" s="41" t="str">
        <f>IF(ISBLANK('Paste Full'!CF120),"",'Paste Full'!CF120)</f>
        <v/>
      </c>
      <c r="BU120" s="41" t="str">
        <f>IF(ISBLANK('Paste Full'!CG120),"",'Paste Full'!CG120)</f>
        <v/>
      </c>
      <c r="BV120" s="41" t="str">
        <f>IF(ISBLANK('Paste Full'!CH120),"",'Paste Full'!CH120)</f>
        <v/>
      </c>
    </row>
    <row r="121" spans="66:74" x14ac:dyDescent="0.3">
      <c r="BN121" s="41" t="str">
        <f>IF(ISBLANK('Paste Full'!BZ121),"",'Paste Full'!BZ121)</f>
        <v/>
      </c>
      <c r="BO121" s="41" t="str">
        <f>IF(ISBLANK('Paste Full'!CA121),"",'Paste Full'!CA121)</f>
        <v/>
      </c>
      <c r="BP121" s="41" t="str">
        <f>IF(ISBLANK('Paste Full'!CB121),"",'Paste Full'!CB121)</f>
        <v/>
      </c>
      <c r="BQ121" s="41" t="str">
        <f>IF(ISBLANK('Paste Full'!CC121),"",'Paste Full'!CC121)</f>
        <v/>
      </c>
      <c r="BR121" s="41" t="str">
        <f>IF(ISBLANK('Paste Full'!CD121),"",'Paste Full'!CD121)</f>
        <v/>
      </c>
      <c r="BS121" s="41" t="str">
        <f>IF(ISBLANK('Paste Full'!CE121),"",'Paste Full'!CE121)</f>
        <v/>
      </c>
      <c r="BT121" s="41" t="str">
        <f>IF(ISBLANK('Paste Full'!CF121),"",'Paste Full'!CF121)</f>
        <v/>
      </c>
      <c r="BU121" s="41" t="str">
        <f>IF(ISBLANK('Paste Full'!CG121),"",'Paste Full'!CG121)</f>
        <v/>
      </c>
      <c r="BV121" s="41" t="str">
        <f>IF(ISBLANK('Paste Full'!CH121),"",'Paste Full'!CH121)</f>
        <v/>
      </c>
    </row>
    <row r="122" spans="66:74" x14ac:dyDescent="0.3">
      <c r="BN122" s="41" t="str">
        <f>IF(ISBLANK('Paste Full'!BZ122),"",'Paste Full'!BZ122)</f>
        <v/>
      </c>
      <c r="BO122" s="41" t="str">
        <f>IF(ISBLANK('Paste Full'!CA122),"",'Paste Full'!CA122)</f>
        <v/>
      </c>
      <c r="BP122" s="41" t="str">
        <f>IF(ISBLANK('Paste Full'!CB122),"",'Paste Full'!CB122)</f>
        <v/>
      </c>
      <c r="BQ122" s="41" t="str">
        <f>IF(ISBLANK('Paste Full'!CC122),"",'Paste Full'!CC122)</f>
        <v/>
      </c>
      <c r="BR122" s="41" t="str">
        <f>IF(ISBLANK('Paste Full'!CD122),"",'Paste Full'!CD122)</f>
        <v/>
      </c>
      <c r="BS122" s="41" t="str">
        <f>IF(ISBLANK('Paste Full'!CE122),"",'Paste Full'!CE122)</f>
        <v/>
      </c>
      <c r="BT122" s="41" t="str">
        <f>IF(ISBLANK('Paste Full'!CF122),"",'Paste Full'!CF122)</f>
        <v/>
      </c>
      <c r="BU122" s="41" t="str">
        <f>IF(ISBLANK('Paste Full'!CG122),"",'Paste Full'!CG122)</f>
        <v/>
      </c>
      <c r="BV122" s="41" t="str">
        <f>IF(ISBLANK('Paste Full'!CH122),"",'Paste Full'!CH122)</f>
        <v/>
      </c>
    </row>
    <row r="123" spans="66:74" x14ac:dyDescent="0.3">
      <c r="BN123" s="41" t="str">
        <f>IF(ISBLANK('Paste Full'!BZ123),"",'Paste Full'!BZ123)</f>
        <v/>
      </c>
      <c r="BO123" s="41" t="str">
        <f>IF(ISBLANK('Paste Full'!CA123),"",'Paste Full'!CA123)</f>
        <v/>
      </c>
      <c r="BP123" s="41" t="str">
        <f>IF(ISBLANK('Paste Full'!CB123),"",'Paste Full'!CB123)</f>
        <v/>
      </c>
      <c r="BQ123" s="41" t="str">
        <f>IF(ISBLANK('Paste Full'!CC123),"",'Paste Full'!CC123)</f>
        <v/>
      </c>
      <c r="BR123" s="41" t="str">
        <f>IF(ISBLANK('Paste Full'!CD123),"",'Paste Full'!CD123)</f>
        <v/>
      </c>
      <c r="BS123" s="41" t="str">
        <f>IF(ISBLANK('Paste Full'!CE123),"",'Paste Full'!CE123)</f>
        <v/>
      </c>
      <c r="BT123" s="41" t="str">
        <f>IF(ISBLANK('Paste Full'!CF123),"",'Paste Full'!CF123)</f>
        <v/>
      </c>
      <c r="BU123" s="41" t="str">
        <f>IF(ISBLANK('Paste Full'!CG123),"",'Paste Full'!CG123)</f>
        <v/>
      </c>
      <c r="BV123" s="41" t="str">
        <f>IF(ISBLANK('Paste Full'!CH123),"",'Paste Full'!CH123)</f>
        <v/>
      </c>
    </row>
    <row r="124" spans="66:74" x14ac:dyDescent="0.3">
      <c r="BN124" s="41" t="str">
        <f>IF(ISBLANK('Paste Full'!BZ124),"",'Paste Full'!BZ124)</f>
        <v/>
      </c>
      <c r="BO124" s="41" t="str">
        <f>IF(ISBLANK('Paste Full'!CA124),"",'Paste Full'!CA124)</f>
        <v/>
      </c>
      <c r="BP124" s="41" t="str">
        <f>IF(ISBLANK('Paste Full'!CB124),"",'Paste Full'!CB124)</f>
        <v/>
      </c>
      <c r="BQ124" s="41" t="str">
        <f>IF(ISBLANK('Paste Full'!CC124),"",'Paste Full'!CC124)</f>
        <v/>
      </c>
      <c r="BR124" s="41" t="str">
        <f>IF(ISBLANK('Paste Full'!CD124),"",'Paste Full'!CD124)</f>
        <v/>
      </c>
      <c r="BS124" s="41" t="str">
        <f>IF(ISBLANK('Paste Full'!CE124),"",'Paste Full'!CE124)</f>
        <v/>
      </c>
      <c r="BT124" s="41" t="str">
        <f>IF(ISBLANK('Paste Full'!CF124),"",'Paste Full'!CF124)</f>
        <v/>
      </c>
      <c r="BU124" s="41" t="str">
        <f>IF(ISBLANK('Paste Full'!CG124),"",'Paste Full'!CG124)</f>
        <v/>
      </c>
      <c r="BV124" s="41" t="str">
        <f>IF(ISBLANK('Paste Full'!CH124),"",'Paste Full'!CH124)</f>
        <v/>
      </c>
    </row>
    <row r="125" spans="66:74" x14ac:dyDescent="0.3">
      <c r="BN125" s="41" t="str">
        <f>IF(ISBLANK('Paste Full'!BZ125),"",'Paste Full'!BZ125)</f>
        <v/>
      </c>
      <c r="BO125" s="41" t="str">
        <f>IF(ISBLANK('Paste Full'!CA125),"",'Paste Full'!CA125)</f>
        <v/>
      </c>
      <c r="BP125" s="41" t="str">
        <f>IF(ISBLANK('Paste Full'!CB125),"",'Paste Full'!CB125)</f>
        <v/>
      </c>
      <c r="BQ125" s="41" t="str">
        <f>IF(ISBLANK('Paste Full'!CC125),"",'Paste Full'!CC125)</f>
        <v/>
      </c>
      <c r="BR125" s="41" t="str">
        <f>IF(ISBLANK('Paste Full'!CD125),"",'Paste Full'!CD125)</f>
        <v/>
      </c>
      <c r="BS125" s="41" t="str">
        <f>IF(ISBLANK('Paste Full'!CE125),"",'Paste Full'!CE125)</f>
        <v/>
      </c>
      <c r="BT125" s="41" t="str">
        <f>IF(ISBLANK('Paste Full'!CF125),"",'Paste Full'!CF125)</f>
        <v/>
      </c>
      <c r="BU125" s="41" t="str">
        <f>IF(ISBLANK('Paste Full'!CG125),"",'Paste Full'!CG125)</f>
        <v/>
      </c>
      <c r="BV125" s="41" t="str">
        <f>IF(ISBLANK('Paste Full'!CH125),"",'Paste Full'!CH125)</f>
        <v/>
      </c>
    </row>
    <row r="126" spans="66:74" x14ac:dyDescent="0.3">
      <c r="BN126" s="41" t="str">
        <f>IF(ISBLANK('Paste Full'!BZ126),"",'Paste Full'!BZ126)</f>
        <v/>
      </c>
      <c r="BO126" s="41" t="str">
        <f>IF(ISBLANK('Paste Full'!CA126),"",'Paste Full'!CA126)</f>
        <v/>
      </c>
      <c r="BP126" s="41" t="str">
        <f>IF(ISBLANK('Paste Full'!CB126),"",'Paste Full'!CB126)</f>
        <v/>
      </c>
      <c r="BQ126" s="41" t="str">
        <f>IF(ISBLANK('Paste Full'!CC126),"",'Paste Full'!CC126)</f>
        <v/>
      </c>
      <c r="BR126" s="41" t="str">
        <f>IF(ISBLANK('Paste Full'!CD126),"",'Paste Full'!CD126)</f>
        <v/>
      </c>
      <c r="BS126" s="41" t="str">
        <f>IF(ISBLANK('Paste Full'!CE126),"",'Paste Full'!CE126)</f>
        <v/>
      </c>
      <c r="BT126" s="41" t="str">
        <f>IF(ISBLANK('Paste Full'!CF126),"",'Paste Full'!CF126)</f>
        <v/>
      </c>
      <c r="BU126" s="41" t="str">
        <f>IF(ISBLANK('Paste Full'!CG126),"",'Paste Full'!CG126)</f>
        <v/>
      </c>
      <c r="BV126" s="41" t="str">
        <f>IF(ISBLANK('Paste Full'!CH126),"",'Paste Full'!CH126)</f>
        <v/>
      </c>
    </row>
    <row r="127" spans="66:74" x14ac:dyDescent="0.3">
      <c r="BN127" s="41" t="str">
        <f>IF(ISBLANK('Paste Full'!BZ127),"",'Paste Full'!BZ127)</f>
        <v/>
      </c>
      <c r="BO127" s="41" t="str">
        <f>IF(ISBLANK('Paste Full'!CA127),"",'Paste Full'!CA127)</f>
        <v/>
      </c>
      <c r="BP127" s="41" t="str">
        <f>IF(ISBLANK('Paste Full'!CB127),"",'Paste Full'!CB127)</f>
        <v/>
      </c>
      <c r="BQ127" s="41" t="str">
        <f>IF(ISBLANK('Paste Full'!CC127),"",'Paste Full'!CC127)</f>
        <v/>
      </c>
      <c r="BR127" s="41" t="str">
        <f>IF(ISBLANK('Paste Full'!CD127),"",'Paste Full'!CD127)</f>
        <v/>
      </c>
      <c r="BS127" s="41" t="str">
        <f>IF(ISBLANK('Paste Full'!CE127),"",'Paste Full'!CE127)</f>
        <v/>
      </c>
      <c r="BT127" s="41" t="str">
        <f>IF(ISBLANK('Paste Full'!CF127),"",'Paste Full'!CF127)</f>
        <v/>
      </c>
      <c r="BU127" s="41" t="str">
        <f>IF(ISBLANK('Paste Full'!CG127),"",'Paste Full'!CG127)</f>
        <v/>
      </c>
      <c r="BV127" s="41" t="str">
        <f>IF(ISBLANK('Paste Full'!CH127),"",'Paste Full'!CH127)</f>
        <v/>
      </c>
    </row>
    <row r="128" spans="66:74" x14ac:dyDescent="0.3">
      <c r="BN128" s="41" t="str">
        <f>IF(ISBLANK('Paste Full'!BZ128),"",'Paste Full'!BZ128)</f>
        <v/>
      </c>
      <c r="BO128" s="41" t="str">
        <f>IF(ISBLANK('Paste Full'!CA128),"",'Paste Full'!CA128)</f>
        <v/>
      </c>
      <c r="BP128" s="41" t="str">
        <f>IF(ISBLANK('Paste Full'!CB128),"",'Paste Full'!CB128)</f>
        <v/>
      </c>
      <c r="BQ128" s="41" t="str">
        <f>IF(ISBLANK('Paste Full'!CC128),"",'Paste Full'!CC128)</f>
        <v/>
      </c>
      <c r="BR128" s="41" t="str">
        <f>IF(ISBLANK('Paste Full'!CD128),"",'Paste Full'!CD128)</f>
        <v/>
      </c>
      <c r="BS128" s="41" t="str">
        <f>IF(ISBLANK('Paste Full'!CE128),"",'Paste Full'!CE128)</f>
        <v/>
      </c>
      <c r="BT128" s="41" t="str">
        <f>IF(ISBLANK('Paste Full'!CF128),"",'Paste Full'!CF128)</f>
        <v/>
      </c>
      <c r="BU128" s="41" t="str">
        <f>IF(ISBLANK('Paste Full'!CG128),"",'Paste Full'!CG128)</f>
        <v/>
      </c>
      <c r="BV128" s="41" t="str">
        <f>IF(ISBLANK('Paste Full'!CH128),"",'Paste Full'!CH128)</f>
        <v/>
      </c>
    </row>
    <row r="129" spans="66:74" x14ac:dyDescent="0.3">
      <c r="BN129" s="41" t="str">
        <f>IF(ISBLANK('Paste Full'!BZ129),"",'Paste Full'!BZ129)</f>
        <v/>
      </c>
      <c r="BO129" s="41" t="str">
        <f>IF(ISBLANK('Paste Full'!CA129),"",'Paste Full'!CA129)</f>
        <v/>
      </c>
      <c r="BP129" s="41" t="str">
        <f>IF(ISBLANK('Paste Full'!CB129),"",'Paste Full'!CB129)</f>
        <v/>
      </c>
      <c r="BQ129" s="41" t="str">
        <f>IF(ISBLANK('Paste Full'!CC129),"",'Paste Full'!CC129)</f>
        <v/>
      </c>
      <c r="BR129" s="41" t="str">
        <f>IF(ISBLANK('Paste Full'!CD129),"",'Paste Full'!CD129)</f>
        <v/>
      </c>
      <c r="BS129" s="41" t="str">
        <f>IF(ISBLANK('Paste Full'!CE129),"",'Paste Full'!CE129)</f>
        <v/>
      </c>
      <c r="BT129" s="41" t="str">
        <f>IF(ISBLANK('Paste Full'!CF129),"",'Paste Full'!CF129)</f>
        <v/>
      </c>
      <c r="BU129" s="41" t="str">
        <f>IF(ISBLANK('Paste Full'!CG129),"",'Paste Full'!CG129)</f>
        <v/>
      </c>
      <c r="BV129" s="41" t="str">
        <f>IF(ISBLANK('Paste Full'!CH129),"",'Paste Full'!CH129)</f>
        <v/>
      </c>
    </row>
    <row r="130" spans="66:74" x14ac:dyDescent="0.3">
      <c r="BN130" s="41" t="str">
        <f>IF(ISBLANK('Paste Full'!BZ130),"",'Paste Full'!BZ130)</f>
        <v/>
      </c>
      <c r="BO130" s="41" t="str">
        <f>IF(ISBLANK('Paste Full'!CA130),"",'Paste Full'!CA130)</f>
        <v/>
      </c>
      <c r="BP130" s="41" t="str">
        <f>IF(ISBLANK('Paste Full'!CB130),"",'Paste Full'!CB130)</f>
        <v/>
      </c>
      <c r="BQ130" s="41" t="str">
        <f>IF(ISBLANK('Paste Full'!CC130),"",'Paste Full'!CC130)</f>
        <v/>
      </c>
      <c r="BR130" s="41" t="str">
        <f>IF(ISBLANK('Paste Full'!CD130),"",'Paste Full'!CD130)</f>
        <v/>
      </c>
      <c r="BS130" s="41" t="str">
        <f>IF(ISBLANK('Paste Full'!CE130),"",'Paste Full'!CE130)</f>
        <v/>
      </c>
      <c r="BT130" s="41" t="str">
        <f>IF(ISBLANK('Paste Full'!CF130),"",'Paste Full'!CF130)</f>
        <v/>
      </c>
      <c r="BU130" s="41" t="str">
        <f>IF(ISBLANK('Paste Full'!CG130),"",'Paste Full'!CG130)</f>
        <v/>
      </c>
      <c r="BV130" s="41" t="str">
        <f>IF(ISBLANK('Paste Full'!CH130),"",'Paste Full'!CH130)</f>
        <v/>
      </c>
    </row>
    <row r="131" spans="66:74" x14ac:dyDescent="0.3">
      <c r="BN131" s="41" t="str">
        <f>IF(ISBLANK('Paste Full'!BZ131),"",'Paste Full'!BZ131)</f>
        <v/>
      </c>
      <c r="BO131" s="41" t="str">
        <f>IF(ISBLANK('Paste Full'!CA131),"",'Paste Full'!CA131)</f>
        <v/>
      </c>
      <c r="BP131" s="41" t="str">
        <f>IF(ISBLANK('Paste Full'!CB131),"",'Paste Full'!CB131)</f>
        <v/>
      </c>
      <c r="BQ131" s="41" t="str">
        <f>IF(ISBLANK('Paste Full'!CC131),"",'Paste Full'!CC131)</f>
        <v/>
      </c>
      <c r="BR131" s="41" t="str">
        <f>IF(ISBLANK('Paste Full'!CD131),"",'Paste Full'!CD131)</f>
        <v/>
      </c>
      <c r="BS131" s="41" t="str">
        <f>IF(ISBLANK('Paste Full'!CE131),"",'Paste Full'!CE131)</f>
        <v/>
      </c>
      <c r="BT131" s="41" t="str">
        <f>IF(ISBLANK('Paste Full'!CF131),"",'Paste Full'!CF131)</f>
        <v/>
      </c>
      <c r="BU131" s="41" t="str">
        <f>IF(ISBLANK('Paste Full'!CG131),"",'Paste Full'!CG131)</f>
        <v/>
      </c>
      <c r="BV131" s="41" t="str">
        <f>IF(ISBLANK('Paste Full'!CH131),"",'Paste Full'!CH131)</f>
        <v/>
      </c>
    </row>
    <row r="132" spans="66:74" x14ac:dyDescent="0.3">
      <c r="BN132" s="41" t="str">
        <f>IF(ISBLANK('Paste Full'!BZ132),"",'Paste Full'!BZ132)</f>
        <v/>
      </c>
      <c r="BO132" s="41" t="str">
        <f>IF(ISBLANK('Paste Full'!CA132),"",'Paste Full'!CA132)</f>
        <v/>
      </c>
      <c r="BP132" s="41" t="str">
        <f>IF(ISBLANK('Paste Full'!CB132),"",'Paste Full'!CB132)</f>
        <v/>
      </c>
      <c r="BQ132" s="41" t="str">
        <f>IF(ISBLANK('Paste Full'!CC132),"",'Paste Full'!CC132)</f>
        <v/>
      </c>
      <c r="BR132" s="41" t="str">
        <f>IF(ISBLANK('Paste Full'!CD132),"",'Paste Full'!CD132)</f>
        <v/>
      </c>
      <c r="BS132" s="41" t="str">
        <f>IF(ISBLANK('Paste Full'!CE132),"",'Paste Full'!CE132)</f>
        <v/>
      </c>
      <c r="BT132" s="41" t="str">
        <f>IF(ISBLANK('Paste Full'!CF132),"",'Paste Full'!CF132)</f>
        <v/>
      </c>
      <c r="BU132" s="41" t="str">
        <f>IF(ISBLANK('Paste Full'!CG132),"",'Paste Full'!CG132)</f>
        <v/>
      </c>
      <c r="BV132" s="41" t="str">
        <f>IF(ISBLANK('Paste Full'!CH132),"",'Paste Full'!CH132)</f>
        <v/>
      </c>
    </row>
    <row r="133" spans="66:74" x14ac:dyDescent="0.3">
      <c r="BN133" s="41" t="str">
        <f>IF(ISBLANK('Paste Full'!BZ133),"",'Paste Full'!BZ133)</f>
        <v/>
      </c>
      <c r="BO133" s="41" t="str">
        <f>IF(ISBLANK('Paste Full'!CA133),"",'Paste Full'!CA133)</f>
        <v/>
      </c>
      <c r="BP133" s="41" t="str">
        <f>IF(ISBLANK('Paste Full'!CB133),"",'Paste Full'!CB133)</f>
        <v/>
      </c>
      <c r="BQ133" s="41" t="str">
        <f>IF(ISBLANK('Paste Full'!CC133),"",'Paste Full'!CC133)</f>
        <v/>
      </c>
      <c r="BR133" s="41" t="str">
        <f>IF(ISBLANK('Paste Full'!CD133),"",'Paste Full'!CD133)</f>
        <v/>
      </c>
      <c r="BS133" s="41" t="str">
        <f>IF(ISBLANK('Paste Full'!CE133),"",'Paste Full'!CE133)</f>
        <v/>
      </c>
      <c r="BT133" s="41" t="str">
        <f>IF(ISBLANK('Paste Full'!CF133),"",'Paste Full'!CF133)</f>
        <v/>
      </c>
      <c r="BU133" s="41" t="str">
        <f>IF(ISBLANK('Paste Full'!CG133),"",'Paste Full'!CG133)</f>
        <v/>
      </c>
      <c r="BV133" s="41" t="str">
        <f>IF(ISBLANK('Paste Full'!CH133),"",'Paste Full'!CH133)</f>
        <v/>
      </c>
    </row>
    <row r="134" spans="66:74" x14ac:dyDescent="0.3">
      <c r="BN134" s="41" t="str">
        <f>IF(ISBLANK('Paste Full'!BZ134),"",'Paste Full'!BZ134)</f>
        <v/>
      </c>
      <c r="BO134" s="41" t="str">
        <f>IF(ISBLANK('Paste Full'!CA134),"",'Paste Full'!CA134)</f>
        <v/>
      </c>
      <c r="BP134" s="41" t="str">
        <f>IF(ISBLANK('Paste Full'!CB134),"",'Paste Full'!CB134)</f>
        <v/>
      </c>
      <c r="BQ134" s="41" t="str">
        <f>IF(ISBLANK('Paste Full'!CC134),"",'Paste Full'!CC134)</f>
        <v/>
      </c>
      <c r="BR134" s="41" t="str">
        <f>IF(ISBLANK('Paste Full'!CD134),"",'Paste Full'!CD134)</f>
        <v/>
      </c>
      <c r="BS134" s="41" t="str">
        <f>IF(ISBLANK('Paste Full'!CE134),"",'Paste Full'!CE134)</f>
        <v/>
      </c>
      <c r="BT134" s="41" t="str">
        <f>IF(ISBLANK('Paste Full'!CF134),"",'Paste Full'!CF134)</f>
        <v/>
      </c>
      <c r="BU134" s="41" t="str">
        <f>IF(ISBLANK('Paste Full'!CG134),"",'Paste Full'!CG134)</f>
        <v/>
      </c>
      <c r="BV134" s="41" t="str">
        <f>IF(ISBLANK('Paste Full'!CH134),"",'Paste Full'!CH134)</f>
        <v/>
      </c>
    </row>
    <row r="135" spans="66:74" x14ac:dyDescent="0.3">
      <c r="BN135" s="41" t="str">
        <f>IF(ISBLANK('Paste Full'!BZ135),"",'Paste Full'!BZ135)</f>
        <v/>
      </c>
      <c r="BO135" s="41" t="str">
        <f>IF(ISBLANK('Paste Full'!CA135),"",'Paste Full'!CA135)</f>
        <v/>
      </c>
      <c r="BP135" s="41" t="str">
        <f>IF(ISBLANK('Paste Full'!CB135),"",'Paste Full'!CB135)</f>
        <v/>
      </c>
      <c r="BQ135" s="41" t="str">
        <f>IF(ISBLANK('Paste Full'!CC135),"",'Paste Full'!CC135)</f>
        <v/>
      </c>
      <c r="BR135" s="41" t="str">
        <f>IF(ISBLANK('Paste Full'!CD135),"",'Paste Full'!CD135)</f>
        <v/>
      </c>
      <c r="BS135" s="41" t="str">
        <f>IF(ISBLANK('Paste Full'!CE135),"",'Paste Full'!CE135)</f>
        <v/>
      </c>
      <c r="BT135" s="41" t="str">
        <f>IF(ISBLANK('Paste Full'!CF135),"",'Paste Full'!CF135)</f>
        <v/>
      </c>
      <c r="BU135" s="41" t="str">
        <f>IF(ISBLANK('Paste Full'!CG135),"",'Paste Full'!CG135)</f>
        <v/>
      </c>
      <c r="BV135" s="41" t="str">
        <f>IF(ISBLANK('Paste Full'!CH135),"",'Paste Full'!CH135)</f>
        <v/>
      </c>
    </row>
    <row r="136" spans="66:74" x14ac:dyDescent="0.3">
      <c r="BN136" s="41" t="str">
        <f>IF(ISBLANK('Paste Full'!BZ136),"",'Paste Full'!BZ136)</f>
        <v/>
      </c>
      <c r="BO136" s="41" t="str">
        <f>IF(ISBLANK('Paste Full'!CA136),"",'Paste Full'!CA136)</f>
        <v/>
      </c>
      <c r="BP136" s="41" t="str">
        <f>IF(ISBLANK('Paste Full'!CB136),"",'Paste Full'!CB136)</f>
        <v/>
      </c>
      <c r="BQ136" s="41" t="str">
        <f>IF(ISBLANK('Paste Full'!CC136),"",'Paste Full'!CC136)</f>
        <v/>
      </c>
      <c r="BR136" s="41" t="str">
        <f>IF(ISBLANK('Paste Full'!CD136),"",'Paste Full'!CD136)</f>
        <v/>
      </c>
      <c r="BS136" s="41" t="str">
        <f>IF(ISBLANK('Paste Full'!CE136),"",'Paste Full'!CE136)</f>
        <v/>
      </c>
      <c r="BT136" s="41" t="str">
        <f>IF(ISBLANK('Paste Full'!CF136),"",'Paste Full'!CF136)</f>
        <v/>
      </c>
      <c r="BU136" s="41" t="str">
        <f>IF(ISBLANK('Paste Full'!CG136),"",'Paste Full'!CG136)</f>
        <v/>
      </c>
      <c r="BV136" s="41" t="str">
        <f>IF(ISBLANK('Paste Full'!CH136),"",'Paste Full'!CH136)</f>
        <v/>
      </c>
    </row>
    <row r="137" spans="66:74" x14ac:dyDescent="0.3">
      <c r="BN137" s="41" t="str">
        <f>IF(ISBLANK('Paste Full'!BZ137),"",'Paste Full'!BZ137)</f>
        <v/>
      </c>
      <c r="BO137" s="41" t="str">
        <f>IF(ISBLANK('Paste Full'!CA137),"",'Paste Full'!CA137)</f>
        <v/>
      </c>
      <c r="BP137" s="41" t="str">
        <f>IF(ISBLANK('Paste Full'!CB137),"",'Paste Full'!CB137)</f>
        <v/>
      </c>
      <c r="BQ137" s="41" t="str">
        <f>IF(ISBLANK('Paste Full'!CC137),"",'Paste Full'!CC137)</f>
        <v/>
      </c>
      <c r="BR137" s="41" t="str">
        <f>IF(ISBLANK('Paste Full'!CD137),"",'Paste Full'!CD137)</f>
        <v/>
      </c>
      <c r="BS137" s="41" t="str">
        <f>IF(ISBLANK('Paste Full'!CE137),"",'Paste Full'!CE137)</f>
        <v/>
      </c>
      <c r="BT137" s="41" t="str">
        <f>IF(ISBLANK('Paste Full'!CF137),"",'Paste Full'!CF137)</f>
        <v/>
      </c>
      <c r="BU137" s="41" t="str">
        <f>IF(ISBLANK('Paste Full'!CG137),"",'Paste Full'!CG137)</f>
        <v/>
      </c>
      <c r="BV137" s="41" t="str">
        <f>IF(ISBLANK('Paste Full'!CH137),"",'Paste Full'!CH137)</f>
        <v/>
      </c>
    </row>
    <row r="138" spans="66:74" x14ac:dyDescent="0.3">
      <c r="BN138" s="41" t="str">
        <f>IF(ISBLANK('Paste Full'!BZ138),"",'Paste Full'!BZ138)</f>
        <v/>
      </c>
      <c r="BO138" s="41" t="str">
        <f>IF(ISBLANK('Paste Full'!CA138),"",'Paste Full'!CA138)</f>
        <v/>
      </c>
      <c r="BP138" s="41" t="str">
        <f>IF(ISBLANK('Paste Full'!CB138),"",'Paste Full'!CB138)</f>
        <v/>
      </c>
      <c r="BQ138" s="41" t="str">
        <f>IF(ISBLANK('Paste Full'!CC138),"",'Paste Full'!CC138)</f>
        <v/>
      </c>
      <c r="BR138" s="41" t="str">
        <f>IF(ISBLANK('Paste Full'!CD138),"",'Paste Full'!CD138)</f>
        <v/>
      </c>
      <c r="BS138" s="41" t="str">
        <f>IF(ISBLANK('Paste Full'!CE138),"",'Paste Full'!CE138)</f>
        <v/>
      </c>
      <c r="BT138" s="41" t="str">
        <f>IF(ISBLANK('Paste Full'!CF138),"",'Paste Full'!CF138)</f>
        <v/>
      </c>
      <c r="BU138" s="41" t="str">
        <f>IF(ISBLANK('Paste Full'!CG138),"",'Paste Full'!CG138)</f>
        <v/>
      </c>
      <c r="BV138" s="41" t="str">
        <f>IF(ISBLANK('Paste Full'!CH138),"",'Paste Full'!CH138)</f>
        <v/>
      </c>
    </row>
    <row r="139" spans="66:74" x14ac:dyDescent="0.3">
      <c r="BN139" s="41" t="str">
        <f>IF(ISBLANK('Paste Full'!BZ139),"",'Paste Full'!BZ139)</f>
        <v/>
      </c>
      <c r="BO139" s="41" t="str">
        <f>IF(ISBLANK('Paste Full'!CA139),"",'Paste Full'!CA139)</f>
        <v/>
      </c>
      <c r="BP139" s="41" t="str">
        <f>IF(ISBLANK('Paste Full'!CB139),"",'Paste Full'!CB139)</f>
        <v/>
      </c>
      <c r="BQ139" s="41" t="str">
        <f>IF(ISBLANK('Paste Full'!CC139),"",'Paste Full'!CC139)</f>
        <v/>
      </c>
      <c r="BR139" s="41" t="str">
        <f>IF(ISBLANK('Paste Full'!CD139),"",'Paste Full'!CD139)</f>
        <v/>
      </c>
      <c r="BS139" s="41" t="str">
        <f>IF(ISBLANK('Paste Full'!CE139),"",'Paste Full'!CE139)</f>
        <v/>
      </c>
      <c r="BT139" s="41" t="str">
        <f>IF(ISBLANK('Paste Full'!CF139),"",'Paste Full'!CF139)</f>
        <v/>
      </c>
      <c r="BU139" s="41" t="str">
        <f>IF(ISBLANK('Paste Full'!CG139),"",'Paste Full'!CG139)</f>
        <v/>
      </c>
      <c r="BV139" s="41" t="str">
        <f>IF(ISBLANK('Paste Full'!CH139),"",'Paste Full'!CH139)</f>
        <v/>
      </c>
    </row>
    <row r="140" spans="66:74" x14ac:dyDescent="0.3">
      <c r="BN140" s="41" t="str">
        <f>IF(ISBLANK('Paste Full'!BZ140),"",'Paste Full'!BZ140)</f>
        <v/>
      </c>
      <c r="BO140" s="41" t="str">
        <f>IF(ISBLANK('Paste Full'!CA140),"",'Paste Full'!CA140)</f>
        <v/>
      </c>
      <c r="BP140" s="41" t="str">
        <f>IF(ISBLANK('Paste Full'!CB140),"",'Paste Full'!CB140)</f>
        <v/>
      </c>
      <c r="BQ140" s="41" t="str">
        <f>IF(ISBLANK('Paste Full'!CC140),"",'Paste Full'!CC140)</f>
        <v/>
      </c>
      <c r="BR140" s="41" t="str">
        <f>IF(ISBLANK('Paste Full'!CD140),"",'Paste Full'!CD140)</f>
        <v/>
      </c>
      <c r="BS140" s="41" t="str">
        <f>IF(ISBLANK('Paste Full'!CE140),"",'Paste Full'!CE140)</f>
        <v/>
      </c>
      <c r="BT140" s="41" t="str">
        <f>IF(ISBLANK('Paste Full'!CF140),"",'Paste Full'!CF140)</f>
        <v/>
      </c>
      <c r="BU140" s="41" t="str">
        <f>IF(ISBLANK('Paste Full'!CG140),"",'Paste Full'!CG140)</f>
        <v/>
      </c>
      <c r="BV140" s="41" t="str">
        <f>IF(ISBLANK('Paste Full'!CH140),"",'Paste Full'!CH140)</f>
        <v/>
      </c>
    </row>
    <row r="141" spans="66:74" x14ac:dyDescent="0.3">
      <c r="BN141" s="41" t="str">
        <f>IF(ISBLANK('Paste Full'!BZ141),"",'Paste Full'!BZ141)</f>
        <v/>
      </c>
      <c r="BO141" s="41" t="str">
        <f>IF(ISBLANK('Paste Full'!CA141),"",'Paste Full'!CA141)</f>
        <v/>
      </c>
      <c r="BP141" s="41" t="str">
        <f>IF(ISBLANK('Paste Full'!CB141),"",'Paste Full'!CB141)</f>
        <v/>
      </c>
      <c r="BQ141" s="41" t="str">
        <f>IF(ISBLANK('Paste Full'!CC141),"",'Paste Full'!CC141)</f>
        <v/>
      </c>
      <c r="BR141" s="41" t="str">
        <f>IF(ISBLANK('Paste Full'!CD141),"",'Paste Full'!CD141)</f>
        <v/>
      </c>
      <c r="BS141" s="41" t="str">
        <f>IF(ISBLANK('Paste Full'!CE141),"",'Paste Full'!CE141)</f>
        <v/>
      </c>
      <c r="BT141" s="41" t="str">
        <f>IF(ISBLANK('Paste Full'!CF141),"",'Paste Full'!CF141)</f>
        <v/>
      </c>
      <c r="BU141" s="41" t="str">
        <f>IF(ISBLANK('Paste Full'!CG141),"",'Paste Full'!CG141)</f>
        <v/>
      </c>
      <c r="BV141" s="41" t="str">
        <f>IF(ISBLANK('Paste Full'!CH141),"",'Paste Full'!CH141)</f>
        <v/>
      </c>
    </row>
    <row r="142" spans="66:74" x14ac:dyDescent="0.3">
      <c r="BN142" s="41" t="str">
        <f>IF(ISBLANK('Paste Full'!BZ142),"",'Paste Full'!BZ142)</f>
        <v/>
      </c>
      <c r="BO142" s="41" t="str">
        <f>IF(ISBLANK('Paste Full'!CA142),"",'Paste Full'!CA142)</f>
        <v/>
      </c>
      <c r="BP142" s="41" t="str">
        <f>IF(ISBLANK('Paste Full'!CB142),"",'Paste Full'!CB142)</f>
        <v/>
      </c>
      <c r="BQ142" s="41" t="str">
        <f>IF(ISBLANK('Paste Full'!CC142),"",'Paste Full'!CC142)</f>
        <v/>
      </c>
      <c r="BR142" s="41" t="str">
        <f>IF(ISBLANK('Paste Full'!CD142),"",'Paste Full'!CD142)</f>
        <v/>
      </c>
      <c r="BS142" s="41" t="str">
        <f>IF(ISBLANK('Paste Full'!CE142),"",'Paste Full'!CE142)</f>
        <v/>
      </c>
      <c r="BT142" s="41" t="str">
        <f>IF(ISBLANK('Paste Full'!CF142),"",'Paste Full'!CF142)</f>
        <v/>
      </c>
      <c r="BU142" s="41" t="str">
        <f>IF(ISBLANK('Paste Full'!CG142),"",'Paste Full'!CG142)</f>
        <v/>
      </c>
      <c r="BV142" s="41" t="str">
        <f>IF(ISBLANK('Paste Full'!CH142),"",'Paste Full'!CH142)</f>
        <v/>
      </c>
    </row>
    <row r="143" spans="66:74" x14ac:dyDescent="0.3">
      <c r="BN143" s="41" t="str">
        <f>IF(ISBLANK('Paste Full'!BZ143),"",'Paste Full'!BZ143)</f>
        <v/>
      </c>
      <c r="BO143" s="41" t="str">
        <f>IF(ISBLANK('Paste Full'!CA143),"",'Paste Full'!CA143)</f>
        <v/>
      </c>
      <c r="BP143" s="41" t="str">
        <f>IF(ISBLANK('Paste Full'!CB143),"",'Paste Full'!CB143)</f>
        <v/>
      </c>
      <c r="BQ143" s="41" t="str">
        <f>IF(ISBLANK('Paste Full'!CC143),"",'Paste Full'!CC143)</f>
        <v/>
      </c>
      <c r="BR143" s="41" t="str">
        <f>IF(ISBLANK('Paste Full'!CD143),"",'Paste Full'!CD143)</f>
        <v/>
      </c>
      <c r="BS143" s="41" t="str">
        <f>IF(ISBLANK('Paste Full'!CE143),"",'Paste Full'!CE143)</f>
        <v/>
      </c>
      <c r="BT143" s="41" t="str">
        <f>IF(ISBLANK('Paste Full'!CF143),"",'Paste Full'!CF143)</f>
        <v/>
      </c>
      <c r="BU143" s="41" t="str">
        <f>IF(ISBLANK('Paste Full'!CG143),"",'Paste Full'!CG143)</f>
        <v/>
      </c>
      <c r="BV143" s="41" t="str">
        <f>IF(ISBLANK('Paste Full'!CH143),"",'Paste Full'!CH143)</f>
        <v/>
      </c>
    </row>
    <row r="144" spans="66:74" x14ac:dyDescent="0.3">
      <c r="BN144" s="41" t="str">
        <f>IF(ISBLANK('Paste Full'!BZ144),"",'Paste Full'!BZ144)</f>
        <v/>
      </c>
      <c r="BO144" s="41" t="str">
        <f>IF(ISBLANK('Paste Full'!CA144),"",'Paste Full'!CA144)</f>
        <v/>
      </c>
      <c r="BP144" s="41" t="str">
        <f>IF(ISBLANK('Paste Full'!CB144),"",'Paste Full'!CB144)</f>
        <v/>
      </c>
      <c r="BQ144" s="41" t="str">
        <f>IF(ISBLANK('Paste Full'!CC144),"",'Paste Full'!CC144)</f>
        <v/>
      </c>
      <c r="BR144" s="41" t="str">
        <f>IF(ISBLANK('Paste Full'!CD144),"",'Paste Full'!CD144)</f>
        <v/>
      </c>
      <c r="BS144" s="41" t="str">
        <f>IF(ISBLANK('Paste Full'!CE144),"",'Paste Full'!CE144)</f>
        <v/>
      </c>
      <c r="BT144" s="41" t="str">
        <f>IF(ISBLANK('Paste Full'!CF144),"",'Paste Full'!CF144)</f>
        <v/>
      </c>
      <c r="BU144" s="41" t="str">
        <f>IF(ISBLANK('Paste Full'!CG144),"",'Paste Full'!CG144)</f>
        <v/>
      </c>
      <c r="BV144" s="41" t="str">
        <f>IF(ISBLANK('Paste Full'!CH144),"",'Paste Full'!CH144)</f>
        <v/>
      </c>
    </row>
    <row r="145" spans="66:74" x14ac:dyDescent="0.3">
      <c r="BN145" s="41" t="str">
        <f>IF(ISBLANK('Paste Full'!BZ145),"",'Paste Full'!BZ145)</f>
        <v/>
      </c>
      <c r="BO145" s="41" t="str">
        <f>IF(ISBLANK('Paste Full'!CA145),"",'Paste Full'!CA145)</f>
        <v/>
      </c>
      <c r="BP145" s="41" t="str">
        <f>IF(ISBLANK('Paste Full'!CB145),"",'Paste Full'!CB145)</f>
        <v/>
      </c>
      <c r="BQ145" s="41" t="str">
        <f>IF(ISBLANK('Paste Full'!CC145),"",'Paste Full'!CC145)</f>
        <v/>
      </c>
      <c r="BR145" s="41" t="str">
        <f>IF(ISBLANK('Paste Full'!CD145),"",'Paste Full'!CD145)</f>
        <v/>
      </c>
      <c r="BS145" s="41" t="str">
        <f>IF(ISBLANK('Paste Full'!CE145),"",'Paste Full'!CE145)</f>
        <v/>
      </c>
      <c r="BT145" s="41" t="str">
        <f>IF(ISBLANK('Paste Full'!CF145),"",'Paste Full'!CF145)</f>
        <v/>
      </c>
      <c r="BU145" s="41" t="str">
        <f>IF(ISBLANK('Paste Full'!CG145),"",'Paste Full'!CG145)</f>
        <v/>
      </c>
      <c r="BV145" s="41" t="str">
        <f>IF(ISBLANK('Paste Full'!CH145),"",'Paste Full'!CH145)</f>
        <v/>
      </c>
    </row>
    <row r="146" spans="66:74" x14ac:dyDescent="0.3">
      <c r="BN146" s="41" t="str">
        <f>IF(ISBLANK('Paste Full'!BZ146),"",'Paste Full'!BZ146)</f>
        <v/>
      </c>
      <c r="BO146" s="41" t="str">
        <f>IF(ISBLANK('Paste Full'!CA146),"",'Paste Full'!CA146)</f>
        <v/>
      </c>
      <c r="BP146" s="41" t="str">
        <f>IF(ISBLANK('Paste Full'!CB146),"",'Paste Full'!CB146)</f>
        <v/>
      </c>
      <c r="BQ146" s="41" t="str">
        <f>IF(ISBLANK('Paste Full'!CC146),"",'Paste Full'!CC146)</f>
        <v/>
      </c>
      <c r="BR146" s="41" t="str">
        <f>IF(ISBLANK('Paste Full'!CD146),"",'Paste Full'!CD146)</f>
        <v/>
      </c>
      <c r="BS146" s="41" t="str">
        <f>IF(ISBLANK('Paste Full'!CE146),"",'Paste Full'!CE146)</f>
        <v/>
      </c>
      <c r="BT146" s="41" t="str">
        <f>IF(ISBLANK('Paste Full'!CF146),"",'Paste Full'!CF146)</f>
        <v/>
      </c>
      <c r="BU146" s="41" t="str">
        <f>IF(ISBLANK('Paste Full'!CG146),"",'Paste Full'!CG146)</f>
        <v/>
      </c>
      <c r="BV146" s="41" t="str">
        <f>IF(ISBLANK('Paste Full'!CH146),"",'Paste Full'!CH146)</f>
        <v/>
      </c>
    </row>
    <row r="147" spans="66:74" x14ac:dyDescent="0.3">
      <c r="BN147" s="41" t="str">
        <f>IF(ISBLANK('Paste Full'!BZ147),"",'Paste Full'!BZ147)</f>
        <v/>
      </c>
      <c r="BO147" s="41" t="str">
        <f>IF(ISBLANK('Paste Full'!CA147),"",'Paste Full'!CA147)</f>
        <v/>
      </c>
      <c r="BP147" s="41" t="str">
        <f>IF(ISBLANK('Paste Full'!CB147),"",'Paste Full'!CB147)</f>
        <v/>
      </c>
      <c r="BQ147" s="41" t="str">
        <f>IF(ISBLANK('Paste Full'!CC147),"",'Paste Full'!CC147)</f>
        <v/>
      </c>
      <c r="BR147" s="41" t="str">
        <f>IF(ISBLANK('Paste Full'!CD147),"",'Paste Full'!CD147)</f>
        <v/>
      </c>
      <c r="BS147" s="41" t="str">
        <f>IF(ISBLANK('Paste Full'!CE147),"",'Paste Full'!CE147)</f>
        <v/>
      </c>
      <c r="BT147" s="41" t="str">
        <f>IF(ISBLANK('Paste Full'!CF147),"",'Paste Full'!CF147)</f>
        <v/>
      </c>
      <c r="BU147" s="41" t="str">
        <f>IF(ISBLANK('Paste Full'!CG147),"",'Paste Full'!CG147)</f>
        <v/>
      </c>
      <c r="BV147" s="41" t="str">
        <f>IF(ISBLANK('Paste Full'!CH147),"",'Paste Full'!CH147)</f>
        <v/>
      </c>
    </row>
    <row r="148" spans="66:74" x14ac:dyDescent="0.3">
      <c r="BN148" s="41" t="str">
        <f>IF(ISBLANK('Paste Full'!BZ148),"",'Paste Full'!BZ148)</f>
        <v/>
      </c>
      <c r="BO148" s="41" t="str">
        <f>IF(ISBLANK('Paste Full'!CA148),"",'Paste Full'!CA148)</f>
        <v/>
      </c>
      <c r="BP148" s="41" t="str">
        <f>IF(ISBLANK('Paste Full'!CB148),"",'Paste Full'!CB148)</f>
        <v/>
      </c>
      <c r="BQ148" s="41" t="str">
        <f>IF(ISBLANK('Paste Full'!CC148),"",'Paste Full'!CC148)</f>
        <v/>
      </c>
      <c r="BR148" s="41" t="str">
        <f>IF(ISBLANK('Paste Full'!CD148),"",'Paste Full'!CD148)</f>
        <v/>
      </c>
      <c r="BS148" s="41" t="str">
        <f>IF(ISBLANK('Paste Full'!CE148),"",'Paste Full'!CE148)</f>
        <v/>
      </c>
      <c r="BT148" s="41" t="str">
        <f>IF(ISBLANK('Paste Full'!CF148),"",'Paste Full'!CF148)</f>
        <v/>
      </c>
      <c r="BU148" s="41" t="str">
        <f>IF(ISBLANK('Paste Full'!CG148),"",'Paste Full'!CG148)</f>
        <v/>
      </c>
      <c r="BV148" s="41" t="str">
        <f>IF(ISBLANK('Paste Full'!CH148),"",'Paste Full'!CH148)</f>
        <v/>
      </c>
    </row>
    <row r="149" spans="66:74" x14ac:dyDescent="0.3">
      <c r="BN149" s="41" t="str">
        <f>IF(ISBLANK('Paste Full'!BZ149),"",'Paste Full'!BZ149)</f>
        <v/>
      </c>
      <c r="BO149" s="41" t="str">
        <f>IF(ISBLANK('Paste Full'!CA149),"",'Paste Full'!CA149)</f>
        <v/>
      </c>
      <c r="BP149" s="41" t="str">
        <f>IF(ISBLANK('Paste Full'!CB149),"",'Paste Full'!CB149)</f>
        <v/>
      </c>
      <c r="BQ149" s="41" t="str">
        <f>IF(ISBLANK('Paste Full'!CC149),"",'Paste Full'!CC149)</f>
        <v/>
      </c>
      <c r="BR149" s="41" t="str">
        <f>IF(ISBLANK('Paste Full'!CD149),"",'Paste Full'!CD149)</f>
        <v/>
      </c>
      <c r="BS149" s="41" t="str">
        <f>IF(ISBLANK('Paste Full'!CE149),"",'Paste Full'!CE149)</f>
        <v/>
      </c>
      <c r="BT149" s="41" t="str">
        <f>IF(ISBLANK('Paste Full'!CF149),"",'Paste Full'!CF149)</f>
        <v/>
      </c>
      <c r="BU149" s="41" t="str">
        <f>IF(ISBLANK('Paste Full'!CG149),"",'Paste Full'!CG149)</f>
        <v/>
      </c>
      <c r="BV149" s="41" t="str">
        <f>IF(ISBLANK('Paste Full'!CH149),"",'Paste Full'!CH149)</f>
        <v/>
      </c>
    </row>
    <row r="150" spans="66:74" x14ac:dyDescent="0.3">
      <c r="BN150" s="41" t="str">
        <f>IF(ISBLANK('Paste Full'!BZ150),"",'Paste Full'!BZ150)</f>
        <v/>
      </c>
      <c r="BO150" s="41" t="str">
        <f>IF(ISBLANK('Paste Full'!CA150),"",'Paste Full'!CA150)</f>
        <v/>
      </c>
      <c r="BP150" s="41" t="str">
        <f>IF(ISBLANK('Paste Full'!CB150),"",'Paste Full'!CB150)</f>
        <v/>
      </c>
      <c r="BQ150" s="41" t="str">
        <f>IF(ISBLANK('Paste Full'!CC150),"",'Paste Full'!CC150)</f>
        <v/>
      </c>
      <c r="BR150" s="41" t="str">
        <f>IF(ISBLANK('Paste Full'!CD150),"",'Paste Full'!CD150)</f>
        <v/>
      </c>
      <c r="BS150" s="41" t="str">
        <f>IF(ISBLANK('Paste Full'!CE150),"",'Paste Full'!CE150)</f>
        <v/>
      </c>
      <c r="BT150" s="41" t="str">
        <f>IF(ISBLANK('Paste Full'!CF150),"",'Paste Full'!CF150)</f>
        <v/>
      </c>
      <c r="BU150" s="41" t="str">
        <f>IF(ISBLANK('Paste Full'!CG150),"",'Paste Full'!CG150)</f>
        <v/>
      </c>
      <c r="BV150" s="41" t="str">
        <f>IF(ISBLANK('Paste Full'!CH150),"",'Paste Full'!CH150)</f>
        <v/>
      </c>
    </row>
    <row r="151" spans="66:74" x14ac:dyDescent="0.3">
      <c r="BN151" s="41" t="str">
        <f>IF(ISBLANK('Paste Full'!BZ151),"",'Paste Full'!BZ151)</f>
        <v/>
      </c>
      <c r="BO151" s="41" t="str">
        <f>IF(ISBLANK('Paste Full'!CA151),"",'Paste Full'!CA151)</f>
        <v/>
      </c>
      <c r="BP151" s="41" t="str">
        <f>IF(ISBLANK('Paste Full'!CB151),"",'Paste Full'!CB151)</f>
        <v/>
      </c>
      <c r="BQ151" s="41" t="str">
        <f>IF(ISBLANK('Paste Full'!CC151),"",'Paste Full'!CC151)</f>
        <v/>
      </c>
      <c r="BR151" s="41" t="str">
        <f>IF(ISBLANK('Paste Full'!CD151),"",'Paste Full'!CD151)</f>
        <v/>
      </c>
      <c r="BS151" s="41" t="str">
        <f>IF(ISBLANK('Paste Full'!CE151),"",'Paste Full'!CE151)</f>
        <v/>
      </c>
      <c r="BT151" s="41" t="str">
        <f>IF(ISBLANK('Paste Full'!CF151),"",'Paste Full'!CF151)</f>
        <v/>
      </c>
      <c r="BU151" s="41" t="str">
        <f>IF(ISBLANK('Paste Full'!CG151),"",'Paste Full'!CG151)</f>
        <v/>
      </c>
      <c r="BV151" s="41" t="str">
        <f>IF(ISBLANK('Paste Full'!CH151),"",'Paste Full'!CH151)</f>
        <v/>
      </c>
    </row>
    <row r="152" spans="66:74" x14ac:dyDescent="0.3">
      <c r="BN152" s="41" t="str">
        <f>IF(ISBLANK('Paste Full'!BZ152),"",'Paste Full'!BZ152)</f>
        <v/>
      </c>
      <c r="BO152" s="41" t="str">
        <f>IF(ISBLANK('Paste Full'!CA152),"",'Paste Full'!CA152)</f>
        <v/>
      </c>
      <c r="BP152" s="41" t="str">
        <f>IF(ISBLANK('Paste Full'!CB152),"",'Paste Full'!CB152)</f>
        <v/>
      </c>
      <c r="BQ152" s="41" t="str">
        <f>IF(ISBLANK('Paste Full'!CC152),"",'Paste Full'!CC152)</f>
        <v/>
      </c>
      <c r="BR152" s="41" t="str">
        <f>IF(ISBLANK('Paste Full'!CD152),"",'Paste Full'!CD152)</f>
        <v/>
      </c>
      <c r="BS152" s="41" t="str">
        <f>IF(ISBLANK('Paste Full'!CE152),"",'Paste Full'!CE152)</f>
        <v/>
      </c>
      <c r="BT152" s="41" t="str">
        <f>IF(ISBLANK('Paste Full'!CF152),"",'Paste Full'!CF152)</f>
        <v/>
      </c>
      <c r="BU152" s="41" t="str">
        <f>IF(ISBLANK('Paste Full'!CG152),"",'Paste Full'!CG152)</f>
        <v/>
      </c>
      <c r="BV152" s="41" t="str">
        <f>IF(ISBLANK('Paste Full'!CH152),"",'Paste Full'!CH152)</f>
        <v/>
      </c>
    </row>
    <row r="153" spans="66:74" x14ac:dyDescent="0.3">
      <c r="BN153" s="41" t="str">
        <f>IF(ISBLANK('Paste Full'!BZ153),"",'Paste Full'!BZ153)</f>
        <v/>
      </c>
      <c r="BO153" s="41" t="str">
        <f>IF(ISBLANK('Paste Full'!CA153),"",'Paste Full'!CA153)</f>
        <v/>
      </c>
      <c r="BP153" s="41" t="str">
        <f>IF(ISBLANK('Paste Full'!CB153),"",'Paste Full'!CB153)</f>
        <v/>
      </c>
      <c r="BQ153" s="41" t="str">
        <f>IF(ISBLANK('Paste Full'!CC153),"",'Paste Full'!CC153)</f>
        <v/>
      </c>
      <c r="BR153" s="41" t="str">
        <f>IF(ISBLANK('Paste Full'!CD153),"",'Paste Full'!CD153)</f>
        <v/>
      </c>
      <c r="BS153" s="41" t="str">
        <f>IF(ISBLANK('Paste Full'!CE153),"",'Paste Full'!CE153)</f>
        <v/>
      </c>
      <c r="BT153" s="41" t="str">
        <f>IF(ISBLANK('Paste Full'!CF153),"",'Paste Full'!CF153)</f>
        <v/>
      </c>
      <c r="BU153" s="41" t="str">
        <f>IF(ISBLANK('Paste Full'!CG153),"",'Paste Full'!CG153)</f>
        <v/>
      </c>
      <c r="BV153" s="41" t="str">
        <f>IF(ISBLANK('Paste Full'!CH153),"",'Paste Full'!CH153)</f>
        <v/>
      </c>
    </row>
    <row r="154" spans="66:74" x14ac:dyDescent="0.3">
      <c r="BN154" s="41" t="str">
        <f>IF(ISBLANK('Paste Full'!BZ154),"",'Paste Full'!BZ154)</f>
        <v/>
      </c>
      <c r="BO154" s="41" t="str">
        <f>IF(ISBLANK('Paste Full'!CA154),"",'Paste Full'!CA154)</f>
        <v/>
      </c>
      <c r="BP154" s="41" t="str">
        <f>IF(ISBLANK('Paste Full'!CB154),"",'Paste Full'!CB154)</f>
        <v/>
      </c>
      <c r="BQ154" s="41" t="str">
        <f>IF(ISBLANK('Paste Full'!CC154),"",'Paste Full'!CC154)</f>
        <v/>
      </c>
      <c r="BR154" s="41" t="str">
        <f>IF(ISBLANK('Paste Full'!CD154),"",'Paste Full'!CD154)</f>
        <v/>
      </c>
      <c r="BS154" s="41" t="str">
        <f>IF(ISBLANK('Paste Full'!CE154),"",'Paste Full'!CE154)</f>
        <v/>
      </c>
      <c r="BT154" s="41" t="str">
        <f>IF(ISBLANK('Paste Full'!CF154),"",'Paste Full'!CF154)</f>
        <v/>
      </c>
      <c r="BU154" s="41" t="str">
        <f>IF(ISBLANK('Paste Full'!CG154),"",'Paste Full'!CG154)</f>
        <v/>
      </c>
      <c r="BV154" s="41" t="str">
        <f>IF(ISBLANK('Paste Full'!CH154),"",'Paste Full'!CH154)</f>
        <v/>
      </c>
    </row>
    <row r="155" spans="66:74" x14ac:dyDescent="0.3">
      <c r="BN155" s="41" t="str">
        <f>IF(ISBLANK('Paste Full'!BZ155),"",'Paste Full'!BZ155)</f>
        <v/>
      </c>
      <c r="BO155" s="41" t="str">
        <f>IF(ISBLANK('Paste Full'!CA155),"",'Paste Full'!CA155)</f>
        <v/>
      </c>
      <c r="BP155" s="41" t="str">
        <f>IF(ISBLANK('Paste Full'!CB155),"",'Paste Full'!CB155)</f>
        <v/>
      </c>
      <c r="BQ155" s="41" t="str">
        <f>IF(ISBLANK('Paste Full'!CC155),"",'Paste Full'!CC155)</f>
        <v/>
      </c>
      <c r="BR155" s="41" t="str">
        <f>IF(ISBLANK('Paste Full'!CD155),"",'Paste Full'!CD155)</f>
        <v/>
      </c>
      <c r="BS155" s="41" t="str">
        <f>IF(ISBLANK('Paste Full'!CE155),"",'Paste Full'!CE155)</f>
        <v/>
      </c>
      <c r="BT155" s="41" t="str">
        <f>IF(ISBLANK('Paste Full'!CF155),"",'Paste Full'!CF155)</f>
        <v/>
      </c>
      <c r="BU155" s="41" t="str">
        <f>IF(ISBLANK('Paste Full'!CG155),"",'Paste Full'!CG155)</f>
        <v/>
      </c>
      <c r="BV155" s="41" t="str">
        <f>IF(ISBLANK('Paste Full'!CH155),"",'Paste Full'!CH155)</f>
        <v/>
      </c>
    </row>
    <row r="156" spans="66:74" x14ac:dyDescent="0.3">
      <c r="BN156" s="41" t="str">
        <f>IF(ISBLANK('Paste Full'!BZ156),"",'Paste Full'!BZ156)</f>
        <v/>
      </c>
      <c r="BO156" s="41" t="str">
        <f>IF(ISBLANK('Paste Full'!CA156),"",'Paste Full'!CA156)</f>
        <v/>
      </c>
      <c r="BP156" s="41" t="str">
        <f>IF(ISBLANK('Paste Full'!CB156),"",'Paste Full'!CB156)</f>
        <v/>
      </c>
      <c r="BQ156" s="41" t="str">
        <f>IF(ISBLANK('Paste Full'!CC156),"",'Paste Full'!CC156)</f>
        <v/>
      </c>
      <c r="BR156" s="41" t="str">
        <f>IF(ISBLANK('Paste Full'!CD156),"",'Paste Full'!CD156)</f>
        <v/>
      </c>
      <c r="BS156" s="41" t="str">
        <f>IF(ISBLANK('Paste Full'!CE156),"",'Paste Full'!CE156)</f>
        <v/>
      </c>
      <c r="BT156" s="41" t="str">
        <f>IF(ISBLANK('Paste Full'!CF156),"",'Paste Full'!CF156)</f>
        <v/>
      </c>
      <c r="BU156" s="41" t="str">
        <f>IF(ISBLANK('Paste Full'!CG156),"",'Paste Full'!CG156)</f>
        <v/>
      </c>
      <c r="BV156" s="41" t="str">
        <f>IF(ISBLANK('Paste Full'!CH156),"",'Paste Full'!CH156)</f>
        <v/>
      </c>
    </row>
    <row r="157" spans="66:74" x14ac:dyDescent="0.3">
      <c r="BN157" s="41" t="str">
        <f>IF(ISBLANK('Paste Full'!BZ157),"",'Paste Full'!BZ157)</f>
        <v/>
      </c>
      <c r="BO157" s="41" t="str">
        <f>IF(ISBLANK('Paste Full'!CA157),"",'Paste Full'!CA157)</f>
        <v/>
      </c>
      <c r="BP157" s="41" t="str">
        <f>IF(ISBLANK('Paste Full'!CB157),"",'Paste Full'!CB157)</f>
        <v/>
      </c>
      <c r="BQ157" s="41" t="str">
        <f>IF(ISBLANK('Paste Full'!CC157),"",'Paste Full'!CC157)</f>
        <v/>
      </c>
      <c r="BR157" s="41" t="str">
        <f>IF(ISBLANK('Paste Full'!CD157),"",'Paste Full'!CD157)</f>
        <v/>
      </c>
      <c r="BS157" s="41" t="str">
        <f>IF(ISBLANK('Paste Full'!CE157),"",'Paste Full'!CE157)</f>
        <v/>
      </c>
      <c r="BT157" s="41" t="str">
        <f>IF(ISBLANK('Paste Full'!CF157),"",'Paste Full'!CF157)</f>
        <v/>
      </c>
      <c r="BU157" s="41" t="str">
        <f>IF(ISBLANK('Paste Full'!CG157),"",'Paste Full'!CG157)</f>
        <v/>
      </c>
      <c r="BV157" s="41" t="str">
        <f>IF(ISBLANK('Paste Full'!CH157),"",'Paste Full'!CH157)</f>
        <v/>
      </c>
    </row>
    <row r="158" spans="66:74" x14ac:dyDescent="0.3">
      <c r="BN158" s="41" t="str">
        <f>IF(ISBLANK('Paste Full'!BZ158),"",'Paste Full'!BZ158)</f>
        <v/>
      </c>
      <c r="BO158" s="41" t="str">
        <f>IF(ISBLANK('Paste Full'!CA158),"",'Paste Full'!CA158)</f>
        <v/>
      </c>
      <c r="BP158" s="41" t="str">
        <f>IF(ISBLANK('Paste Full'!CB158),"",'Paste Full'!CB158)</f>
        <v/>
      </c>
      <c r="BQ158" s="41" t="str">
        <f>IF(ISBLANK('Paste Full'!CC158),"",'Paste Full'!CC158)</f>
        <v/>
      </c>
      <c r="BR158" s="41" t="str">
        <f>IF(ISBLANK('Paste Full'!CD158),"",'Paste Full'!CD158)</f>
        <v/>
      </c>
      <c r="BS158" s="41" t="str">
        <f>IF(ISBLANK('Paste Full'!CE158),"",'Paste Full'!CE158)</f>
        <v/>
      </c>
      <c r="BT158" s="41" t="str">
        <f>IF(ISBLANK('Paste Full'!CF158),"",'Paste Full'!CF158)</f>
        <v/>
      </c>
      <c r="BU158" s="41" t="str">
        <f>IF(ISBLANK('Paste Full'!CG158),"",'Paste Full'!CG158)</f>
        <v/>
      </c>
      <c r="BV158" s="41" t="str">
        <f>IF(ISBLANK('Paste Full'!CH158),"",'Paste Full'!CH158)</f>
        <v/>
      </c>
    </row>
    <row r="159" spans="66:74" x14ac:dyDescent="0.3">
      <c r="BN159" s="41" t="str">
        <f>IF(ISBLANK('Paste Full'!BZ159),"",'Paste Full'!BZ159)</f>
        <v/>
      </c>
      <c r="BO159" s="41" t="str">
        <f>IF(ISBLANK('Paste Full'!CA159),"",'Paste Full'!CA159)</f>
        <v/>
      </c>
      <c r="BP159" s="41" t="str">
        <f>IF(ISBLANK('Paste Full'!CB159),"",'Paste Full'!CB159)</f>
        <v/>
      </c>
      <c r="BQ159" s="41" t="str">
        <f>IF(ISBLANK('Paste Full'!CC159),"",'Paste Full'!CC159)</f>
        <v/>
      </c>
      <c r="BR159" s="41" t="str">
        <f>IF(ISBLANK('Paste Full'!CD159),"",'Paste Full'!CD159)</f>
        <v/>
      </c>
      <c r="BS159" s="41" t="str">
        <f>IF(ISBLANK('Paste Full'!CE159),"",'Paste Full'!CE159)</f>
        <v/>
      </c>
      <c r="BT159" s="41" t="str">
        <f>IF(ISBLANK('Paste Full'!CF159),"",'Paste Full'!CF159)</f>
        <v/>
      </c>
      <c r="BU159" s="41" t="str">
        <f>IF(ISBLANK('Paste Full'!CG159),"",'Paste Full'!CG159)</f>
        <v/>
      </c>
      <c r="BV159" s="41" t="str">
        <f>IF(ISBLANK('Paste Full'!CH159),"",'Paste Full'!CH159)</f>
        <v/>
      </c>
    </row>
    <row r="160" spans="66:74" x14ac:dyDescent="0.3">
      <c r="BN160" s="41" t="str">
        <f>IF(ISBLANK('Paste Full'!BZ160),"",'Paste Full'!BZ160)</f>
        <v/>
      </c>
      <c r="BO160" s="41" t="str">
        <f>IF(ISBLANK('Paste Full'!CA160),"",'Paste Full'!CA160)</f>
        <v/>
      </c>
      <c r="BP160" s="41" t="str">
        <f>IF(ISBLANK('Paste Full'!CB160),"",'Paste Full'!CB160)</f>
        <v/>
      </c>
      <c r="BQ160" s="41" t="str">
        <f>IF(ISBLANK('Paste Full'!CC160),"",'Paste Full'!CC160)</f>
        <v/>
      </c>
      <c r="BR160" s="41" t="str">
        <f>IF(ISBLANK('Paste Full'!CD160),"",'Paste Full'!CD160)</f>
        <v/>
      </c>
      <c r="BS160" s="41" t="str">
        <f>IF(ISBLANK('Paste Full'!CE160),"",'Paste Full'!CE160)</f>
        <v/>
      </c>
      <c r="BT160" s="41" t="str">
        <f>IF(ISBLANK('Paste Full'!CF160),"",'Paste Full'!CF160)</f>
        <v/>
      </c>
      <c r="BU160" s="41" t="str">
        <f>IF(ISBLANK('Paste Full'!CG160),"",'Paste Full'!CG160)</f>
        <v/>
      </c>
      <c r="BV160" s="41" t="str">
        <f>IF(ISBLANK('Paste Full'!CH160),"",'Paste Full'!CH160)</f>
        <v/>
      </c>
    </row>
    <row r="161" spans="66:74" x14ac:dyDescent="0.3">
      <c r="BN161" s="41" t="str">
        <f>IF(ISBLANK('Paste Full'!BZ161),"",'Paste Full'!BZ161)</f>
        <v/>
      </c>
      <c r="BO161" s="41" t="str">
        <f>IF(ISBLANK('Paste Full'!CA161),"",'Paste Full'!CA161)</f>
        <v/>
      </c>
      <c r="BP161" s="41" t="str">
        <f>IF(ISBLANK('Paste Full'!CB161),"",'Paste Full'!CB161)</f>
        <v/>
      </c>
      <c r="BQ161" s="41" t="str">
        <f>IF(ISBLANK('Paste Full'!CC161),"",'Paste Full'!CC161)</f>
        <v/>
      </c>
      <c r="BR161" s="41" t="str">
        <f>IF(ISBLANK('Paste Full'!CD161),"",'Paste Full'!CD161)</f>
        <v/>
      </c>
      <c r="BS161" s="41" t="str">
        <f>IF(ISBLANK('Paste Full'!CE161),"",'Paste Full'!CE161)</f>
        <v/>
      </c>
      <c r="BT161" s="41" t="str">
        <f>IF(ISBLANK('Paste Full'!CF161),"",'Paste Full'!CF161)</f>
        <v/>
      </c>
      <c r="BU161" s="41" t="str">
        <f>IF(ISBLANK('Paste Full'!CG161),"",'Paste Full'!CG161)</f>
        <v/>
      </c>
      <c r="BV161" s="41" t="str">
        <f>IF(ISBLANK('Paste Full'!CH161),"",'Paste Full'!CH161)</f>
        <v/>
      </c>
    </row>
    <row r="162" spans="66:74" x14ac:dyDescent="0.3">
      <c r="BN162" s="41" t="str">
        <f>IF(ISBLANK('Paste Full'!BZ162),"",'Paste Full'!BZ162)</f>
        <v/>
      </c>
      <c r="BO162" s="41" t="str">
        <f>IF(ISBLANK('Paste Full'!CA162),"",'Paste Full'!CA162)</f>
        <v/>
      </c>
      <c r="BP162" s="41" t="str">
        <f>IF(ISBLANK('Paste Full'!CB162),"",'Paste Full'!CB162)</f>
        <v/>
      </c>
      <c r="BQ162" s="41" t="str">
        <f>IF(ISBLANK('Paste Full'!CC162),"",'Paste Full'!CC162)</f>
        <v/>
      </c>
      <c r="BR162" s="41" t="str">
        <f>IF(ISBLANK('Paste Full'!CD162),"",'Paste Full'!CD162)</f>
        <v/>
      </c>
      <c r="BS162" s="41" t="str">
        <f>IF(ISBLANK('Paste Full'!CE162),"",'Paste Full'!CE162)</f>
        <v/>
      </c>
      <c r="BT162" s="41" t="str">
        <f>IF(ISBLANK('Paste Full'!CF162),"",'Paste Full'!CF162)</f>
        <v/>
      </c>
      <c r="BU162" s="41" t="str">
        <f>IF(ISBLANK('Paste Full'!CG162),"",'Paste Full'!CG162)</f>
        <v/>
      </c>
      <c r="BV162" s="41" t="str">
        <f>IF(ISBLANK('Paste Full'!CH162),"",'Paste Full'!CH162)</f>
        <v/>
      </c>
    </row>
    <row r="163" spans="66:74" x14ac:dyDescent="0.3">
      <c r="BN163" s="41" t="str">
        <f>IF(ISBLANK('Paste Full'!BZ163),"",'Paste Full'!BZ163)</f>
        <v/>
      </c>
      <c r="BO163" s="41" t="str">
        <f>IF(ISBLANK('Paste Full'!CA163),"",'Paste Full'!CA163)</f>
        <v/>
      </c>
      <c r="BP163" s="41" t="str">
        <f>IF(ISBLANK('Paste Full'!CB163),"",'Paste Full'!CB163)</f>
        <v/>
      </c>
      <c r="BQ163" s="41" t="str">
        <f>IF(ISBLANK('Paste Full'!CC163),"",'Paste Full'!CC163)</f>
        <v/>
      </c>
      <c r="BR163" s="41" t="str">
        <f>IF(ISBLANK('Paste Full'!CD163),"",'Paste Full'!CD163)</f>
        <v/>
      </c>
      <c r="BS163" s="41" t="str">
        <f>IF(ISBLANK('Paste Full'!CE163),"",'Paste Full'!CE163)</f>
        <v/>
      </c>
      <c r="BT163" s="41" t="str">
        <f>IF(ISBLANK('Paste Full'!CF163),"",'Paste Full'!CF163)</f>
        <v/>
      </c>
      <c r="BU163" s="41" t="str">
        <f>IF(ISBLANK('Paste Full'!CG163),"",'Paste Full'!CG163)</f>
        <v/>
      </c>
      <c r="BV163" s="41" t="str">
        <f>IF(ISBLANK('Paste Full'!CH163),"",'Paste Full'!CH163)</f>
        <v/>
      </c>
    </row>
    <row r="164" spans="66:74" x14ac:dyDescent="0.3">
      <c r="BN164" s="41" t="str">
        <f>IF(ISBLANK('Paste Full'!BZ164),"",'Paste Full'!BZ164)</f>
        <v/>
      </c>
      <c r="BO164" s="41" t="str">
        <f>IF(ISBLANK('Paste Full'!CA164),"",'Paste Full'!CA164)</f>
        <v/>
      </c>
      <c r="BP164" s="41" t="str">
        <f>IF(ISBLANK('Paste Full'!CB164),"",'Paste Full'!CB164)</f>
        <v/>
      </c>
      <c r="BQ164" s="41" t="str">
        <f>IF(ISBLANK('Paste Full'!CC164),"",'Paste Full'!CC164)</f>
        <v/>
      </c>
      <c r="BR164" s="41" t="str">
        <f>IF(ISBLANK('Paste Full'!CD164),"",'Paste Full'!CD164)</f>
        <v/>
      </c>
      <c r="BS164" s="41" t="str">
        <f>IF(ISBLANK('Paste Full'!CE164),"",'Paste Full'!CE164)</f>
        <v/>
      </c>
      <c r="BT164" s="41" t="str">
        <f>IF(ISBLANK('Paste Full'!CF164),"",'Paste Full'!CF164)</f>
        <v/>
      </c>
      <c r="BU164" s="41" t="str">
        <f>IF(ISBLANK('Paste Full'!CG164),"",'Paste Full'!CG164)</f>
        <v/>
      </c>
      <c r="BV164" s="41" t="str">
        <f>IF(ISBLANK('Paste Full'!CH164),"",'Paste Full'!CH164)</f>
        <v/>
      </c>
    </row>
    <row r="165" spans="66:74" x14ac:dyDescent="0.3">
      <c r="BN165" s="41" t="str">
        <f>IF(ISBLANK('Paste Full'!BZ165),"",'Paste Full'!BZ165)</f>
        <v/>
      </c>
      <c r="BO165" s="41" t="str">
        <f>IF(ISBLANK('Paste Full'!CA165),"",'Paste Full'!CA165)</f>
        <v/>
      </c>
      <c r="BP165" s="41" t="str">
        <f>IF(ISBLANK('Paste Full'!CB165),"",'Paste Full'!CB165)</f>
        <v/>
      </c>
      <c r="BQ165" s="41" t="str">
        <f>IF(ISBLANK('Paste Full'!CC165),"",'Paste Full'!CC165)</f>
        <v/>
      </c>
      <c r="BR165" s="41" t="str">
        <f>IF(ISBLANK('Paste Full'!CD165),"",'Paste Full'!CD165)</f>
        <v/>
      </c>
      <c r="BS165" s="41" t="str">
        <f>IF(ISBLANK('Paste Full'!CE165),"",'Paste Full'!CE165)</f>
        <v/>
      </c>
      <c r="BT165" s="41" t="str">
        <f>IF(ISBLANK('Paste Full'!CF165),"",'Paste Full'!CF165)</f>
        <v/>
      </c>
      <c r="BU165" s="41" t="str">
        <f>IF(ISBLANK('Paste Full'!CG165),"",'Paste Full'!CG165)</f>
        <v/>
      </c>
      <c r="BV165" s="41" t="str">
        <f>IF(ISBLANK('Paste Full'!CH165),"",'Paste Full'!CH165)</f>
        <v/>
      </c>
    </row>
    <row r="166" spans="66:74" x14ac:dyDescent="0.3">
      <c r="BN166" s="41" t="str">
        <f>IF(ISBLANK('Paste Full'!BZ166),"",'Paste Full'!BZ166)</f>
        <v/>
      </c>
      <c r="BO166" s="41" t="str">
        <f>IF(ISBLANK('Paste Full'!CA166),"",'Paste Full'!CA166)</f>
        <v/>
      </c>
      <c r="BP166" s="41" t="str">
        <f>IF(ISBLANK('Paste Full'!CB166),"",'Paste Full'!CB166)</f>
        <v/>
      </c>
      <c r="BQ166" s="41" t="str">
        <f>IF(ISBLANK('Paste Full'!CC166),"",'Paste Full'!CC166)</f>
        <v/>
      </c>
      <c r="BR166" s="41" t="str">
        <f>IF(ISBLANK('Paste Full'!CD166),"",'Paste Full'!CD166)</f>
        <v/>
      </c>
      <c r="BS166" s="41" t="str">
        <f>IF(ISBLANK('Paste Full'!CE166),"",'Paste Full'!CE166)</f>
        <v/>
      </c>
      <c r="BT166" s="41" t="str">
        <f>IF(ISBLANK('Paste Full'!CF166),"",'Paste Full'!CF166)</f>
        <v/>
      </c>
      <c r="BU166" s="41" t="str">
        <f>IF(ISBLANK('Paste Full'!CG166),"",'Paste Full'!CG166)</f>
        <v/>
      </c>
      <c r="BV166" s="41" t="str">
        <f>IF(ISBLANK('Paste Full'!CH166),"",'Paste Full'!CH166)</f>
        <v/>
      </c>
    </row>
    <row r="167" spans="66:74" x14ac:dyDescent="0.3">
      <c r="BN167" s="41" t="str">
        <f>IF(ISBLANK('Paste Full'!BZ167),"",'Paste Full'!BZ167)</f>
        <v/>
      </c>
      <c r="BO167" s="41" t="str">
        <f>IF(ISBLANK('Paste Full'!CA167),"",'Paste Full'!CA167)</f>
        <v/>
      </c>
      <c r="BP167" s="41" t="str">
        <f>IF(ISBLANK('Paste Full'!CB167),"",'Paste Full'!CB167)</f>
        <v/>
      </c>
      <c r="BQ167" s="41" t="str">
        <f>IF(ISBLANK('Paste Full'!CC167),"",'Paste Full'!CC167)</f>
        <v/>
      </c>
      <c r="BR167" s="41" t="str">
        <f>IF(ISBLANK('Paste Full'!CD167),"",'Paste Full'!CD167)</f>
        <v/>
      </c>
      <c r="BS167" s="41" t="str">
        <f>IF(ISBLANK('Paste Full'!CE167),"",'Paste Full'!CE167)</f>
        <v/>
      </c>
      <c r="BT167" s="41" t="str">
        <f>IF(ISBLANK('Paste Full'!CF167),"",'Paste Full'!CF167)</f>
        <v/>
      </c>
      <c r="BU167" s="41" t="str">
        <f>IF(ISBLANK('Paste Full'!CG167),"",'Paste Full'!CG167)</f>
        <v/>
      </c>
      <c r="BV167" s="41" t="str">
        <f>IF(ISBLANK('Paste Full'!CH167),"",'Paste Full'!CH167)</f>
        <v/>
      </c>
    </row>
    <row r="168" spans="66:74" x14ac:dyDescent="0.3">
      <c r="BN168" s="41" t="str">
        <f>IF(ISBLANK('Paste Full'!BZ168),"",'Paste Full'!BZ168)</f>
        <v/>
      </c>
      <c r="BO168" s="41" t="str">
        <f>IF(ISBLANK('Paste Full'!CA168),"",'Paste Full'!CA168)</f>
        <v/>
      </c>
      <c r="BP168" s="41" t="str">
        <f>IF(ISBLANK('Paste Full'!CB168),"",'Paste Full'!CB168)</f>
        <v/>
      </c>
      <c r="BQ168" s="41" t="str">
        <f>IF(ISBLANK('Paste Full'!CC168),"",'Paste Full'!CC168)</f>
        <v/>
      </c>
      <c r="BR168" s="41" t="str">
        <f>IF(ISBLANK('Paste Full'!CD168),"",'Paste Full'!CD168)</f>
        <v/>
      </c>
      <c r="BS168" s="41" t="str">
        <f>IF(ISBLANK('Paste Full'!CE168),"",'Paste Full'!CE168)</f>
        <v/>
      </c>
      <c r="BT168" s="41" t="str">
        <f>IF(ISBLANK('Paste Full'!CF168),"",'Paste Full'!CF168)</f>
        <v/>
      </c>
      <c r="BU168" s="41" t="str">
        <f>IF(ISBLANK('Paste Full'!CG168),"",'Paste Full'!CG168)</f>
        <v/>
      </c>
      <c r="BV168" s="41" t="str">
        <f>IF(ISBLANK('Paste Full'!CH168),"",'Paste Full'!CH168)</f>
        <v/>
      </c>
    </row>
    <row r="169" spans="66:74" x14ac:dyDescent="0.3">
      <c r="BN169" s="41" t="str">
        <f>IF(ISBLANK('Paste Full'!BZ169),"",'Paste Full'!BZ169)</f>
        <v/>
      </c>
      <c r="BO169" s="41" t="str">
        <f>IF(ISBLANK('Paste Full'!CA169),"",'Paste Full'!CA169)</f>
        <v/>
      </c>
      <c r="BP169" s="41" t="str">
        <f>IF(ISBLANK('Paste Full'!CB169),"",'Paste Full'!CB169)</f>
        <v/>
      </c>
      <c r="BQ169" s="41" t="str">
        <f>IF(ISBLANK('Paste Full'!CC169),"",'Paste Full'!CC169)</f>
        <v/>
      </c>
      <c r="BR169" s="41" t="str">
        <f>IF(ISBLANK('Paste Full'!CD169),"",'Paste Full'!CD169)</f>
        <v/>
      </c>
      <c r="BS169" s="41" t="str">
        <f>IF(ISBLANK('Paste Full'!CE169),"",'Paste Full'!CE169)</f>
        <v/>
      </c>
      <c r="BT169" s="41" t="str">
        <f>IF(ISBLANK('Paste Full'!CF169),"",'Paste Full'!CF169)</f>
        <v/>
      </c>
      <c r="BU169" s="41" t="str">
        <f>IF(ISBLANK('Paste Full'!CG169),"",'Paste Full'!CG169)</f>
        <v/>
      </c>
      <c r="BV169" s="41" t="str">
        <f>IF(ISBLANK('Paste Full'!CH169),"",'Paste Full'!CH169)</f>
        <v/>
      </c>
    </row>
    <row r="170" spans="66:74" x14ac:dyDescent="0.3">
      <c r="BN170" s="41" t="str">
        <f>IF(ISBLANK('Paste Full'!BZ170),"",'Paste Full'!BZ170)</f>
        <v/>
      </c>
      <c r="BO170" s="41" t="str">
        <f>IF(ISBLANK('Paste Full'!CA170),"",'Paste Full'!CA170)</f>
        <v/>
      </c>
      <c r="BP170" s="41" t="str">
        <f>IF(ISBLANK('Paste Full'!CB170),"",'Paste Full'!CB170)</f>
        <v/>
      </c>
      <c r="BQ170" s="41" t="str">
        <f>IF(ISBLANK('Paste Full'!CC170),"",'Paste Full'!CC170)</f>
        <v/>
      </c>
      <c r="BR170" s="41" t="str">
        <f>IF(ISBLANK('Paste Full'!CD170),"",'Paste Full'!CD170)</f>
        <v/>
      </c>
      <c r="BS170" s="41" t="str">
        <f>IF(ISBLANK('Paste Full'!CE170),"",'Paste Full'!CE170)</f>
        <v/>
      </c>
      <c r="BT170" s="41" t="str">
        <f>IF(ISBLANK('Paste Full'!CF170),"",'Paste Full'!CF170)</f>
        <v/>
      </c>
      <c r="BU170" s="41" t="str">
        <f>IF(ISBLANK('Paste Full'!CG170),"",'Paste Full'!CG170)</f>
        <v/>
      </c>
      <c r="BV170" s="41" t="str">
        <f>IF(ISBLANK('Paste Full'!CH170),"",'Paste Full'!CH170)</f>
        <v/>
      </c>
    </row>
    <row r="171" spans="66:74" x14ac:dyDescent="0.3">
      <c r="BN171" s="41" t="str">
        <f>IF(ISBLANK('Paste Full'!BZ171),"",'Paste Full'!BZ171)</f>
        <v/>
      </c>
      <c r="BO171" s="41" t="str">
        <f>IF(ISBLANK('Paste Full'!CA171),"",'Paste Full'!CA171)</f>
        <v/>
      </c>
      <c r="BP171" s="41" t="str">
        <f>IF(ISBLANK('Paste Full'!CB171),"",'Paste Full'!CB171)</f>
        <v/>
      </c>
      <c r="BQ171" s="41" t="str">
        <f>IF(ISBLANK('Paste Full'!CC171),"",'Paste Full'!CC171)</f>
        <v/>
      </c>
      <c r="BR171" s="41" t="str">
        <f>IF(ISBLANK('Paste Full'!CD171),"",'Paste Full'!CD171)</f>
        <v/>
      </c>
      <c r="BS171" s="41" t="str">
        <f>IF(ISBLANK('Paste Full'!CE171),"",'Paste Full'!CE171)</f>
        <v/>
      </c>
      <c r="BT171" s="41" t="str">
        <f>IF(ISBLANK('Paste Full'!CF171),"",'Paste Full'!CF171)</f>
        <v/>
      </c>
      <c r="BU171" s="41" t="str">
        <f>IF(ISBLANK('Paste Full'!CG171),"",'Paste Full'!CG171)</f>
        <v/>
      </c>
      <c r="BV171" s="41" t="str">
        <f>IF(ISBLANK('Paste Full'!CH171),"",'Paste Full'!CH171)</f>
        <v/>
      </c>
    </row>
    <row r="172" spans="66:74" x14ac:dyDescent="0.3">
      <c r="BN172" s="41" t="str">
        <f>IF(ISBLANK('Paste Full'!BZ172),"",'Paste Full'!BZ172)</f>
        <v/>
      </c>
      <c r="BO172" s="41" t="str">
        <f>IF(ISBLANK('Paste Full'!CA172),"",'Paste Full'!CA172)</f>
        <v/>
      </c>
      <c r="BP172" s="41" t="str">
        <f>IF(ISBLANK('Paste Full'!CB172),"",'Paste Full'!CB172)</f>
        <v/>
      </c>
      <c r="BQ172" s="41" t="str">
        <f>IF(ISBLANK('Paste Full'!CC172),"",'Paste Full'!CC172)</f>
        <v/>
      </c>
      <c r="BR172" s="41" t="str">
        <f>IF(ISBLANK('Paste Full'!CD172),"",'Paste Full'!CD172)</f>
        <v/>
      </c>
      <c r="BS172" s="41" t="str">
        <f>IF(ISBLANK('Paste Full'!CE172),"",'Paste Full'!CE172)</f>
        <v/>
      </c>
      <c r="BT172" s="41" t="str">
        <f>IF(ISBLANK('Paste Full'!CF172),"",'Paste Full'!CF172)</f>
        <v/>
      </c>
      <c r="BU172" s="41" t="str">
        <f>IF(ISBLANK('Paste Full'!CG172),"",'Paste Full'!CG172)</f>
        <v/>
      </c>
      <c r="BV172" s="41" t="str">
        <f>IF(ISBLANK('Paste Full'!CH172),"",'Paste Full'!CH172)</f>
        <v/>
      </c>
    </row>
    <row r="173" spans="66:74" x14ac:dyDescent="0.3">
      <c r="BN173" s="41" t="str">
        <f>IF(ISBLANK('Paste Full'!BZ173),"",'Paste Full'!BZ173)</f>
        <v/>
      </c>
      <c r="BO173" s="41" t="str">
        <f>IF(ISBLANK('Paste Full'!CA173),"",'Paste Full'!CA173)</f>
        <v/>
      </c>
      <c r="BP173" s="41" t="str">
        <f>IF(ISBLANK('Paste Full'!CB173),"",'Paste Full'!CB173)</f>
        <v/>
      </c>
      <c r="BQ173" s="41" t="str">
        <f>IF(ISBLANK('Paste Full'!CC173),"",'Paste Full'!CC173)</f>
        <v/>
      </c>
      <c r="BR173" s="41" t="str">
        <f>IF(ISBLANK('Paste Full'!CD173),"",'Paste Full'!CD173)</f>
        <v/>
      </c>
      <c r="BS173" s="41" t="str">
        <f>IF(ISBLANK('Paste Full'!CE173),"",'Paste Full'!CE173)</f>
        <v/>
      </c>
      <c r="BT173" s="41" t="str">
        <f>IF(ISBLANK('Paste Full'!CF173),"",'Paste Full'!CF173)</f>
        <v/>
      </c>
      <c r="BU173" s="41" t="str">
        <f>IF(ISBLANK('Paste Full'!CG173),"",'Paste Full'!CG173)</f>
        <v/>
      </c>
      <c r="BV173" s="41" t="str">
        <f>IF(ISBLANK('Paste Full'!CH173),"",'Paste Full'!CH173)</f>
        <v/>
      </c>
    </row>
    <row r="174" spans="66:74" x14ac:dyDescent="0.3">
      <c r="BN174" s="41" t="str">
        <f>IF(ISBLANK('Paste Full'!BZ174),"",'Paste Full'!BZ174)</f>
        <v/>
      </c>
      <c r="BO174" s="41" t="str">
        <f>IF(ISBLANK('Paste Full'!CA174),"",'Paste Full'!CA174)</f>
        <v/>
      </c>
      <c r="BP174" s="41" t="str">
        <f>IF(ISBLANK('Paste Full'!CB174),"",'Paste Full'!CB174)</f>
        <v/>
      </c>
      <c r="BQ174" s="41" t="str">
        <f>IF(ISBLANK('Paste Full'!CC174),"",'Paste Full'!CC174)</f>
        <v/>
      </c>
      <c r="BR174" s="41" t="str">
        <f>IF(ISBLANK('Paste Full'!CD174),"",'Paste Full'!CD174)</f>
        <v/>
      </c>
      <c r="BS174" s="41" t="str">
        <f>IF(ISBLANK('Paste Full'!CE174),"",'Paste Full'!CE174)</f>
        <v/>
      </c>
      <c r="BT174" s="41" t="str">
        <f>IF(ISBLANK('Paste Full'!CF174),"",'Paste Full'!CF174)</f>
        <v/>
      </c>
      <c r="BU174" s="41" t="str">
        <f>IF(ISBLANK('Paste Full'!CG174),"",'Paste Full'!CG174)</f>
        <v/>
      </c>
      <c r="BV174" s="41" t="str">
        <f>IF(ISBLANK('Paste Full'!CH174),"",'Paste Full'!CH174)</f>
        <v/>
      </c>
    </row>
    <row r="175" spans="66:74" x14ac:dyDescent="0.3">
      <c r="BN175" s="41" t="str">
        <f>IF(ISBLANK('Paste Full'!BZ175),"",'Paste Full'!BZ175)</f>
        <v/>
      </c>
      <c r="BO175" s="41" t="str">
        <f>IF(ISBLANK('Paste Full'!CA175),"",'Paste Full'!CA175)</f>
        <v/>
      </c>
      <c r="BP175" s="41" t="str">
        <f>IF(ISBLANK('Paste Full'!CB175),"",'Paste Full'!CB175)</f>
        <v/>
      </c>
      <c r="BQ175" s="41" t="str">
        <f>IF(ISBLANK('Paste Full'!CC175),"",'Paste Full'!CC175)</f>
        <v/>
      </c>
      <c r="BR175" s="41" t="str">
        <f>IF(ISBLANK('Paste Full'!CD175),"",'Paste Full'!CD175)</f>
        <v/>
      </c>
      <c r="BS175" s="41" t="str">
        <f>IF(ISBLANK('Paste Full'!CE175),"",'Paste Full'!CE175)</f>
        <v/>
      </c>
      <c r="BT175" s="41" t="str">
        <f>IF(ISBLANK('Paste Full'!CF175),"",'Paste Full'!CF175)</f>
        <v/>
      </c>
      <c r="BU175" s="41" t="str">
        <f>IF(ISBLANK('Paste Full'!CG175),"",'Paste Full'!CG175)</f>
        <v/>
      </c>
      <c r="BV175" s="41" t="str">
        <f>IF(ISBLANK('Paste Full'!CH175),"",'Paste Full'!CH175)</f>
        <v/>
      </c>
    </row>
    <row r="176" spans="66:74" x14ac:dyDescent="0.3">
      <c r="BN176" s="41" t="str">
        <f>IF(ISBLANK('Paste Full'!BZ176),"",'Paste Full'!BZ176)</f>
        <v/>
      </c>
      <c r="BO176" s="41" t="str">
        <f>IF(ISBLANK('Paste Full'!CA176),"",'Paste Full'!CA176)</f>
        <v/>
      </c>
      <c r="BP176" s="41" t="str">
        <f>IF(ISBLANK('Paste Full'!CB176),"",'Paste Full'!CB176)</f>
        <v/>
      </c>
      <c r="BQ176" s="41" t="str">
        <f>IF(ISBLANK('Paste Full'!CC176),"",'Paste Full'!CC176)</f>
        <v/>
      </c>
      <c r="BR176" s="41" t="str">
        <f>IF(ISBLANK('Paste Full'!CD176),"",'Paste Full'!CD176)</f>
        <v/>
      </c>
      <c r="BS176" s="41" t="str">
        <f>IF(ISBLANK('Paste Full'!CE176),"",'Paste Full'!CE176)</f>
        <v/>
      </c>
      <c r="BT176" s="41" t="str">
        <f>IF(ISBLANK('Paste Full'!CF176),"",'Paste Full'!CF176)</f>
        <v/>
      </c>
      <c r="BU176" s="41" t="str">
        <f>IF(ISBLANK('Paste Full'!CG176),"",'Paste Full'!CG176)</f>
        <v/>
      </c>
      <c r="BV176" s="41" t="str">
        <f>IF(ISBLANK('Paste Full'!CH176),"",'Paste Full'!CH176)</f>
        <v/>
      </c>
    </row>
    <row r="177" spans="66:74" x14ac:dyDescent="0.3">
      <c r="BN177" s="41" t="str">
        <f>IF(ISBLANK('Paste Full'!BZ177),"",'Paste Full'!BZ177)</f>
        <v/>
      </c>
      <c r="BO177" s="41" t="str">
        <f>IF(ISBLANK('Paste Full'!CA177),"",'Paste Full'!CA177)</f>
        <v/>
      </c>
      <c r="BP177" s="41" t="str">
        <f>IF(ISBLANK('Paste Full'!CB177),"",'Paste Full'!CB177)</f>
        <v/>
      </c>
      <c r="BQ177" s="41" t="str">
        <f>IF(ISBLANK('Paste Full'!CC177),"",'Paste Full'!CC177)</f>
        <v/>
      </c>
      <c r="BR177" s="41" t="str">
        <f>IF(ISBLANK('Paste Full'!CD177),"",'Paste Full'!CD177)</f>
        <v/>
      </c>
      <c r="BS177" s="41" t="str">
        <f>IF(ISBLANK('Paste Full'!CE177),"",'Paste Full'!CE177)</f>
        <v/>
      </c>
      <c r="BT177" s="41" t="str">
        <f>IF(ISBLANK('Paste Full'!CF177),"",'Paste Full'!CF177)</f>
        <v/>
      </c>
      <c r="BU177" s="41" t="str">
        <f>IF(ISBLANK('Paste Full'!CG177),"",'Paste Full'!CG177)</f>
        <v/>
      </c>
      <c r="BV177" s="41" t="str">
        <f>IF(ISBLANK('Paste Full'!CH177),"",'Paste Full'!CH177)</f>
        <v/>
      </c>
    </row>
    <row r="178" spans="66:74" x14ac:dyDescent="0.3">
      <c r="BN178" s="41" t="str">
        <f>IF(ISBLANK('Paste Full'!BZ178),"",'Paste Full'!BZ178)</f>
        <v/>
      </c>
      <c r="BO178" s="41" t="str">
        <f>IF(ISBLANK('Paste Full'!CA178),"",'Paste Full'!CA178)</f>
        <v/>
      </c>
      <c r="BP178" s="41" t="str">
        <f>IF(ISBLANK('Paste Full'!CB178),"",'Paste Full'!CB178)</f>
        <v/>
      </c>
      <c r="BQ178" s="41" t="str">
        <f>IF(ISBLANK('Paste Full'!CC178),"",'Paste Full'!CC178)</f>
        <v/>
      </c>
      <c r="BR178" s="41" t="str">
        <f>IF(ISBLANK('Paste Full'!CD178),"",'Paste Full'!CD178)</f>
        <v/>
      </c>
      <c r="BS178" s="41" t="str">
        <f>IF(ISBLANK('Paste Full'!CE178),"",'Paste Full'!CE178)</f>
        <v/>
      </c>
      <c r="BT178" s="41" t="str">
        <f>IF(ISBLANK('Paste Full'!CF178),"",'Paste Full'!CF178)</f>
        <v/>
      </c>
      <c r="BU178" s="41" t="str">
        <f>IF(ISBLANK('Paste Full'!CG178),"",'Paste Full'!CG178)</f>
        <v/>
      </c>
      <c r="BV178" s="41" t="str">
        <f>IF(ISBLANK('Paste Full'!CH178),"",'Paste Full'!CH178)</f>
        <v/>
      </c>
    </row>
    <row r="179" spans="66:74" x14ac:dyDescent="0.3">
      <c r="BN179" s="41" t="str">
        <f>IF(ISBLANK('Paste Full'!BZ179),"",'Paste Full'!BZ179)</f>
        <v/>
      </c>
      <c r="BO179" s="41" t="str">
        <f>IF(ISBLANK('Paste Full'!CA179),"",'Paste Full'!CA179)</f>
        <v/>
      </c>
      <c r="BP179" s="41" t="str">
        <f>IF(ISBLANK('Paste Full'!CB179),"",'Paste Full'!CB179)</f>
        <v/>
      </c>
      <c r="BQ179" s="41" t="str">
        <f>IF(ISBLANK('Paste Full'!CC179),"",'Paste Full'!CC179)</f>
        <v/>
      </c>
      <c r="BR179" s="41" t="str">
        <f>IF(ISBLANK('Paste Full'!CD179),"",'Paste Full'!CD179)</f>
        <v/>
      </c>
      <c r="BS179" s="41" t="str">
        <f>IF(ISBLANK('Paste Full'!CE179),"",'Paste Full'!CE179)</f>
        <v/>
      </c>
      <c r="BT179" s="41" t="str">
        <f>IF(ISBLANK('Paste Full'!CF179),"",'Paste Full'!CF179)</f>
        <v/>
      </c>
      <c r="BU179" s="41" t="str">
        <f>IF(ISBLANK('Paste Full'!CG179),"",'Paste Full'!CG179)</f>
        <v/>
      </c>
      <c r="BV179" s="41" t="str">
        <f>IF(ISBLANK('Paste Full'!CH179),"",'Paste Full'!CH179)</f>
        <v/>
      </c>
    </row>
    <row r="180" spans="66:74" x14ac:dyDescent="0.3">
      <c r="BN180" s="41" t="str">
        <f>IF(ISBLANK('Paste Full'!BZ180),"",'Paste Full'!BZ180)</f>
        <v/>
      </c>
      <c r="BO180" s="41" t="str">
        <f>IF(ISBLANK('Paste Full'!CA180),"",'Paste Full'!CA180)</f>
        <v/>
      </c>
      <c r="BP180" s="41" t="str">
        <f>IF(ISBLANK('Paste Full'!CB180),"",'Paste Full'!CB180)</f>
        <v/>
      </c>
      <c r="BQ180" s="41" t="str">
        <f>IF(ISBLANK('Paste Full'!CC180),"",'Paste Full'!CC180)</f>
        <v/>
      </c>
      <c r="BR180" s="41" t="str">
        <f>IF(ISBLANK('Paste Full'!CD180),"",'Paste Full'!CD180)</f>
        <v/>
      </c>
      <c r="BS180" s="41" t="str">
        <f>IF(ISBLANK('Paste Full'!CE180),"",'Paste Full'!CE180)</f>
        <v/>
      </c>
      <c r="BT180" s="41" t="str">
        <f>IF(ISBLANK('Paste Full'!CF180),"",'Paste Full'!CF180)</f>
        <v/>
      </c>
      <c r="BU180" s="41" t="str">
        <f>IF(ISBLANK('Paste Full'!CG180),"",'Paste Full'!CG180)</f>
        <v/>
      </c>
      <c r="BV180" s="41" t="str">
        <f>IF(ISBLANK('Paste Full'!CH180),"",'Paste Full'!CH180)</f>
        <v/>
      </c>
    </row>
    <row r="181" spans="66:74" x14ac:dyDescent="0.3">
      <c r="BN181" s="41" t="str">
        <f>IF(ISBLANK('Paste Full'!BZ181),"",'Paste Full'!BZ181)</f>
        <v/>
      </c>
      <c r="BO181" s="41" t="str">
        <f>IF(ISBLANK('Paste Full'!CA181),"",'Paste Full'!CA181)</f>
        <v/>
      </c>
      <c r="BP181" s="41" t="str">
        <f>IF(ISBLANK('Paste Full'!CB181),"",'Paste Full'!CB181)</f>
        <v/>
      </c>
      <c r="BQ181" s="41" t="str">
        <f>IF(ISBLANK('Paste Full'!CC181),"",'Paste Full'!CC181)</f>
        <v/>
      </c>
      <c r="BR181" s="41" t="str">
        <f>IF(ISBLANK('Paste Full'!CD181),"",'Paste Full'!CD181)</f>
        <v/>
      </c>
      <c r="BS181" s="41" t="str">
        <f>IF(ISBLANK('Paste Full'!CE181),"",'Paste Full'!CE181)</f>
        <v/>
      </c>
      <c r="BT181" s="41" t="str">
        <f>IF(ISBLANK('Paste Full'!CF181),"",'Paste Full'!CF181)</f>
        <v/>
      </c>
      <c r="BU181" s="41" t="str">
        <f>IF(ISBLANK('Paste Full'!CG181),"",'Paste Full'!CG181)</f>
        <v/>
      </c>
      <c r="BV181" s="41" t="str">
        <f>IF(ISBLANK('Paste Full'!CH181),"",'Paste Full'!CH181)</f>
        <v/>
      </c>
    </row>
    <row r="182" spans="66:74" x14ac:dyDescent="0.3">
      <c r="BN182" s="41" t="str">
        <f>IF(ISBLANK('Paste Full'!BZ182),"",'Paste Full'!BZ182)</f>
        <v/>
      </c>
      <c r="BO182" s="41" t="str">
        <f>IF(ISBLANK('Paste Full'!CA182),"",'Paste Full'!CA182)</f>
        <v/>
      </c>
      <c r="BP182" s="41" t="str">
        <f>IF(ISBLANK('Paste Full'!CB182),"",'Paste Full'!CB182)</f>
        <v/>
      </c>
      <c r="BQ182" s="41" t="str">
        <f>IF(ISBLANK('Paste Full'!CC182),"",'Paste Full'!CC182)</f>
        <v/>
      </c>
      <c r="BR182" s="41" t="str">
        <f>IF(ISBLANK('Paste Full'!CD182),"",'Paste Full'!CD182)</f>
        <v/>
      </c>
      <c r="BS182" s="41" t="str">
        <f>IF(ISBLANK('Paste Full'!CE182),"",'Paste Full'!CE182)</f>
        <v/>
      </c>
      <c r="BT182" s="41" t="str">
        <f>IF(ISBLANK('Paste Full'!CF182),"",'Paste Full'!CF182)</f>
        <v/>
      </c>
      <c r="BU182" s="41" t="str">
        <f>IF(ISBLANK('Paste Full'!CG182),"",'Paste Full'!CG182)</f>
        <v/>
      </c>
      <c r="BV182" s="41" t="str">
        <f>IF(ISBLANK('Paste Full'!CH182),"",'Paste Full'!CH182)</f>
        <v/>
      </c>
    </row>
    <row r="183" spans="66:74" x14ac:dyDescent="0.3">
      <c r="BN183" s="41" t="str">
        <f>IF(ISBLANK('Paste Full'!BZ183),"",'Paste Full'!BZ183)</f>
        <v/>
      </c>
      <c r="BO183" s="41" t="str">
        <f>IF(ISBLANK('Paste Full'!CA183),"",'Paste Full'!CA183)</f>
        <v/>
      </c>
      <c r="BP183" s="41" t="str">
        <f>IF(ISBLANK('Paste Full'!CB183),"",'Paste Full'!CB183)</f>
        <v/>
      </c>
      <c r="BQ183" s="41" t="str">
        <f>IF(ISBLANK('Paste Full'!CC183),"",'Paste Full'!CC183)</f>
        <v/>
      </c>
      <c r="BR183" s="41" t="str">
        <f>IF(ISBLANK('Paste Full'!CD183),"",'Paste Full'!CD183)</f>
        <v/>
      </c>
      <c r="BS183" s="41" t="str">
        <f>IF(ISBLANK('Paste Full'!CE183),"",'Paste Full'!CE183)</f>
        <v/>
      </c>
      <c r="BT183" s="41" t="str">
        <f>IF(ISBLANK('Paste Full'!CF183),"",'Paste Full'!CF183)</f>
        <v/>
      </c>
      <c r="BU183" s="41" t="str">
        <f>IF(ISBLANK('Paste Full'!CG183),"",'Paste Full'!CG183)</f>
        <v/>
      </c>
      <c r="BV183" s="41" t="str">
        <f>IF(ISBLANK('Paste Full'!CH183),"",'Paste Full'!CH183)</f>
        <v/>
      </c>
    </row>
    <row r="184" spans="66:74" x14ac:dyDescent="0.3">
      <c r="BN184" s="41" t="str">
        <f>IF(ISBLANK('Paste Full'!BZ184),"",'Paste Full'!BZ184)</f>
        <v/>
      </c>
      <c r="BO184" s="41" t="str">
        <f>IF(ISBLANK('Paste Full'!CA184),"",'Paste Full'!CA184)</f>
        <v/>
      </c>
      <c r="BP184" s="41" t="str">
        <f>IF(ISBLANK('Paste Full'!CB184),"",'Paste Full'!CB184)</f>
        <v/>
      </c>
      <c r="BQ184" s="41" t="str">
        <f>IF(ISBLANK('Paste Full'!CC184),"",'Paste Full'!CC184)</f>
        <v/>
      </c>
      <c r="BR184" s="41" t="str">
        <f>IF(ISBLANK('Paste Full'!CD184),"",'Paste Full'!CD184)</f>
        <v/>
      </c>
      <c r="BS184" s="41" t="str">
        <f>IF(ISBLANK('Paste Full'!CE184),"",'Paste Full'!CE184)</f>
        <v/>
      </c>
      <c r="BT184" s="41" t="str">
        <f>IF(ISBLANK('Paste Full'!CF184),"",'Paste Full'!CF184)</f>
        <v/>
      </c>
      <c r="BU184" s="41" t="str">
        <f>IF(ISBLANK('Paste Full'!CG184),"",'Paste Full'!CG184)</f>
        <v/>
      </c>
      <c r="BV184" s="41" t="str">
        <f>IF(ISBLANK('Paste Full'!CH184),"",'Paste Full'!CH184)</f>
        <v/>
      </c>
    </row>
    <row r="185" spans="66:74" x14ac:dyDescent="0.3">
      <c r="BN185" s="41" t="str">
        <f>IF(ISBLANK('Paste Full'!BZ185),"",'Paste Full'!BZ185)</f>
        <v/>
      </c>
      <c r="BO185" s="41" t="str">
        <f>IF(ISBLANK('Paste Full'!CA185),"",'Paste Full'!CA185)</f>
        <v/>
      </c>
      <c r="BP185" s="41" t="str">
        <f>IF(ISBLANK('Paste Full'!CB185),"",'Paste Full'!CB185)</f>
        <v/>
      </c>
      <c r="BQ185" s="41" t="str">
        <f>IF(ISBLANK('Paste Full'!CC185),"",'Paste Full'!CC185)</f>
        <v/>
      </c>
      <c r="BR185" s="41" t="str">
        <f>IF(ISBLANK('Paste Full'!CD185),"",'Paste Full'!CD185)</f>
        <v/>
      </c>
      <c r="BS185" s="41" t="str">
        <f>IF(ISBLANK('Paste Full'!CE185),"",'Paste Full'!CE185)</f>
        <v/>
      </c>
      <c r="BT185" s="41" t="str">
        <f>IF(ISBLANK('Paste Full'!CF185),"",'Paste Full'!CF185)</f>
        <v/>
      </c>
      <c r="BU185" s="41" t="str">
        <f>IF(ISBLANK('Paste Full'!CG185),"",'Paste Full'!CG185)</f>
        <v/>
      </c>
      <c r="BV185" s="41" t="str">
        <f>IF(ISBLANK('Paste Full'!CH185),"",'Paste Full'!CH185)</f>
        <v/>
      </c>
    </row>
    <row r="186" spans="66:74" x14ac:dyDescent="0.3">
      <c r="BN186" s="41" t="str">
        <f>IF(ISBLANK('Paste Full'!BZ186),"",'Paste Full'!BZ186)</f>
        <v/>
      </c>
      <c r="BO186" s="41" t="str">
        <f>IF(ISBLANK('Paste Full'!CA186),"",'Paste Full'!CA186)</f>
        <v/>
      </c>
      <c r="BP186" s="41" t="str">
        <f>IF(ISBLANK('Paste Full'!CB186),"",'Paste Full'!CB186)</f>
        <v/>
      </c>
      <c r="BQ186" s="41" t="str">
        <f>IF(ISBLANK('Paste Full'!CC186),"",'Paste Full'!CC186)</f>
        <v/>
      </c>
      <c r="BR186" s="41" t="str">
        <f>IF(ISBLANK('Paste Full'!CD186),"",'Paste Full'!CD186)</f>
        <v/>
      </c>
      <c r="BS186" s="41" t="str">
        <f>IF(ISBLANK('Paste Full'!CE186),"",'Paste Full'!CE186)</f>
        <v/>
      </c>
      <c r="BT186" s="41" t="str">
        <f>IF(ISBLANK('Paste Full'!CF186),"",'Paste Full'!CF186)</f>
        <v/>
      </c>
      <c r="BU186" s="41" t="str">
        <f>IF(ISBLANK('Paste Full'!CG186),"",'Paste Full'!CG186)</f>
        <v/>
      </c>
      <c r="BV186" s="41" t="str">
        <f>IF(ISBLANK('Paste Full'!CH186),"",'Paste Full'!CH186)</f>
        <v/>
      </c>
    </row>
    <row r="187" spans="66:74" x14ac:dyDescent="0.3">
      <c r="BN187" s="41" t="str">
        <f>IF(ISBLANK('Paste Full'!BZ187),"",'Paste Full'!BZ187)</f>
        <v/>
      </c>
      <c r="BO187" s="41" t="str">
        <f>IF(ISBLANK('Paste Full'!CA187),"",'Paste Full'!CA187)</f>
        <v/>
      </c>
      <c r="BP187" s="41" t="str">
        <f>IF(ISBLANK('Paste Full'!CB187),"",'Paste Full'!CB187)</f>
        <v/>
      </c>
      <c r="BQ187" s="41" t="str">
        <f>IF(ISBLANK('Paste Full'!CC187),"",'Paste Full'!CC187)</f>
        <v/>
      </c>
      <c r="BR187" s="41" t="str">
        <f>IF(ISBLANK('Paste Full'!CD187),"",'Paste Full'!CD187)</f>
        <v/>
      </c>
      <c r="BS187" s="41" t="str">
        <f>IF(ISBLANK('Paste Full'!CE187),"",'Paste Full'!CE187)</f>
        <v/>
      </c>
      <c r="BT187" s="41" t="str">
        <f>IF(ISBLANK('Paste Full'!CF187),"",'Paste Full'!CF187)</f>
        <v/>
      </c>
      <c r="BU187" s="41" t="str">
        <f>IF(ISBLANK('Paste Full'!CG187),"",'Paste Full'!CG187)</f>
        <v/>
      </c>
      <c r="BV187" s="41" t="str">
        <f>IF(ISBLANK('Paste Full'!CH187),"",'Paste Full'!CH187)</f>
        <v/>
      </c>
    </row>
    <row r="188" spans="66:74" x14ac:dyDescent="0.3">
      <c r="BN188" s="41" t="str">
        <f>IF(ISBLANK('Paste Full'!BZ188),"",'Paste Full'!BZ188)</f>
        <v/>
      </c>
      <c r="BO188" s="41" t="str">
        <f>IF(ISBLANK('Paste Full'!CA188),"",'Paste Full'!CA188)</f>
        <v/>
      </c>
      <c r="BP188" s="41" t="str">
        <f>IF(ISBLANK('Paste Full'!CB188),"",'Paste Full'!CB188)</f>
        <v/>
      </c>
      <c r="BQ188" s="41" t="str">
        <f>IF(ISBLANK('Paste Full'!CC188),"",'Paste Full'!CC188)</f>
        <v/>
      </c>
      <c r="BR188" s="41" t="str">
        <f>IF(ISBLANK('Paste Full'!CD188),"",'Paste Full'!CD188)</f>
        <v/>
      </c>
      <c r="BS188" s="41" t="str">
        <f>IF(ISBLANK('Paste Full'!CE188),"",'Paste Full'!CE188)</f>
        <v/>
      </c>
      <c r="BT188" s="41" t="str">
        <f>IF(ISBLANK('Paste Full'!CF188),"",'Paste Full'!CF188)</f>
        <v/>
      </c>
      <c r="BU188" s="41" t="str">
        <f>IF(ISBLANK('Paste Full'!CG188),"",'Paste Full'!CG188)</f>
        <v/>
      </c>
      <c r="BV188" s="41" t="str">
        <f>IF(ISBLANK('Paste Full'!CH188),"",'Paste Full'!CH188)</f>
        <v/>
      </c>
    </row>
    <row r="189" spans="66:74" x14ac:dyDescent="0.3">
      <c r="BN189" s="41" t="str">
        <f>IF(ISBLANK('Paste Full'!BZ189),"",'Paste Full'!BZ189)</f>
        <v/>
      </c>
      <c r="BO189" s="41" t="str">
        <f>IF(ISBLANK('Paste Full'!CA189),"",'Paste Full'!CA189)</f>
        <v/>
      </c>
      <c r="BP189" s="41" t="str">
        <f>IF(ISBLANK('Paste Full'!CB189),"",'Paste Full'!CB189)</f>
        <v/>
      </c>
      <c r="BQ189" s="41" t="str">
        <f>IF(ISBLANK('Paste Full'!CC189),"",'Paste Full'!CC189)</f>
        <v/>
      </c>
      <c r="BR189" s="41" t="str">
        <f>IF(ISBLANK('Paste Full'!CD189),"",'Paste Full'!CD189)</f>
        <v/>
      </c>
      <c r="BS189" s="41" t="str">
        <f>IF(ISBLANK('Paste Full'!CE189),"",'Paste Full'!CE189)</f>
        <v/>
      </c>
      <c r="BT189" s="41" t="str">
        <f>IF(ISBLANK('Paste Full'!CF189),"",'Paste Full'!CF189)</f>
        <v/>
      </c>
      <c r="BU189" s="41" t="str">
        <f>IF(ISBLANK('Paste Full'!CG189),"",'Paste Full'!CG189)</f>
        <v/>
      </c>
      <c r="BV189" s="41" t="str">
        <f>IF(ISBLANK('Paste Full'!CH189),"",'Paste Full'!CH189)</f>
        <v/>
      </c>
    </row>
    <row r="190" spans="66:74" x14ac:dyDescent="0.3">
      <c r="BN190" s="41" t="str">
        <f>IF(ISBLANK('Paste Full'!BZ190),"",'Paste Full'!BZ190)</f>
        <v/>
      </c>
      <c r="BO190" s="41" t="str">
        <f>IF(ISBLANK('Paste Full'!CA190),"",'Paste Full'!CA190)</f>
        <v/>
      </c>
      <c r="BP190" s="41" t="str">
        <f>IF(ISBLANK('Paste Full'!CB190),"",'Paste Full'!CB190)</f>
        <v/>
      </c>
      <c r="BQ190" s="41" t="str">
        <f>IF(ISBLANK('Paste Full'!CC190),"",'Paste Full'!CC190)</f>
        <v/>
      </c>
      <c r="BR190" s="41" t="str">
        <f>IF(ISBLANK('Paste Full'!CD190),"",'Paste Full'!CD190)</f>
        <v/>
      </c>
      <c r="BS190" s="41" t="str">
        <f>IF(ISBLANK('Paste Full'!CE190),"",'Paste Full'!CE190)</f>
        <v/>
      </c>
      <c r="BT190" s="41" t="str">
        <f>IF(ISBLANK('Paste Full'!CF190),"",'Paste Full'!CF190)</f>
        <v/>
      </c>
      <c r="BU190" s="41" t="str">
        <f>IF(ISBLANK('Paste Full'!CG190),"",'Paste Full'!CG190)</f>
        <v/>
      </c>
      <c r="BV190" s="41" t="str">
        <f>IF(ISBLANK('Paste Full'!CH190),"",'Paste Full'!CH190)</f>
        <v/>
      </c>
    </row>
    <row r="191" spans="66:74" x14ac:dyDescent="0.3">
      <c r="BN191" s="41" t="str">
        <f>IF(ISBLANK('Paste Full'!BZ191),"",'Paste Full'!BZ191)</f>
        <v/>
      </c>
      <c r="BO191" s="41" t="str">
        <f>IF(ISBLANK('Paste Full'!CA191),"",'Paste Full'!CA191)</f>
        <v/>
      </c>
      <c r="BP191" s="41" t="str">
        <f>IF(ISBLANK('Paste Full'!CB191),"",'Paste Full'!CB191)</f>
        <v/>
      </c>
      <c r="BQ191" s="41" t="str">
        <f>IF(ISBLANK('Paste Full'!CC191),"",'Paste Full'!CC191)</f>
        <v/>
      </c>
      <c r="BR191" s="41" t="str">
        <f>IF(ISBLANK('Paste Full'!CD191),"",'Paste Full'!CD191)</f>
        <v/>
      </c>
      <c r="BS191" s="41" t="str">
        <f>IF(ISBLANK('Paste Full'!CE191),"",'Paste Full'!CE191)</f>
        <v/>
      </c>
      <c r="BT191" s="41" t="str">
        <f>IF(ISBLANK('Paste Full'!CF191),"",'Paste Full'!CF191)</f>
        <v/>
      </c>
      <c r="BU191" s="41" t="str">
        <f>IF(ISBLANK('Paste Full'!CG191),"",'Paste Full'!CG191)</f>
        <v/>
      </c>
      <c r="BV191" s="41" t="str">
        <f>IF(ISBLANK('Paste Full'!CH191),"",'Paste Full'!CH191)</f>
        <v/>
      </c>
    </row>
    <row r="192" spans="66:74" x14ac:dyDescent="0.3">
      <c r="BN192" s="41" t="str">
        <f>IF(ISBLANK('Paste Full'!BZ192),"",'Paste Full'!BZ192)</f>
        <v/>
      </c>
      <c r="BO192" s="41" t="str">
        <f>IF(ISBLANK('Paste Full'!CA192),"",'Paste Full'!CA192)</f>
        <v/>
      </c>
      <c r="BP192" s="41" t="str">
        <f>IF(ISBLANK('Paste Full'!CB192),"",'Paste Full'!CB192)</f>
        <v/>
      </c>
      <c r="BQ192" s="41" t="str">
        <f>IF(ISBLANK('Paste Full'!CC192),"",'Paste Full'!CC192)</f>
        <v/>
      </c>
      <c r="BR192" s="41" t="str">
        <f>IF(ISBLANK('Paste Full'!CD192),"",'Paste Full'!CD192)</f>
        <v/>
      </c>
      <c r="BS192" s="41" t="str">
        <f>IF(ISBLANK('Paste Full'!CE192),"",'Paste Full'!CE192)</f>
        <v/>
      </c>
      <c r="BT192" s="41" t="str">
        <f>IF(ISBLANK('Paste Full'!CF192),"",'Paste Full'!CF192)</f>
        <v/>
      </c>
      <c r="BU192" s="41" t="str">
        <f>IF(ISBLANK('Paste Full'!CG192),"",'Paste Full'!CG192)</f>
        <v/>
      </c>
      <c r="BV192" s="41" t="str">
        <f>IF(ISBLANK('Paste Full'!CH192),"",'Paste Full'!CH192)</f>
        <v/>
      </c>
    </row>
    <row r="193" spans="66:74" x14ac:dyDescent="0.3">
      <c r="BN193" s="41" t="str">
        <f>IF(ISBLANK('Paste Full'!BZ193),"",'Paste Full'!BZ193)</f>
        <v/>
      </c>
      <c r="BO193" s="41" t="str">
        <f>IF(ISBLANK('Paste Full'!CA193),"",'Paste Full'!CA193)</f>
        <v/>
      </c>
      <c r="BP193" s="41" t="str">
        <f>IF(ISBLANK('Paste Full'!CB193),"",'Paste Full'!CB193)</f>
        <v/>
      </c>
      <c r="BQ193" s="41" t="str">
        <f>IF(ISBLANK('Paste Full'!CC193),"",'Paste Full'!CC193)</f>
        <v/>
      </c>
      <c r="BR193" s="41" t="str">
        <f>IF(ISBLANK('Paste Full'!CD193),"",'Paste Full'!CD193)</f>
        <v/>
      </c>
      <c r="BS193" s="41" t="str">
        <f>IF(ISBLANK('Paste Full'!CE193),"",'Paste Full'!CE193)</f>
        <v/>
      </c>
      <c r="BT193" s="41" t="str">
        <f>IF(ISBLANK('Paste Full'!CF193),"",'Paste Full'!CF193)</f>
        <v/>
      </c>
      <c r="BU193" s="41" t="str">
        <f>IF(ISBLANK('Paste Full'!CG193),"",'Paste Full'!CG193)</f>
        <v/>
      </c>
      <c r="BV193" s="41" t="str">
        <f>IF(ISBLANK('Paste Full'!CH193),"",'Paste Full'!CH193)</f>
        <v/>
      </c>
    </row>
    <row r="194" spans="66:74" x14ac:dyDescent="0.3">
      <c r="BN194" s="41" t="str">
        <f>IF(ISBLANK('Paste Full'!BZ194),"",'Paste Full'!BZ194)</f>
        <v/>
      </c>
      <c r="BO194" s="41" t="str">
        <f>IF(ISBLANK('Paste Full'!CA194),"",'Paste Full'!CA194)</f>
        <v/>
      </c>
      <c r="BP194" s="41" t="str">
        <f>IF(ISBLANK('Paste Full'!CB194),"",'Paste Full'!CB194)</f>
        <v/>
      </c>
      <c r="BQ194" s="41" t="str">
        <f>IF(ISBLANK('Paste Full'!CC194),"",'Paste Full'!CC194)</f>
        <v/>
      </c>
      <c r="BR194" s="41" t="str">
        <f>IF(ISBLANK('Paste Full'!CD194),"",'Paste Full'!CD194)</f>
        <v/>
      </c>
      <c r="BS194" s="41" t="str">
        <f>IF(ISBLANK('Paste Full'!CE194),"",'Paste Full'!CE194)</f>
        <v/>
      </c>
      <c r="BT194" s="41" t="str">
        <f>IF(ISBLANK('Paste Full'!CF194),"",'Paste Full'!CF194)</f>
        <v/>
      </c>
      <c r="BU194" s="41" t="str">
        <f>IF(ISBLANK('Paste Full'!CG194),"",'Paste Full'!CG194)</f>
        <v/>
      </c>
      <c r="BV194" s="41" t="str">
        <f>IF(ISBLANK('Paste Full'!CH194),"",'Paste Full'!CH194)</f>
        <v/>
      </c>
    </row>
    <row r="195" spans="66:74" x14ac:dyDescent="0.3">
      <c r="BN195" s="41" t="str">
        <f>IF(ISBLANK('Paste Full'!BZ195),"",'Paste Full'!BZ195)</f>
        <v/>
      </c>
      <c r="BO195" s="41" t="str">
        <f>IF(ISBLANK('Paste Full'!CA195),"",'Paste Full'!CA195)</f>
        <v/>
      </c>
      <c r="BP195" s="41" t="str">
        <f>IF(ISBLANK('Paste Full'!CB195),"",'Paste Full'!CB195)</f>
        <v/>
      </c>
      <c r="BQ195" s="41" t="str">
        <f>IF(ISBLANK('Paste Full'!CC195),"",'Paste Full'!CC195)</f>
        <v/>
      </c>
      <c r="BR195" s="41" t="str">
        <f>IF(ISBLANK('Paste Full'!CD195),"",'Paste Full'!CD195)</f>
        <v/>
      </c>
      <c r="BS195" s="41" t="str">
        <f>IF(ISBLANK('Paste Full'!CE195),"",'Paste Full'!CE195)</f>
        <v/>
      </c>
      <c r="BT195" s="41" t="str">
        <f>IF(ISBLANK('Paste Full'!CF195),"",'Paste Full'!CF195)</f>
        <v/>
      </c>
      <c r="BU195" s="41" t="str">
        <f>IF(ISBLANK('Paste Full'!CG195),"",'Paste Full'!CG195)</f>
        <v/>
      </c>
      <c r="BV195" s="41" t="str">
        <f>IF(ISBLANK('Paste Full'!CH195),"",'Paste Full'!CH195)</f>
        <v/>
      </c>
    </row>
    <row r="196" spans="66:74" x14ac:dyDescent="0.3">
      <c r="BN196" s="41" t="str">
        <f>IF(ISBLANK('Paste Full'!BZ196),"",'Paste Full'!BZ196)</f>
        <v/>
      </c>
      <c r="BO196" s="41" t="str">
        <f>IF(ISBLANK('Paste Full'!CA196),"",'Paste Full'!CA196)</f>
        <v/>
      </c>
      <c r="BP196" s="41" t="str">
        <f>IF(ISBLANK('Paste Full'!CB196),"",'Paste Full'!CB196)</f>
        <v/>
      </c>
      <c r="BQ196" s="41" t="str">
        <f>IF(ISBLANK('Paste Full'!CC196),"",'Paste Full'!CC196)</f>
        <v/>
      </c>
      <c r="BR196" s="41" t="str">
        <f>IF(ISBLANK('Paste Full'!CD196),"",'Paste Full'!CD196)</f>
        <v/>
      </c>
      <c r="BS196" s="41" t="str">
        <f>IF(ISBLANK('Paste Full'!CE196),"",'Paste Full'!CE196)</f>
        <v/>
      </c>
      <c r="BT196" s="41" t="str">
        <f>IF(ISBLANK('Paste Full'!CF196),"",'Paste Full'!CF196)</f>
        <v/>
      </c>
      <c r="BU196" s="41" t="str">
        <f>IF(ISBLANK('Paste Full'!CG196),"",'Paste Full'!CG196)</f>
        <v/>
      </c>
      <c r="BV196" s="41" t="str">
        <f>IF(ISBLANK('Paste Full'!CH196),"",'Paste Full'!CH196)</f>
        <v/>
      </c>
    </row>
    <row r="197" spans="66:74" x14ac:dyDescent="0.3">
      <c r="BN197" s="41" t="str">
        <f>IF(ISBLANK('Paste Full'!BZ197),"",'Paste Full'!BZ197)</f>
        <v/>
      </c>
      <c r="BO197" s="41" t="str">
        <f>IF(ISBLANK('Paste Full'!CA197),"",'Paste Full'!CA197)</f>
        <v/>
      </c>
      <c r="BP197" s="41" t="str">
        <f>IF(ISBLANK('Paste Full'!CB197),"",'Paste Full'!CB197)</f>
        <v/>
      </c>
      <c r="BQ197" s="41" t="str">
        <f>IF(ISBLANK('Paste Full'!CC197),"",'Paste Full'!CC197)</f>
        <v/>
      </c>
      <c r="BR197" s="41" t="str">
        <f>IF(ISBLANK('Paste Full'!CD197),"",'Paste Full'!CD197)</f>
        <v/>
      </c>
      <c r="BS197" s="41" t="str">
        <f>IF(ISBLANK('Paste Full'!CE197),"",'Paste Full'!CE197)</f>
        <v/>
      </c>
      <c r="BT197" s="41" t="str">
        <f>IF(ISBLANK('Paste Full'!CF197),"",'Paste Full'!CF197)</f>
        <v/>
      </c>
      <c r="BU197" s="41" t="str">
        <f>IF(ISBLANK('Paste Full'!CG197),"",'Paste Full'!CG197)</f>
        <v/>
      </c>
      <c r="BV197" s="41" t="str">
        <f>IF(ISBLANK('Paste Full'!CH197),"",'Paste Full'!CH197)</f>
        <v/>
      </c>
    </row>
    <row r="198" spans="66:74" x14ac:dyDescent="0.3">
      <c r="BN198" s="41" t="str">
        <f>IF(ISBLANK('Paste Full'!BZ198),"",'Paste Full'!BZ198)</f>
        <v/>
      </c>
      <c r="BO198" s="41" t="str">
        <f>IF(ISBLANK('Paste Full'!CA198),"",'Paste Full'!CA198)</f>
        <v/>
      </c>
      <c r="BP198" s="41" t="str">
        <f>IF(ISBLANK('Paste Full'!CB198),"",'Paste Full'!CB198)</f>
        <v/>
      </c>
      <c r="BQ198" s="41" t="str">
        <f>IF(ISBLANK('Paste Full'!CC198),"",'Paste Full'!CC198)</f>
        <v/>
      </c>
      <c r="BR198" s="41" t="str">
        <f>IF(ISBLANK('Paste Full'!CD198),"",'Paste Full'!CD198)</f>
        <v/>
      </c>
      <c r="BS198" s="41" t="str">
        <f>IF(ISBLANK('Paste Full'!CE198),"",'Paste Full'!CE198)</f>
        <v/>
      </c>
      <c r="BT198" s="41" t="str">
        <f>IF(ISBLANK('Paste Full'!CF198),"",'Paste Full'!CF198)</f>
        <v/>
      </c>
      <c r="BU198" s="41" t="str">
        <f>IF(ISBLANK('Paste Full'!CG198),"",'Paste Full'!CG198)</f>
        <v/>
      </c>
      <c r="BV198" s="41" t="str">
        <f>IF(ISBLANK('Paste Full'!CH198),"",'Paste Full'!CH198)</f>
        <v/>
      </c>
    </row>
    <row r="199" spans="66:74" x14ac:dyDescent="0.3">
      <c r="BN199" s="41" t="str">
        <f>IF(ISBLANK('Paste Full'!BZ199),"",'Paste Full'!BZ199)</f>
        <v/>
      </c>
      <c r="BO199" s="41" t="str">
        <f>IF(ISBLANK('Paste Full'!CA199),"",'Paste Full'!CA199)</f>
        <v/>
      </c>
      <c r="BP199" s="41" t="str">
        <f>IF(ISBLANK('Paste Full'!CB199),"",'Paste Full'!CB199)</f>
        <v/>
      </c>
      <c r="BQ199" s="41" t="str">
        <f>IF(ISBLANK('Paste Full'!CC199),"",'Paste Full'!CC199)</f>
        <v/>
      </c>
      <c r="BR199" s="41" t="str">
        <f>IF(ISBLANK('Paste Full'!CD199),"",'Paste Full'!CD199)</f>
        <v/>
      </c>
      <c r="BS199" s="41" t="str">
        <f>IF(ISBLANK('Paste Full'!CE199),"",'Paste Full'!CE199)</f>
        <v/>
      </c>
      <c r="BT199" s="41" t="str">
        <f>IF(ISBLANK('Paste Full'!CF199),"",'Paste Full'!CF199)</f>
        <v/>
      </c>
      <c r="BU199" s="41" t="str">
        <f>IF(ISBLANK('Paste Full'!CG199),"",'Paste Full'!CG199)</f>
        <v/>
      </c>
      <c r="BV199" s="41" t="str">
        <f>IF(ISBLANK('Paste Full'!CH199),"",'Paste Full'!CH199)</f>
        <v/>
      </c>
    </row>
    <row r="200" spans="66:74" x14ac:dyDescent="0.3">
      <c r="BN200" s="41" t="str">
        <f>IF(ISBLANK('Paste Full'!BZ200),"",'Paste Full'!BZ200)</f>
        <v/>
      </c>
      <c r="BO200" s="41" t="str">
        <f>IF(ISBLANK('Paste Full'!CA200),"",'Paste Full'!CA200)</f>
        <v/>
      </c>
      <c r="BP200" s="41" t="str">
        <f>IF(ISBLANK('Paste Full'!CB200),"",'Paste Full'!CB200)</f>
        <v/>
      </c>
      <c r="BQ200" s="41" t="str">
        <f>IF(ISBLANK('Paste Full'!CC200),"",'Paste Full'!CC200)</f>
        <v/>
      </c>
      <c r="BR200" s="41" t="str">
        <f>IF(ISBLANK('Paste Full'!CD200),"",'Paste Full'!CD200)</f>
        <v/>
      </c>
      <c r="BS200" s="41" t="str">
        <f>IF(ISBLANK('Paste Full'!CE200),"",'Paste Full'!CE200)</f>
        <v/>
      </c>
      <c r="BT200" s="41" t="str">
        <f>IF(ISBLANK('Paste Full'!CF200),"",'Paste Full'!CF200)</f>
        <v/>
      </c>
      <c r="BU200" s="41" t="str">
        <f>IF(ISBLANK('Paste Full'!CG200),"",'Paste Full'!CG200)</f>
        <v/>
      </c>
      <c r="BV200" s="41" t="str">
        <f>IF(ISBLANK('Paste Full'!CH200),"",'Paste Full'!CH200)</f>
        <v/>
      </c>
    </row>
    <row r="201" spans="66:74" x14ac:dyDescent="0.3">
      <c r="BN201" s="41" t="str">
        <f>IF(ISBLANK('Paste Full'!BZ201),"",'Paste Full'!BZ201)</f>
        <v/>
      </c>
      <c r="BO201" s="41" t="str">
        <f>IF(ISBLANK('Paste Full'!CA201),"",'Paste Full'!CA201)</f>
        <v/>
      </c>
      <c r="BP201" s="41" t="str">
        <f>IF(ISBLANK('Paste Full'!CB201),"",'Paste Full'!CB201)</f>
        <v/>
      </c>
      <c r="BQ201" s="41" t="str">
        <f>IF(ISBLANK('Paste Full'!CC201),"",'Paste Full'!CC201)</f>
        <v/>
      </c>
      <c r="BR201" s="41" t="str">
        <f>IF(ISBLANK('Paste Full'!CD201),"",'Paste Full'!CD201)</f>
        <v/>
      </c>
      <c r="BS201" s="41" t="str">
        <f>IF(ISBLANK('Paste Full'!CE201),"",'Paste Full'!CE201)</f>
        <v/>
      </c>
      <c r="BT201" s="41" t="str">
        <f>IF(ISBLANK('Paste Full'!CF201),"",'Paste Full'!CF201)</f>
        <v/>
      </c>
      <c r="BU201" s="41" t="str">
        <f>IF(ISBLANK('Paste Full'!CG201),"",'Paste Full'!CG201)</f>
        <v/>
      </c>
      <c r="BV201" s="41" t="str">
        <f>IF(ISBLANK('Paste Full'!CH201),"",'Paste Full'!CH201)</f>
        <v/>
      </c>
    </row>
    <row r="202" spans="66:74" x14ac:dyDescent="0.3">
      <c r="BN202" s="41" t="str">
        <f>IF(ISBLANK('Paste Full'!BZ202),"",'Paste Full'!BZ202)</f>
        <v/>
      </c>
      <c r="BO202" s="41" t="str">
        <f>IF(ISBLANK('Paste Full'!CA202),"",'Paste Full'!CA202)</f>
        <v/>
      </c>
      <c r="BP202" s="41" t="str">
        <f>IF(ISBLANK('Paste Full'!CB202),"",'Paste Full'!CB202)</f>
        <v/>
      </c>
      <c r="BQ202" s="41" t="str">
        <f>IF(ISBLANK('Paste Full'!CC202),"",'Paste Full'!CC202)</f>
        <v/>
      </c>
      <c r="BR202" s="41" t="str">
        <f>IF(ISBLANK('Paste Full'!CD202),"",'Paste Full'!CD202)</f>
        <v/>
      </c>
      <c r="BS202" s="41" t="str">
        <f>IF(ISBLANK('Paste Full'!CE202),"",'Paste Full'!CE202)</f>
        <v/>
      </c>
      <c r="BT202" s="41" t="str">
        <f>IF(ISBLANK('Paste Full'!CF202),"",'Paste Full'!CF202)</f>
        <v/>
      </c>
      <c r="BU202" s="41" t="str">
        <f>IF(ISBLANK('Paste Full'!CG202),"",'Paste Full'!CG202)</f>
        <v/>
      </c>
      <c r="BV202" s="41" t="str">
        <f>IF(ISBLANK('Paste Full'!CH202),"",'Paste Full'!CH202)</f>
        <v/>
      </c>
    </row>
    <row r="203" spans="66:74" x14ac:dyDescent="0.3">
      <c r="BN203" s="41" t="str">
        <f>IF(ISBLANK('Paste Full'!BZ203),"",'Paste Full'!BZ203)</f>
        <v/>
      </c>
      <c r="BO203" s="41" t="str">
        <f>IF(ISBLANK('Paste Full'!CA203),"",'Paste Full'!CA203)</f>
        <v/>
      </c>
      <c r="BP203" s="41" t="str">
        <f>IF(ISBLANK('Paste Full'!CB203),"",'Paste Full'!CB203)</f>
        <v/>
      </c>
      <c r="BQ203" s="41" t="str">
        <f>IF(ISBLANK('Paste Full'!CC203),"",'Paste Full'!CC203)</f>
        <v/>
      </c>
      <c r="BR203" s="41" t="str">
        <f>IF(ISBLANK('Paste Full'!CD203),"",'Paste Full'!CD203)</f>
        <v/>
      </c>
      <c r="BS203" s="41" t="str">
        <f>IF(ISBLANK('Paste Full'!CE203),"",'Paste Full'!CE203)</f>
        <v/>
      </c>
      <c r="BT203" s="41" t="str">
        <f>IF(ISBLANK('Paste Full'!CF203),"",'Paste Full'!CF203)</f>
        <v/>
      </c>
      <c r="BU203" s="41" t="str">
        <f>IF(ISBLANK('Paste Full'!CG203),"",'Paste Full'!CG203)</f>
        <v/>
      </c>
      <c r="BV203" s="41" t="str">
        <f>IF(ISBLANK('Paste Full'!CH203),"",'Paste Full'!CH203)</f>
        <v/>
      </c>
    </row>
    <row r="204" spans="66:74" x14ac:dyDescent="0.3">
      <c r="BN204" s="41" t="str">
        <f>IF(ISBLANK('Paste Full'!BZ204),"",'Paste Full'!BZ204)</f>
        <v/>
      </c>
      <c r="BO204" s="41" t="str">
        <f>IF(ISBLANK('Paste Full'!CA204),"",'Paste Full'!CA204)</f>
        <v/>
      </c>
      <c r="BP204" s="41" t="str">
        <f>IF(ISBLANK('Paste Full'!CB204),"",'Paste Full'!CB204)</f>
        <v/>
      </c>
      <c r="BQ204" s="41" t="str">
        <f>IF(ISBLANK('Paste Full'!CC204),"",'Paste Full'!CC204)</f>
        <v/>
      </c>
      <c r="BR204" s="41" t="str">
        <f>IF(ISBLANK('Paste Full'!CD204),"",'Paste Full'!CD204)</f>
        <v/>
      </c>
      <c r="BS204" s="41" t="str">
        <f>IF(ISBLANK('Paste Full'!CE204),"",'Paste Full'!CE204)</f>
        <v/>
      </c>
      <c r="BT204" s="41" t="str">
        <f>IF(ISBLANK('Paste Full'!CF204),"",'Paste Full'!CF204)</f>
        <v/>
      </c>
      <c r="BU204" s="41" t="str">
        <f>IF(ISBLANK('Paste Full'!CG204),"",'Paste Full'!CG204)</f>
        <v/>
      </c>
      <c r="BV204" s="41" t="str">
        <f>IF(ISBLANK('Paste Full'!CH204),"",'Paste Full'!CH204)</f>
        <v/>
      </c>
    </row>
    <row r="205" spans="66:74" x14ac:dyDescent="0.3">
      <c r="BN205" s="41" t="str">
        <f>IF(ISBLANK('Paste Full'!BZ205),"",'Paste Full'!BZ205)</f>
        <v/>
      </c>
      <c r="BO205" s="41" t="str">
        <f>IF(ISBLANK('Paste Full'!CA205),"",'Paste Full'!CA205)</f>
        <v/>
      </c>
      <c r="BP205" s="41" t="str">
        <f>IF(ISBLANK('Paste Full'!CB205),"",'Paste Full'!CB205)</f>
        <v/>
      </c>
      <c r="BQ205" s="41" t="str">
        <f>IF(ISBLANK('Paste Full'!CC205),"",'Paste Full'!CC205)</f>
        <v/>
      </c>
      <c r="BR205" s="41" t="str">
        <f>IF(ISBLANK('Paste Full'!CD205),"",'Paste Full'!CD205)</f>
        <v/>
      </c>
      <c r="BS205" s="41" t="str">
        <f>IF(ISBLANK('Paste Full'!CE205),"",'Paste Full'!CE205)</f>
        <v/>
      </c>
      <c r="BT205" s="41" t="str">
        <f>IF(ISBLANK('Paste Full'!CF205),"",'Paste Full'!CF205)</f>
        <v/>
      </c>
      <c r="BU205" s="41" t="str">
        <f>IF(ISBLANK('Paste Full'!CG205),"",'Paste Full'!CG205)</f>
        <v/>
      </c>
      <c r="BV205" s="41" t="str">
        <f>IF(ISBLANK('Paste Full'!CH205),"",'Paste Full'!CH205)</f>
        <v/>
      </c>
    </row>
    <row r="206" spans="66:74" x14ac:dyDescent="0.3">
      <c r="BN206" s="41" t="str">
        <f>IF(ISBLANK('Paste Full'!BZ206),"",'Paste Full'!BZ206)</f>
        <v/>
      </c>
      <c r="BO206" s="41" t="str">
        <f>IF(ISBLANK('Paste Full'!CA206),"",'Paste Full'!CA206)</f>
        <v/>
      </c>
      <c r="BP206" s="41" t="str">
        <f>IF(ISBLANK('Paste Full'!CB206),"",'Paste Full'!CB206)</f>
        <v/>
      </c>
      <c r="BQ206" s="41" t="str">
        <f>IF(ISBLANK('Paste Full'!CC206),"",'Paste Full'!CC206)</f>
        <v/>
      </c>
      <c r="BR206" s="41" t="str">
        <f>IF(ISBLANK('Paste Full'!CD206),"",'Paste Full'!CD206)</f>
        <v/>
      </c>
      <c r="BS206" s="41" t="str">
        <f>IF(ISBLANK('Paste Full'!CE206),"",'Paste Full'!CE206)</f>
        <v/>
      </c>
      <c r="BT206" s="41" t="str">
        <f>IF(ISBLANK('Paste Full'!CF206),"",'Paste Full'!CF206)</f>
        <v/>
      </c>
      <c r="BU206" s="41" t="str">
        <f>IF(ISBLANK('Paste Full'!CG206),"",'Paste Full'!CG206)</f>
        <v/>
      </c>
      <c r="BV206" s="41" t="str">
        <f>IF(ISBLANK('Paste Full'!CH206),"",'Paste Full'!CH206)</f>
        <v/>
      </c>
    </row>
    <row r="207" spans="66:74" x14ac:dyDescent="0.3">
      <c r="BN207" s="41" t="str">
        <f>IF(ISBLANK('Paste Full'!BZ207),"",'Paste Full'!BZ207)</f>
        <v/>
      </c>
      <c r="BO207" s="41" t="str">
        <f>IF(ISBLANK('Paste Full'!CA207),"",'Paste Full'!CA207)</f>
        <v/>
      </c>
      <c r="BP207" s="41" t="str">
        <f>IF(ISBLANK('Paste Full'!CB207),"",'Paste Full'!CB207)</f>
        <v/>
      </c>
      <c r="BQ207" s="41" t="str">
        <f>IF(ISBLANK('Paste Full'!CC207),"",'Paste Full'!CC207)</f>
        <v/>
      </c>
      <c r="BR207" s="41" t="str">
        <f>IF(ISBLANK('Paste Full'!CD207),"",'Paste Full'!CD207)</f>
        <v/>
      </c>
      <c r="BS207" s="41" t="str">
        <f>IF(ISBLANK('Paste Full'!CE207),"",'Paste Full'!CE207)</f>
        <v/>
      </c>
      <c r="BT207" s="41" t="str">
        <f>IF(ISBLANK('Paste Full'!CF207),"",'Paste Full'!CF207)</f>
        <v/>
      </c>
      <c r="BU207" s="41" t="str">
        <f>IF(ISBLANK('Paste Full'!CG207),"",'Paste Full'!CG207)</f>
        <v/>
      </c>
      <c r="BV207" s="41" t="str">
        <f>IF(ISBLANK('Paste Full'!CH207),"",'Paste Full'!CH207)</f>
        <v/>
      </c>
    </row>
    <row r="208" spans="66:74" x14ac:dyDescent="0.3">
      <c r="BN208" s="41" t="str">
        <f>IF(ISBLANK('Paste Full'!BZ208),"",'Paste Full'!BZ208)</f>
        <v/>
      </c>
      <c r="BO208" s="41" t="str">
        <f>IF(ISBLANK('Paste Full'!CA208),"",'Paste Full'!CA208)</f>
        <v/>
      </c>
      <c r="BP208" s="41" t="str">
        <f>IF(ISBLANK('Paste Full'!CB208),"",'Paste Full'!CB208)</f>
        <v/>
      </c>
      <c r="BQ208" s="41" t="str">
        <f>IF(ISBLANK('Paste Full'!CC208),"",'Paste Full'!CC208)</f>
        <v/>
      </c>
      <c r="BR208" s="41" t="str">
        <f>IF(ISBLANK('Paste Full'!CD208),"",'Paste Full'!CD208)</f>
        <v/>
      </c>
      <c r="BS208" s="41" t="str">
        <f>IF(ISBLANK('Paste Full'!CE208),"",'Paste Full'!CE208)</f>
        <v/>
      </c>
      <c r="BT208" s="41" t="str">
        <f>IF(ISBLANK('Paste Full'!CF208),"",'Paste Full'!CF208)</f>
        <v/>
      </c>
      <c r="BU208" s="41" t="str">
        <f>IF(ISBLANK('Paste Full'!CG208),"",'Paste Full'!CG208)</f>
        <v/>
      </c>
      <c r="BV208" s="41" t="str">
        <f>IF(ISBLANK('Paste Full'!CH208),"",'Paste Full'!CH208)</f>
        <v/>
      </c>
    </row>
    <row r="209" spans="66:74" x14ac:dyDescent="0.3">
      <c r="BN209" s="41" t="str">
        <f>IF(ISBLANK('Paste Full'!BZ209),"",'Paste Full'!BZ209)</f>
        <v/>
      </c>
      <c r="BO209" s="41" t="str">
        <f>IF(ISBLANK('Paste Full'!CA209),"",'Paste Full'!CA209)</f>
        <v/>
      </c>
      <c r="BP209" s="41" t="str">
        <f>IF(ISBLANK('Paste Full'!CB209),"",'Paste Full'!CB209)</f>
        <v/>
      </c>
      <c r="BQ209" s="41" t="str">
        <f>IF(ISBLANK('Paste Full'!CC209),"",'Paste Full'!CC209)</f>
        <v/>
      </c>
      <c r="BR209" s="41" t="str">
        <f>IF(ISBLANK('Paste Full'!CD209),"",'Paste Full'!CD209)</f>
        <v/>
      </c>
      <c r="BS209" s="41" t="str">
        <f>IF(ISBLANK('Paste Full'!CE209),"",'Paste Full'!CE209)</f>
        <v/>
      </c>
      <c r="BT209" s="41" t="str">
        <f>IF(ISBLANK('Paste Full'!CF209),"",'Paste Full'!CF209)</f>
        <v/>
      </c>
      <c r="BU209" s="41" t="str">
        <f>IF(ISBLANK('Paste Full'!CG209),"",'Paste Full'!CG209)</f>
        <v/>
      </c>
      <c r="BV209" s="41" t="str">
        <f>IF(ISBLANK('Paste Full'!CH209),"",'Paste Full'!CH209)</f>
        <v/>
      </c>
    </row>
    <row r="210" spans="66:74" x14ac:dyDescent="0.3">
      <c r="BN210" s="41" t="str">
        <f>IF(ISBLANK('Paste Full'!BZ210),"",'Paste Full'!BZ210)</f>
        <v/>
      </c>
      <c r="BO210" s="41" t="str">
        <f>IF(ISBLANK('Paste Full'!CA210),"",'Paste Full'!CA210)</f>
        <v/>
      </c>
      <c r="BP210" s="41" t="str">
        <f>IF(ISBLANK('Paste Full'!CB210),"",'Paste Full'!CB210)</f>
        <v/>
      </c>
      <c r="BQ210" s="41" t="str">
        <f>IF(ISBLANK('Paste Full'!CC210),"",'Paste Full'!CC210)</f>
        <v/>
      </c>
      <c r="BR210" s="41" t="str">
        <f>IF(ISBLANK('Paste Full'!CD210),"",'Paste Full'!CD210)</f>
        <v/>
      </c>
      <c r="BS210" s="41" t="str">
        <f>IF(ISBLANK('Paste Full'!CE210),"",'Paste Full'!CE210)</f>
        <v/>
      </c>
      <c r="BT210" s="41" t="str">
        <f>IF(ISBLANK('Paste Full'!CF210),"",'Paste Full'!CF210)</f>
        <v/>
      </c>
      <c r="BU210" s="41" t="str">
        <f>IF(ISBLANK('Paste Full'!CG210),"",'Paste Full'!CG210)</f>
        <v/>
      </c>
      <c r="BV210" s="41" t="str">
        <f>IF(ISBLANK('Paste Full'!CH210),"",'Paste Full'!CH210)</f>
        <v/>
      </c>
    </row>
    <row r="211" spans="66:74" x14ac:dyDescent="0.3">
      <c r="BN211" s="41" t="str">
        <f>IF(ISBLANK('Paste Full'!BZ211),"",'Paste Full'!BZ211)</f>
        <v/>
      </c>
      <c r="BO211" s="41" t="str">
        <f>IF(ISBLANK('Paste Full'!CA211),"",'Paste Full'!CA211)</f>
        <v/>
      </c>
      <c r="BP211" s="41" t="str">
        <f>IF(ISBLANK('Paste Full'!CB211),"",'Paste Full'!CB211)</f>
        <v/>
      </c>
      <c r="BQ211" s="41" t="str">
        <f>IF(ISBLANK('Paste Full'!CC211),"",'Paste Full'!CC211)</f>
        <v/>
      </c>
      <c r="BR211" s="41" t="str">
        <f>IF(ISBLANK('Paste Full'!CD211),"",'Paste Full'!CD211)</f>
        <v/>
      </c>
      <c r="BS211" s="41" t="str">
        <f>IF(ISBLANK('Paste Full'!CE211),"",'Paste Full'!CE211)</f>
        <v/>
      </c>
      <c r="BT211" s="41" t="str">
        <f>IF(ISBLANK('Paste Full'!CF211),"",'Paste Full'!CF211)</f>
        <v/>
      </c>
      <c r="BU211" s="41" t="str">
        <f>IF(ISBLANK('Paste Full'!CG211),"",'Paste Full'!CG211)</f>
        <v/>
      </c>
      <c r="BV211" s="41" t="str">
        <f>IF(ISBLANK('Paste Full'!CH211),"",'Paste Full'!CH211)</f>
        <v/>
      </c>
    </row>
    <row r="212" spans="66:74" x14ac:dyDescent="0.3">
      <c r="BN212" s="41" t="str">
        <f>IF(ISBLANK('Paste Full'!BZ212),"",'Paste Full'!BZ212)</f>
        <v/>
      </c>
      <c r="BO212" s="41" t="str">
        <f>IF(ISBLANK('Paste Full'!CA212),"",'Paste Full'!CA212)</f>
        <v/>
      </c>
      <c r="BP212" s="41" t="str">
        <f>IF(ISBLANK('Paste Full'!CB212),"",'Paste Full'!CB212)</f>
        <v/>
      </c>
      <c r="BQ212" s="41" t="str">
        <f>IF(ISBLANK('Paste Full'!CC212),"",'Paste Full'!CC212)</f>
        <v/>
      </c>
      <c r="BR212" s="41" t="str">
        <f>IF(ISBLANK('Paste Full'!CD212),"",'Paste Full'!CD212)</f>
        <v/>
      </c>
      <c r="BS212" s="41" t="str">
        <f>IF(ISBLANK('Paste Full'!CE212),"",'Paste Full'!CE212)</f>
        <v/>
      </c>
      <c r="BT212" s="41" t="str">
        <f>IF(ISBLANK('Paste Full'!CF212),"",'Paste Full'!CF212)</f>
        <v/>
      </c>
      <c r="BU212" s="41" t="str">
        <f>IF(ISBLANK('Paste Full'!CG212),"",'Paste Full'!CG212)</f>
        <v/>
      </c>
      <c r="BV212" s="41" t="str">
        <f>IF(ISBLANK('Paste Full'!CH212),"",'Paste Full'!CH212)</f>
        <v/>
      </c>
    </row>
    <row r="213" spans="66:74" x14ac:dyDescent="0.3">
      <c r="BN213" s="41" t="str">
        <f>IF(ISBLANK('Paste Full'!BZ213),"",'Paste Full'!BZ213)</f>
        <v/>
      </c>
      <c r="BO213" s="41" t="str">
        <f>IF(ISBLANK('Paste Full'!CA213),"",'Paste Full'!CA213)</f>
        <v/>
      </c>
      <c r="BP213" s="41" t="str">
        <f>IF(ISBLANK('Paste Full'!CB213),"",'Paste Full'!CB213)</f>
        <v/>
      </c>
      <c r="BQ213" s="41" t="str">
        <f>IF(ISBLANK('Paste Full'!CC213),"",'Paste Full'!CC213)</f>
        <v/>
      </c>
      <c r="BR213" s="41" t="str">
        <f>IF(ISBLANK('Paste Full'!CD213),"",'Paste Full'!CD213)</f>
        <v/>
      </c>
      <c r="BS213" s="41" t="str">
        <f>IF(ISBLANK('Paste Full'!CE213),"",'Paste Full'!CE213)</f>
        <v/>
      </c>
      <c r="BT213" s="41" t="str">
        <f>IF(ISBLANK('Paste Full'!CF213),"",'Paste Full'!CF213)</f>
        <v/>
      </c>
      <c r="BU213" s="41" t="str">
        <f>IF(ISBLANK('Paste Full'!CG213),"",'Paste Full'!CG213)</f>
        <v/>
      </c>
      <c r="BV213" s="41" t="str">
        <f>IF(ISBLANK('Paste Full'!CH213),"",'Paste Full'!CH213)</f>
        <v/>
      </c>
    </row>
    <row r="214" spans="66:74" x14ac:dyDescent="0.3">
      <c r="BN214" s="41" t="str">
        <f>IF(ISBLANK('Paste Full'!BZ214),"",'Paste Full'!BZ214)</f>
        <v/>
      </c>
      <c r="BO214" s="41" t="str">
        <f>IF(ISBLANK('Paste Full'!CA214),"",'Paste Full'!CA214)</f>
        <v/>
      </c>
      <c r="BP214" s="41" t="str">
        <f>IF(ISBLANK('Paste Full'!CB214),"",'Paste Full'!CB214)</f>
        <v/>
      </c>
      <c r="BQ214" s="41" t="str">
        <f>IF(ISBLANK('Paste Full'!CC214),"",'Paste Full'!CC214)</f>
        <v/>
      </c>
      <c r="BR214" s="41" t="str">
        <f>IF(ISBLANK('Paste Full'!CD214),"",'Paste Full'!CD214)</f>
        <v/>
      </c>
      <c r="BS214" s="41" t="str">
        <f>IF(ISBLANK('Paste Full'!CE214),"",'Paste Full'!CE214)</f>
        <v/>
      </c>
      <c r="BT214" s="41" t="str">
        <f>IF(ISBLANK('Paste Full'!CF214),"",'Paste Full'!CF214)</f>
        <v/>
      </c>
      <c r="BU214" s="41" t="str">
        <f>IF(ISBLANK('Paste Full'!CG214),"",'Paste Full'!CG214)</f>
        <v/>
      </c>
      <c r="BV214" s="41" t="str">
        <f>IF(ISBLANK('Paste Full'!CH214),"",'Paste Full'!CH214)</f>
        <v/>
      </c>
    </row>
    <row r="215" spans="66:74" x14ac:dyDescent="0.3">
      <c r="BN215" s="41" t="str">
        <f>IF(ISBLANK('Paste Full'!BZ215),"",'Paste Full'!BZ215)</f>
        <v/>
      </c>
      <c r="BO215" s="41" t="str">
        <f>IF(ISBLANK('Paste Full'!CA215),"",'Paste Full'!CA215)</f>
        <v/>
      </c>
      <c r="BP215" s="41" t="str">
        <f>IF(ISBLANK('Paste Full'!CB215),"",'Paste Full'!CB215)</f>
        <v/>
      </c>
      <c r="BQ215" s="41" t="str">
        <f>IF(ISBLANK('Paste Full'!CC215),"",'Paste Full'!CC215)</f>
        <v/>
      </c>
      <c r="BR215" s="41" t="str">
        <f>IF(ISBLANK('Paste Full'!CD215),"",'Paste Full'!CD215)</f>
        <v/>
      </c>
      <c r="BS215" s="41" t="str">
        <f>IF(ISBLANK('Paste Full'!CE215),"",'Paste Full'!CE215)</f>
        <v/>
      </c>
      <c r="BT215" s="41" t="str">
        <f>IF(ISBLANK('Paste Full'!CF215),"",'Paste Full'!CF215)</f>
        <v/>
      </c>
      <c r="BU215" s="41" t="str">
        <f>IF(ISBLANK('Paste Full'!CG215),"",'Paste Full'!CG215)</f>
        <v/>
      </c>
      <c r="BV215" s="41" t="str">
        <f>IF(ISBLANK('Paste Full'!CH215),"",'Paste Full'!CH215)</f>
        <v/>
      </c>
    </row>
    <row r="216" spans="66:74" x14ac:dyDescent="0.3">
      <c r="BN216" s="41" t="str">
        <f>IF(ISBLANK('Paste Full'!BZ216),"",'Paste Full'!BZ216)</f>
        <v/>
      </c>
      <c r="BO216" s="41" t="str">
        <f>IF(ISBLANK('Paste Full'!CA216),"",'Paste Full'!CA216)</f>
        <v/>
      </c>
      <c r="BP216" s="41" t="str">
        <f>IF(ISBLANK('Paste Full'!CB216),"",'Paste Full'!CB216)</f>
        <v/>
      </c>
      <c r="BQ216" s="41" t="str">
        <f>IF(ISBLANK('Paste Full'!CC216),"",'Paste Full'!CC216)</f>
        <v/>
      </c>
      <c r="BR216" s="41" t="str">
        <f>IF(ISBLANK('Paste Full'!CD216),"",'Paste Full'!CD216)</f>
        <v/>
      </c>
      <c r="BS216" s="41" t="str">
        <f>IF(ISBLANK('Paste Full'!CE216),"",'Paste Full'!CE216)</f>
        <v/>
      </c>
      <c r="BT216" s="41" t="str">
        <f>IF(ISBLANK('Paste Full'!CF216),"",'Paste Full'!CF216)</f>
        <v/>
      </c>
      <c r="BU216" s="41" t="str">
        <f>IF(ISBLANK('Paste Full'!CG216),"",'Paste Full'!CG216)</f>
        <v/>
      </c>
      <c r="BV216" s="41" t="str">
        <f>IF(ISBLANK('Paste Full'!CH216),"",'Paste Full'!CH216)</f>
        <v/>
      </c>
    </row>
    <row r="217" spans="66:74" x14ac:dyDescent="0.3">
      <c r="BN217" s="41" t="str">
        <f>IF(ISBLANK('Paste Full'!BZ217),"",'Paste Full'!BZ217)</f>
        <v/>
      </c>
      <c r="BO217" s="41" t="str">
        <f>IF(ISBLANK('Paste Full'!CA217),"",'Paste Full'!CA217)</f>
        <v/>
      </c>
      <c r="BP217" s="41" t="str">
        <f>IF(ISBLANK('Paste Full'!CB217),"",'Paste Full'!CB217)</f>
        <v/>
      </c>
      <c r="BQ217" s="41" t="str">
        <f>IF(ISBLANK('Paste Full'!CC217),"",'Paste Full'!CC217)</f>
        <v/>
      </c>
      <c r="BR217" s="41" t="str">
        <f>IF(ISBLANK('Paste Full'!CD217),"",'Paste Full'!CD217)</f>
        <v/>
      </c>
      <c r="BS217" s="41" t="str">
        <f>IF(ISBLANK('Paste Full'!CE217),"",'Paste Full'!CE217)</f>
        <v/>
      </c>
      <c r="BT217" s="41" t="str">
        <f>IF(ISBLANK('Paste Full'!CF217),"",'Paste Full'!CF217)</f>
        <v/>
      </c>
      <c r="BU217" s="41" t="str">
        <f>IF(ISBLANK('Paste Full'!CG217),"",'Paste Full'!CG217)</f>
        <v/>
      </c>
      <c r="BV217" s="41" t="str">
        <f>IF(ISBLANK('Paste Full'!CH217),"",'Paste Full'!CH217)</f>
        <v/>
      </c>
    </row>
    <row r="218" spans="66:74" x14ac:dyDescent="0.3">
      <c r="BN218" s="41" t="str">
        <f>IF(ISBLANK('Paste Full'!BZ218),"",'Paste Full'!BZ218)</f>
        <v/>
      </c>
      <c r="BO218" s="41" t="str">
        <f>IF(ISBLANK('Paste Full'!CA218),"",'Paste Full'!CA218)</f>
        <v/>
      </c>
      <c r="BP218" s="41" t="str">
        <f>IF(ISBLANK('Paste Full'!CB218),"",'Paste Full'!CB218)</f>
        <v/>
      </c>
      <c r="BQ218" s="41" t="str">
        <f>IF(ISBLANK('Paste Full'!CC218),"",'Paste Full'!CC218)</f>
        <v/>
      </c>
      <c r="BR218" s="41" t="str">
        <f>IF(ISBLANK('Paste Full'!CD218),"",'Paste Full'!CD218)</f>
        <v/>
      </c>
      <c r="BS218" s="41" t="str">
        <f>IF(ISBLANK('Paste Full'!CE218),"",'Paste Full'!CE218)</f>
        <v/>
      </c>
      <c r="BT218" s="41" t="str">
        <f>IF(ISBLANK('Paste Full'!CF218),"",'Paste Full'!CF218)</f>
        <v/>
      </c>
      <c r="BU218" s="41" t="str">
        <f>IF(ISBLANK('Paste Full'!CG218),"",'Paste Full'!CG218)</f>
        <v/>
      </c>
      <c r="BV218" s="41" t="str">
        <f>IF(ISBLANK('Paste Full'!CH218),"",'Paste Full'!CH218)</f>
        <v/>
      </c>
    </row>
    <row r="219" spans="66:74" x14ac:dyDescent="0.3">
      <c r="BN219" s="41" t="str">
        <f>IF(ISBLANK('Paste Full'!BZ219),"",'Paste Full'!BZ219)</f>
        <v/>
      </c>
      <c r="BO219" s="41" t="str">
        <f>IF(ISBLANK('Paste Full'!CA219),"",'Paste Full'!CA219)</f>
        <v/>
      </c>
      <c r="BP219" s="41" t="str">
        <f>IF(ISBLANK('Paste Full'!CB219),"",'Paste Full'!CB219)</f>
        <v/>
      </c>
      <c r="BQ219" s="41" t="str">
        <f>IF(ISBLANK('Paste Full'!CC219),"",'Paste Full'!CC219)</f>
        <v/>
      </c>
      <c r="BR219" s="41" t="str">
        <f>IF(ISBLANK('Paste Full'!CD219),"",'Paste Full'!CD219)</f>
        <v/>
      </c>
      <c r="BS219" s="41" t="str">
        <f>IF(ISBLANK('Paste Full'!CE219),"",'Paste Full'!CE219)</f>
        <v/>
      </c>
      <c r="BT219" s="41" t="str">
        <f>IF(ISBLANK('Paste Full'!CF219),"",'Paste Full'!CF219)</f>
        <v/>
      </c>
      <c r="BU219" s="41" t="str">
        <f>IF(ISBLANK('Paste Full'!CG219),"",'Paste Full'!CG219)</f>
        <v/>
      </c>
      <c r="BV219" s="41" t="str">
        <f>IF(ISBLANK('Paste Full'!CH219),"",'Paste Full'!CH219)</f>
        <v/>
      </c>
    </row>
    <row r="220" spans="66:74" x14ac:dyDescent="0.3">
      <c r="BN220" s="41" t="str">
        <f>IF(ISBLANK('Paste Full'!BZ220),"",'Paste Full'!BZ220)</f>
        <v/>
      </c>
      <c r="BO220" s="41" t="str">
        <f>IF(ISBLANK('Paste Full'!CA220),"",'Paste Full'!CA220)</f>
        <v/>
      </c>
      <c r="BP220" s="41" t="str">
        <f>IF(ISBLANK('Paste Full'!CB220),"",'Paste Full'!CB220)</f>
        <v/>
      </c>
      <c r="BQ220" s="41" t="str">
        <f>IF(ISBLANK('Paste Full'!CC220),"",'Paste Full'!CC220)</f>
        <v/>
      </c>
      <c r="BR220" s="41" t="str">
        <f>IF(ISBLANK('Paste Full'!CD220),"",'Paste Full'!CD220)</f>
        <v/>
      </c>
      <c r="BS220" s="41" t="str">
        <f>IF(ISBLANK('Paste Full'!CE220),"",'Paste Full'!CE220)</f>
        <v/>
      </c>
      <c r="BT220" s="41" t="str">
        <f>IF(ISBLANK('Paste Full'!CF220),"",'Paste Full'!CF220)</f>
        <v/>
      </c>
      <c r="BU220" s="41" t="str">
        <f>IF(ISBLANK('Paste Full'!CG220),"",'Paste Full'!CG220)</f>
        <v/>
      </c>
      <c r="BV220" s="41" t="str">
        <f>IF(ISBLANK('Paste Full'!CH220),"",'Paste Full'!CH220)</f>
        <v/>
      </c>
    </row>
    <row r="221" spans="66:74" x14ac:dyDescent="0.3">
      <c r="BN221" s="41" t="str">
        <f>IF(ISBLANK('Paste Full'!BZ221),"",'Paste Full'!BZ221)</f>
        <v/>
      </c>
      <c r="BO221" s="41" t="str">
        <f>IF(ISBLANK('Paste Full'!CA221),"",'Paste Full'!CA221)</f>
        <v/>
      </c>
      <c r="BP221" s="41" t="str">
        <f>IF(ISBLANK('Paste Full'!CB221),"",'Paste Full'!CB221)</f>
        <v/>
      </c>
      <c r="BQ221" s="41" t="str">
        <f>IF(ISBLANK('Paste Full'!CC221),"",'Paste Full'!CC221)</f>
        <v/>
      </c>
      <c r="BR221" s="41" t="str">
        <f>IF(ISBLANK('Paste Full'!CD221),"",'Paste Full'!CD221)</f>
        <v/>
      </c>
      <c r="BS221" s="41" t="str">
        <f>IF(ISBLANK('Paste Full'!CE221),"",'Paste Full'!CE221)</f>
        <v/>
      </c>
      <c r="BT221" s="41" t="str">
        <f>IF(ISBLANK('Paste Full'!CF221),"",'Paste Full'!CF221)</f>
        <v/>
      </c>
      <c r="BU221" s="41" t="str">
        <f>IF(ISBLANK('Paste Full'!CG221),"",'Paste Full'!CG221)</f>
        <v/>
      </c>
      <c r="BV221" s="41" t="str">
        <f>IF(ISBLANK('Paste Full'!CH221),"",'Paste Full'!CH221)</f>
        <v/>
      </c>
    </row>
    <row r="222" spans="66:74" x14ac:dyDescent="0.3">
      <c r="BN222" s="41" t="str">
        <f>IF(ISBLANK('Paste Full'!BZ222),"",'Paste Full'!BZ222)</f>
        <v/>
      </c>
      <c r="BO222" s="41" t="str">
        <f>IF(ISBLANK('Paste Full'!CA222),"",'Paste Full'!CA222)</f>
        <v/>
      </c>
      <c r="BP222" s="41" t="str">
        <f>IF(ISBLANK('Paste Full'!CB222),"",'Paste Full'!CB222)</f>
        <v/>
      </c>
      <c r="BQ222" s="41" t="str">
        <f>IF(ISBLANK('Paste Full'!CC222),"",'Paste Full'!CC222)</f>
        <v/>
      </c>
      <c r="BR222" s="41" t="str">
        <f>IF(ISBLANK('Paste Full'!CD222),"",'Paste Full'!CD222)</f>
        <v/>
      </c>
      <c r="BS222" s="41" t="str">
        <f>IF(ISBLANK('Paste Full'!CE222),"",'Paste Full'!CE222)</f>
        <v/>
      </c>
      <c r="BT222" s="41" t="str">
        <f>IF(ISBLANK('Paste Full'!CF222),"",'Paste Full'!CF222)</f>
        <v/>
      </c>
      <c r="BU222" s="41" t="str">
        <f>IF(ISBLANK('Paste Full'!CG222),"",'Paste Full'!CG222)</f>
        <v/>
      </c>
      <c r="BV222" s="41" t="str">
        <f>IF(ISBLANK('Paste Full'!CH222),"",'Paste Full'!CH222)</f>
        <v/>
      </c>
    </row>
    <row r="223" spans="66:74" x14ac:dyDescent="0.3">
      <c r="BN223" s="41" t="str">
        <f>IF(ISBLANK('Paste Full'!BZ223),"",'Paste Full'!BZ223)</f>
        <v/>
      </c>
      <c r="BO223" s="41" t="str">
        <f>IF(ISBLANK('Paste Full'!CA223),"",'Paste Full'!CA223)</f>
        <v/>
      </c>
      <c r="BP223" s="41" t="str">
        <f>IF(ISBLANK('Paste Full'!CB223),"",'Paste Full'!CB223)</f>
        <v/>
      </c>
      <c r="BQ223" s="41" t="str">
        <f>IF(ISBLANK('Paste Full'!CC223),"",'Paste Full'!CC223)</f>
        <v/>
      </c>
      <c r="BR223" s="41" t="str">
        <f>IF(ISBLANK('Paste Full'!CD223),"",'Paste Full'!CD223)</f>
        <v/>
      </c>
      <c r="BS223" s="41" t="str">
        <f>IF(ISBLANK('Paste Full'!CE223),"",'Paste Full'!CE223)</f>
        <v/>
      </c>
      <c r="BT223" s="41" t="str">
        <f>IF(ISBLANK('Paste Full'!CF223),"",'Paste Full'!CF223)</f>
        <v/>
      </c>
      <c r="BU223" s="41" t="str">
        <f>IF(ISBLANK('Paste Full'!CG223),"",'Paste Full'!CG223)</f>
        <v/>
      </c>
      <c r="BV223" s="41" t="str">
        <f>IF(ISBLANK('Paste Full'!CH223),"",'Paste Full'!CH223)</f>
        <v/>
      </c>
    </row>
    <row r="224" spans="66:74" x14ac:dyDescent="0.3">
      <c r="BN224" s="41" t="str">
        <f>IF(ISBLANK('Paste Full'!BZ224),"",'Paste Full'!BZ224)</f>
        <v/>
      </c>
      <c r="BO224" s="41" t="str">
        <f>IF(ISBLANK('Paste Full'!CA224),"",'Paste Full'!CA224)</f>
        <v/>
      </c>
      <c r="BP224" s="41" t="str">
        <f>IF(ISBLANK('Paste Full'!CB224),"",'Paste Full'!CB224)</f>
        <v/>
      </c>
      <c r="BQ224" s="41" t="str">
        <f>IF(ISBLANK('Paste Full'!CC224),"",'Paste Full'!CC224)</f>
        <v/>
      </c>
      <c r="BR224" s="41" t="str">
        <f>IF(ISBLANK('Paste Full'!CD224),"",'Paste Full'!CD224)</f>
        <v/>
      </c>
      <c r="BS224" s="41" t="str">
        <f>IF(ISBLANK('Paste Full'!CE224),"",'Paste Full'!CE224)</f>
        <v/>
      </c>
      <c r="BT224" s="41" t="str">
        <f>IF(ISBLANK('Paste Full'!CF224),"",'Paste Full'!CF224)</f>
        <v/>
      </c>
      <c r="BU224" s="41" t="str">
        <f>IF(ISBLANK('Paste Full'!CG224),"",'Paste Full'!CG224)</f>
        <v/>
      </c>
      <c r="BV224" s="41" t="str">
        <f>IF(ISBLANK('Paste Full'!CH224),"",'Paste Full'!CH224)</f>
        <v/>
      </c>
    </row>
    <row r="225" spans="66:74" x14ac:dyDescent="0.3">
      <c r="BN225" s="41" t="str">
        <f>IF(ISBLANK('Paste Full'!BZ225),"",'Paste Full'!BZ225)</f>
        <v/>
      </c>
      <c r="BO225" s="41" t="str">
        <f>IF(ISBLANK('Paste Full'!CA225),"",'Paste Full'!CA225)</f>
        <v/>
      </c>
      <c r="BP225" s="41" t="str">
        <f>IF(ISBLANK('Paste Full'!CB225),"",'Paste Full'!CB225)</f>
        <v/>
      </c>
      <c r="BQ225" s="41" t="str">
        <f>IF(ISBLANK('Paste Full'!CC225),"",'Paste Full'!CC225)</f>
        <v/>
      </c>
      <c r="BR225" s="41" t="str">
        <f>IF(ISBLANK('Paste Full'!CD225),"",'Paste Full'!CD225)</f>
        <v/>
      </c>
      <c r="BS225" s="41" t="str">
        <f>IF(ISBLANK('Paste Full'!CE225),"",'Paste Full'!CE225)</f>
        <v/>
      </c>
      <c r="BT225" s="41" t="str">
        <f>IF(ISBLANK('Paste Full'!CF225),"",'Paste Full'!CF225)</f>
        <v/>
      </c>
      <c r="BU225" s="41" t="str">
        <f>IF(ISBLANK('Paste Full'!CG225),"",'Paste Full'!CG225)</f>
        <v/>
      </c>
      <c r="BV225" s="41" t="str">
        <f>IF(ISBLANK('Paste Full'!CH225),"",'Paste Full'!CH225)</f>
        <v/>
      </c>
    </row>
    <row r="226" spans="66:74" x14ac:dyDescent="0.3">
      <c r="BN226" s="41" t="str">
        <f>IF(ISBLANK('Paste Full'!BZ226),"",'Paste Full'!BZ226)</f>
        <v/>
      </c>
      <c r="BO226" s="41" t="str">
        <f>IF(ISBLANK('Paste Full'!CA226),"",'Paste Full'!CA226)</f>
        <v/>
      </c>
      <c r="BP226" s="41" t="str">
        <f>IF(ISBLANK('Paste Full'!CB226),"",'Paste Full'!CB226)</f>
        <v/>
      </c>
      <c r="BQ226" s="41" t="str">
        <f>IF(ISBLANK('Paste Full'!CC226),"",'Paste Full'!CC226)</f>
        <v/>
      </c>
      <c r="BR226" s="41" t="str">
        <f>IF(ISBLANK('Paste Full'!CD226),"",'Paste Full'!CD226)</f>
        <v/>
      </c>
      <c r="BS226" s="41" t="str">
        <f>IF(ISBLANK('Paste Full'!CE226),"",'Paste Full'!CE226)</f>
        <v/>
      </c>
      <c r="BT226" s="41" t="str">
        <f>IF(ISBLANK('Paste Full'!CF226),"",'Paste Full'!CF226)</f>
        <v/>
      </c>
      <c r="BU226" s="41" t="str">
        <f>IF(ISBLANK('Paste Full'!CG226),"",'Paste Full'!CG226)</f>
        <v/>
      </c>
      <c r="BV226" s="41" t="str">
        <f>IF(ISBLANK('Paste Full'!CH226),"",'Paste Full'!CH226)</f>
        <v/>
      </c>
    </row>
    <row r="227" spans="66:74" x14ac:dyDescent="0.3">
      <c r="BN227" s="41" t="str">
        <f>IF(ISBLANK('Paste Full'!BZ227),"",'Paste Full'!BZ227)</f>
        <v/>
      </c>
      <c r="BO227" s="41" t="str">
        <f>IF(ISBLANK('Paste Full'!CA227),"",'Paste Full'!CA227)</f>
        <v/>
      </c>
      <c r="BP227" s="41" t="str">
        <f>IF(ISBLANK('Paste Full'!CB227),"",'Paste Full'!CB227)</f>
        <v/>
      </c>
      <c r="BQ227" s="41" t="str">
        <f>IF(ISBLANK('Paste Full'!CC227),"",'Paste Full'!CC227)</f>
        <v/>
      </c>
      <c r="BR227" s="41" t="str">
        <f>IF(ISBLANK('Paste Full'!CD227),"",'Paste Full'!CD227)</f>
        <v/>
      </c>
      <c r="BS227" s="41" t="str">
        <f>IF(ISBLANK('Paste Full'!CE227),"",'Paste Full'!CE227)</f>
        <v/>
      </c>
      <c r="BT227" s="41" t="str">
        <f>IF(ISBLANK('Paste Full'!CF227),"",'Paste Full'!CF227)</f>
        <v/>
      </c>
      <c r="BU227" s="41" t="str">
        <f>IF(ISBLANK('Paste Full'!CG227),"",'Paste Full'!CG227)</f>
        <v/>
      </c>
      <c r="BV227" s="41" t="str">
        <f>IF(ISBLANK('Paste Full'!CH227),"",'Paste Full'!CH227)</f>
        <v/>
      </c>
    </row>
    <row r="228" spans="66:74" x14ac:dyDescent="0.3">
      <c r="BN228" s="41" t="str">
        <f>IF(ISBLANK('Paste Full'!BZ228),"",'Paste Full'!BZ228)</f>
        <v/>
      </c>
      <c r="BO228" s="41" t="str">
        <f>IF(ISBLANK('Paste Full'!CA228),"",'Paste Full'!CA228)</f>
        <v/>
      </c>
      <c r="BP228" s="41" t="str">
        <f>IF(ISBLANK('Paste Full'!CB228),"",'Paste Full'!CB228)</f>
        <v/>
      </c>
      <c r="BQ228" s="41" t="str">
        <f>IF(ISBLANK('Paste Full'!CC228),"",'Paste Full'!CC228)</f>
        <v/>
      </c>
      <c r="BR228" s="41" t="str">
        <f>IF(ISBLANK('Paste Full'!CD228),"",'Paste Full'!CD228)</f>
        <v/>
      </c>
      <c r="BS228" s="41" t="str">
        <f>IF(ISBLANK('Paste Full'!CE228),"",'Paste Full'!CE228)</f>
        <v/>
      </c>
      <c r="BT228" s="41" t="str">
        <f>IF(ISBLANK('Paste Full'!CF228),"",'Paste Full'!CF228)</f>
        <v/>
      </c>
      <c r="BU228" s="41" t="str">
        <f>IF(ISBLANK('Paste Full'!CG228),"",'Paste Full'!CG228)</f>
        <v/>
      </c>
      <c r="BV228" s="41" t="str">
        <f>IF(ISBLANK('Paste Full'!CH228),"",'Paste Full'!CH228)</f>
        <v/>
      </c>
    </row>
    <row r="229" spans="66:74" x14ac:dyDescent="0.3">
      <c r="BN229" s="41" t="str">
        <f>IF(ISBLANK('Paste Full'!BZ229),"",'Paste Full'!BZ229)</f>
        <v/>
      </c>
      <c r="BO229" s="41" t="str">
        <f>IF(ISBLANK('Paste Full'!CA229),"",'Paste Full'!CA229)</f>
        <v/>
      </c>
      <c r="BP229" s="41" t="str">
        <f>IF(ISBLANK('Paste Full'!CB229),"",'Paste Full'!CB229)</f>
        <v/>
      </c>
      <c r="BQ229" s="41" t="str">
        <f>IF(ISBLANK('Paste Full'!CC229),"",'Paste Full'!CC229)</f>
        <v/>
      </c>
      <c r="BR229" s="41" t="str">
        <f>IF(ISBLANK('Paste Full'!CD229),"",'Paste Full'!CD229)</f>
        <v/>
      </c>
      <c r="BS229" s="41" t="str">
        <f>IF(ISBLANK('Paste Full'!CE229),"",'Paste Full'!CE229)</f>
        <v/>
      </c>
      <c r="BT229" s="41" t="str">
        <f>IF(ISBLANK('Paste Full'!CF229),"",'Paste Full'!CF229)</f>
        <v/>
      </c>
      <c r="BU229" s="41" t="str">
        <f>IF(ISBLANK('Paste Full'!CG229),"",'Paste Full'!CG229)</f>
        <v/>
      </c>
      <c r="BV229" s="41" t="str">
        <f>IF(ISBLANK('Paste Full'!CH229),"",'Paste Full'!CH229)</f>
        <v/>
      </c>
    </row>
    <row r="230" spans="66:74" x14ac:dyDescent="0.3">
      <c r="BN230" s="41" t="str">
        <f>IF(ISBLANK('Paste Full'!BZ230),"",'Paste Full'!BZ230)</f>
        <v/>
      </c>
      <c r="BO230" s="41" t="str">
        <f>IF(ISBLANK('Paste Full'!CA230),"",'Paste Full'!CA230)</f>
        <v/>
      </c>
      <c r="BP230" s="41" t="str">
        <f>IF(ISBLANK('Paste Full'!CB230),"",'Paste Full'!CB230)</f>
        <v/>
      </c>
      <c r="BQ230" s="41" t="str">
        <f>IF(ISBLANK('Paste Full'!CC230),"",'Paste Full'!CC230)</f>
        <v/>
      </c>
      <c r="BR230" s="41" t="str">
        <f>IF(ISBLANK('Paste Full'!CD230),"",'Paste Full'!CD230)</f>
        <v/>
      </c>
      <c r="BS230" s="41" t="str">
        <f>IF(ISBLANK('Paste Full'!CE230),"",'Paste Full'!CE230)</f>
        <v/>
      </c>
      <c r="BT230" s="41" t="str">
        <f>IF(ISBLANK('Paste Full'!CF230),"",'Paste Full'!CF230)</f>
        <v/>
      </c>
      <c r="BU230" s="41" t="str">
        <f>IF(ISBLANK('Paste Full'!CG230),"",'Paste Full'!CG230)</f>
        <v/>
      </c>
      <c r="BV230" s="41" t="str">
        <f>IF(ISBLANK('Paste Full'!CH230),"",'Paste Full'!CH230)</f>
        <v/>
      </c>
    </row>
    <row r="231" spans="66:74" x14ac:dyDescent="0.3">
      <c r="BN231" s="41" t="str">
        <f>IF(ISBLANK('Paste Full'!BZ231),"",'Paste Full'!BZ231)</f>
        <v/>
      </c>
      <c r="BO231" s="41" t="str">
        <f>IF(ISBLANK('Paste Full'!CA231),"",'Paste Full'!CA231)</f>
        <v/>
      </c>
      <c r="BP231" s="41" t="str">
        <f>IF(ISBLANK('Paste Full'!CB231),"",'Paste Full'!CB231)</f>
        <v/>
      </c>
      <c r="BQ231" s="41" t="str">
        <f>IF(ISBLANK('Paste Full'!CC231),"",'Paste Full'!CC231)</f>
        <v/>
      </c>
      <c r="BR231" s="41" t="str">
        <f>IF(ISBLANK('Paste Full'!CD231),"",'Paste Full'!CD231)</f>
        <v/>
      </c>
      <c r="BS231" s="41" t="str">
        <f>IF(ISBLANK('Paste Full'!CE231),"",'Paste Full'!CE231)</f>
        <v/>
      </c>
      <c r="BT231" s="41" t="str">
        <f>IF(ISBLANK('Paste Full'!CF231),"",'Paste Full'!CF231)</f>
        <v/>
      </c>
      <c r="BU231" s="41" t="str">
        <f>IF(ISBLANK('Paste Full'!CG231),"",'Paste Full'!CG231)</f>
        <v/>
      </c>
      <c r="BV231" s="41" t="str">
        <f>IF(ISBLANK('Paste Full'!CH231),"",'Paste Full'!CH231)</f>
        <v/>
      </c>
    </row>
    <row r="232" spans="66:74" x14ac:dyDescent="0.3">
      <c r="BN232" s="41" t="str">
        <f>IF(ISBLANK('Paste Full'!BZ232),"",'Paste Full'!BZ232)</f>
        <v/>
      </c>
      <c r="BO232" s="41" t="str">
        <f>IF(ISBLANK('Paste Full'!CA232),"",'Paste Full'!CA232)</f>
        <v/>
      </c>
      <c r="BP232" s="41" t="str">
        <f>IF(ISBLANK('Paste Full'!CB232),"",'Paste Full'!CB232)</f>
        <v/>
      </c>
      <c r="BQ232" s="41" t="str">
        <f>IF(ISBLANK('Paste Full'!CC232),"",'Paste Full'!CC232)</f>
        <v/>
      </c>
      <c r="BR232" s="41" t="str">
        <f>IF(ISBLANK('Paste Full'!CD232),"",'Paste Full'!CD232)</f>
        <v/>
      </c>
      <c r="BS232" s="41" t="str">
        <f>IF(ISBLANK('Paste Full'!CE232),"",'Paste Full'!CE232)</f>
        <v/>
      </c>
      <c r="BT232" s="41" t="str">
        <f>IF(ISBLANK('Paste Full'!CF232),"",'Paste Full'!CF232)</f>
        <v/>
      </c>
      <c r="BU232" s="41" t="str">
        <f>IF(ISBLANK('Paste Full'!CG232),"",'Paste Full'!CG232)</f>
        <v/>
      </c>
      <c r="BV232" s="41" t="str">
        <f>IF(ISBLANK('Paste Full'!CH232),"",'Paste Full'!CH232)</f>
        <v/>
      </c>
    </row>
    <row r="233" spans="66:74" x14ac:dyDescent="0.3">
      <c r="BN233" s="41" t="str">
        <f>IF(ISBLANK('Paste Full'!BZ233),"",'Paste Full'!BZ233)</f>
        <v/>
      </c>
      <c r="BO233" s="41" t="str">
        <f>IF(ISBLANK('Paste Full'!CA233),"",'Paste Full'!CA233)</f>
        <v/>
      </c>
      <c r="BP233" s="41" t="str">
        <f>IF(ISBLANK('Paste Full'!CB233),"",'Paste Full'!CB233)</f>
        <v/>
      </c>
      <c r="BQ233" s="41" t="str">
        <f>IF(ISBLANK('Paste Full'!CC233),"",'Paste Full'!CC233)</f>
        <v/>
      </c>
      <c r="BR233" s="41" t="str">
        <f>IF(ISBLANK('Paste Full'!CD233),"",'Paste Full'!CD233)</f>
        <v/>
      </c>
      <c r="BS233" s="41" t="str">
        <f>IF(ISBLANK('Paste Full'!CE233),"",'Paste Full'!CE233)</f>
        <v/>
      </c>
      <c r="BT233" s="41" t="str">
        <f>IF(ISBLANK('Paste Full'!CF233),"",'Paste Full'!CF233)</f>
        <v/>
      </c>
      <c r="BU233" s="41" t="str">
        <f>IF(ISBLANK('Paste Full'!CG233),"",'Paste Full'!CG233)</f>
        <v/>
      </c>
      <c r="BV233" s="41" t="str">
        <f>IF(ISBLANK('Paste Full'!CH233),"",'Paste Full'!CH233)</f>
        <v/>
      </c>
    </row>
    <row r="234" spans="66:74" x14ac:dyDescent="0.3">
      <c r="BN234" s="41" t="str">
        <f>IF(ISBLANK('Paste Full'!BZ234),"",'Paste Full'!BZ234)</f>
        <v/>
      </c>
      <c r="BO234" s="41" t="str">
        <f>IF(ISBLANK('Paste Full'!CA234),"",'Paste Full'!CA234)</f>
        <v/>
      </c>
      <c r="BP234" s="41" t="str">
        <f>IF(ISBLANK('Paste Full'!CB234),"",'Paste Full'!CB234)</f>
        <v/>
      </c>
      <c r="BQ234" s="41" t="str">
        <f>IF(ISBLANK('Paste Full'!CC234),"",'Paste Full'!CC234)</f>
        <v/>
      </c>
      <c r="BR234" s="41" t="str">
        <f>IF(ISBLANK('Paste Full'!CD234),"",'Paste Full'!CD234)</f>
        <v/>
      </c>
      <c r="BS234" s="41" t="str">
        <f>IF(ISBLANK('Paste Full'!CE234),"",'Paste Full'!CE234)</f>
        <v/>
      </c>
      <c r="BT234" s="41" t="str">
        <f>IF(ISBLANK('Paste Full'!CF234),"",'Paste Full'!CF234)</f>
        <v/>
      </c>
      <c r="BU234" s="41" t="str">
        <f>IF(ISBLANK('Paste Full'!CG234),"",'Paste Full'!CG234)</f>
        <v/>
      </c>
      <c r="BV234" s="41" t="str">
        <f>IF(ISBLANK('Paste Full'!CH234),"",'Paste Full'!CH234)</f>
        <v/>
      </c>
    </row>
    <row r="235" spans="66:74" x14ac:dyDescent="0.3">
      <c r="BN235" s="41" t="str">
        <f>IF(ISBLANK('Paste Full'!BZ235),"",'Paste Full'!BZ235)</f>
        <v/>
      </c>
      <c r="BO235" s="41" t="str">
        <f>IF(ISBLANK('Paste Full'!CA235),"",'Paste Full'!CA235)</f>
        <v/>
      </c>
      <c r="BP235" s="41" t="str">
        <f>IF(ISBLANK('Paste Full'!CB235),"",'Paste Full'!CB235)</f>
        <v/>
      </c>
      <c r="BQ235" s="41" t="str">
        <f>IF(ISBLANK('Paste Full'!CC235),"",'Paste Full'!CC235)</f>
        <v/>
      </c>
      <c r="BR235" s="41" t="str">
        <f>IF(ISBLANK('Paste Full'!CD235),"",'Paste Full'!CD235)</f>
        <v/>
      </c>
      <c r="BS235" s="41" t="str">
        <f>IF(ISBLANK('Paste Full'!CE235),"",'Paste Full'!CE235)</f>
        <v/>
      </c>
      <c r="BT235" s="41" t="str">
        <f>IF(ISBLANK('Paste Full'!CF235),"",'Paste Full'!CF235)</f>
        <v/>
      </c>
      <c r="BU235" s="41" t="str">
        <f>IF(ISBLANK('Paste Full'!CG235),"",'Paste Full'!CG235)</f>
        <v/>
      </c>
      <c r="BV235" s="41" t="str">
        <f>IF(ISBLANK('Paste Full'!CH235),"",'Paste Full'!CH235)</f>
        <v/>
      </c>
    </row>
    <row r="236" spans="66:74" x14ac:dyDescent="0.3">
      <c r="BN236" s="41" t="str">
        <f>IF(ISBLANK('Paste Full'!BZ236),"",'Paste Full'!BZ236)</f>
        <v/>
      </c>
      <c r="BO236" s="41" t="str">
        <f>IF(ISBLANK('Paste Full'!CA236),"",'Paste Full'!CA236)</f>
        <v/>
      </c>
      <c r="BP236" s="41" t="str">
        <f>IF(ISBLANK('Paste Full'!CB236),"",'Paste Full'!CB236)</f>
        <v/>
      </c>
      <c r="BQ236" s="41" t="str">
        <f>IF(ISBLANK('Paste Full'!CC236),"",'Paste Full'!CC236)</f>
        <v/>
      </c>
      <c r="BR236" s="41" t="str">
        <f>IF(ISBLANK('Paste Full'!CD236),"",'Paste Full'!CD236)</f>
        <v/>
      </c>
      <c r="BS236" s="41" t="str">
        <f>IF(ISBLANK('Paste Full'!CE236),"",'Paste Full'!CE236)</f>
        <v/>
      </c>
      <c r="BT236" s="41" t="str">
        <f>IF(ISBLANK('Paste Full'!CF236),"",'Paste Full'!CF236)</f>
        <v/>
      </c>
      <c r="BU236" s="41" t="str">
        <f>IF(ISBLANK('Paste Full'!CG236),"",'Paste Full'!CG236)</f>
        <v/>
      </c>
      <c r="BV236" s="41" t="str">
        <f>IF(ISBLANK('Paste Full'!CH236),"",'Paste Full'!CH236)</f>
        <v/>
      </c>
    </row>
    <row r="237" spans="66:74" x14ac:dyDescent="0.3">
      <c r="BN237" s="41" t="str">
        <f>IF(ISBLANK('Paste Full'!BZ237),"",'Paste Full'!BZ237)</f>
        <v/>
      </c>
      <c r="BO237" s="41" t="str">
        <f>IF(ISBLANK('Paste Full'!CA237),"",'Paste Full'!CA237)</f>
        <v/>
      </c>
      <c r="BP237" s="41" t="str">
        <f>IF(ISBLANK('Paste Full'!CB237),"",'Paste Full'!CB237)</f>
        <v/>
      </c>
      <c r="BQ237" s="41" t="str">
        <f>IF(ISBLANK('Paste Full'!CC237),"",'Paste Full'!CC237)</f>
        <v/>
      </c>
      <c r="BR237" s="41" t="str">
        <f>IF(ISBLANK('Paste Full'!CD237),"",'Paste Full'!CD237)</f>
        <v/>
      </c>
      <c r="BS237" s="41" t="str">
        <f>IF(ISBLANK('Paste Full'!CE237),"",'Paste Full'!CE237)</f>
        <v/>
      </c>
      <c r="BT237" s="41" t="str">
        <f>IF(ISBLANK('Paste Full'!CF237),"",'Paste Full'!CF237)</f>
        <v/>
      </c>
      <c r="BU237" s="41" t="str">
        <f>IF(ISBLANK('Paste Full'!CG237),"",'Paste Full'!CG237)</f>
        <v/>
      </c>
      <c r="BV237" s="41" t="str">
        <f>IF(ISBLANK('Paste Full'!CH237),"",'Paste Full'!CH237)</f>
        <v/>
      </c>
    </row>
    <row r="238" spans="66:74" x14ac:dyDescent="0.3">
      <c r="BN238" s="41" t="str">
        <f>IF(ISBLANK('Paste Full'!BZ238),"",'Paste Full'!BZ238)</f>
        <v/>
      </c>
      <c r="BO238" s="41" t="str">
        <f>IF(ISBLANK('Paste Full'!CA238),"",'Paste Full'!CA238)</f>
        <v/>
      </c>
      <c r="BP238" s="41" t="str">
        <f>IF(ISBLANK('Paste Full'!CB238),"",'Paste Full'!CB238)</f>
        <v/>
      </c>
      <c r="BQ238" s="41" t="str">
        <f>IF(ISBLANK('Paste Full'!CC238),"",'Paste Full'!CC238)</f>
        <v/>
      </c>
      <c r="BR238" s="41" t="str">
        <f>IF(ISBLANK('Paste Full'!CD238),"",'Paste Full'!CD238)</f>
        <v/>
      </c>
      <c r="BS238" s="41" t="str">
        <f>IF(ISBLANK('Paste Full'!CE238),"",'Paste Full'!CE238)</f>
        <v/>
      </c>
      <c r="BT238" s="41" t="str">
        <f>IF(ISBLANK('Paste Full'!CF238),"",'Paste Full'!CF238)</f>
        <v/>
      </c>
      <c r="BU238" s="41" t="str">
        <f>IF(ISBLANK('Paste Full'!CG238),"",'Paste Full'!CG238)</f>
        <v/>
      </c>
      <c r="BV238" s="41" t="str">
        <f>IF(ISBLANK('Paste Full'!CH238),"",'Paste Full'!CH238)</f>
        <v/>
      </c>
    </row>
    <row r="239" spans="66:74" x14ac:dyDescent="0.3">
      <c r="BN239" s="41" t="str">
        <f>IF(ISBLANK('Paste Full'!BZ239),"",'Paste Full'!BZ239)</f>
        <v/>
      </c>
      <c r="BO239" s="41" t="str">
        <f>IF(ISBLANK('Paste Full'!CA239),"",'Paste Full'!CA239)</f>
        <v/>
      </c>
      <c r="BP239" s="41" t="str">
        <f>IF(ISBLANK('Paste Full'!CB239),"",'Paste Full'!CB239)</f>
        <v/>
      </c>
      <c r="BQ239" s="41" t="str">
        <f>IF(ISBLANK('Paste Full'!CC239),"",'Paste Full'!CC239)</f>
        <v/>
      </c>
      <c r="BR239" s="41" t="str">
        <f>IF(ISBLANK('Paste Full'!CD239),"",'Paste Full'!CD239)</f>
        <v/>
      </c>
      <c r="BS239" s="41" t="str">
        <f>IF(ISBLANK('Paste Full'!CE239),"",'Paste Full'!CE239)</f>
        <v/>
      </c>
      <c r="BT239" s="41" t="str">
        <f>IF(ISBLANK('Paste Full'!CF239),"",'Paste Full'!CF239)</f>
        <v/>
      </c>
      <c r="BU239" s="41" t="str">
        <f>IF(ISBLANK('Paste Full'!CG239),"",'Paste Full'!CG239)</f>
        <v/>
      </c>
      <c r="BV239" s="41" t="str">
        <f>IF(ISBLANK('Paste Full'!CH239),"",'Paste Full'!CH239)</f>
        <v/>
      </c>
    </row>
    <row r="240" spans="66:74" x14ac:dyDescent="0.3">
      <c r="BN240" s="41" t="str">
        <f>IF(ISBLANK('Paste Full'!BZ240),"",'Paste Full'!BZ240)</f>
        <v/>
      </c>
      <c r="BO240" s="41" t="str">
        <f>IF(ISBLANK('Paste Full'!CA240),"",'Paste Full'!CA240)</f>
        <v/>
      </c>
      <c r="BP240" s="41" t="str">
        <f>IF(ISBLANK('Paste Full'!CB240),"",'Paste Full'!CB240)</f>
        <v/>
      </c>
      <c r="BQ240" s="41" t="str">
        <f>IF(ISBLANK('Paste Full'!CC240),"",'Paste Full'!CC240)</f>
        <v/>
      </c>
      <c r="BR240" s="41" t="str">
        <f>IF(ISBLANK('Paste Full'!CD240),"",'Paste Full'!CD240)</f>
        <v/>
      </c>
      <c r="BS240" s="41" t="str">
        <f>IF(ISBLANK('Paste Full'!CE240),"",'Paste Full'!CE240)</f>
        <v/>
      </c>
      <c r="BT240" s="41" t="str">
        <f>IF(ISBLANK('Paste Full'!CF240),"",'Paste Full'!CF240)</f>
        <v/>
      </c>
      <c r="BU240" s="41" t="str">
        <f>IF(ISBLANK('Paste Full'!CG240),"",'Paste Full'!CG240)</f>
        <v/>
      </c>
      <c r="BV240" s="41" t="str">
        <f>IF(ISBLANK('Paste Full'!CH240),"",'Paste Full'!CH240)</f>
        <v/>
      </c>
    </row>
    <row r="241" spans="66:74" x14ac:dyDescent="0.3">
      <c r="BN241" s="41" t="str">
        <f>IF(ISBLANK('Paste Full'!BZ241),"",'Paste Full'!BZ241)</f>
        <v/>
      </c>
      <c r="BO241" s="41" t="str">
        <f>IF(ISBLANK('Paste Full'!CA241),"",'Paste Full'!CA241)</f>
        <v/>
      </c>
      <c r="BP241" s="41" t="str">
        <f>IF(ISBLANK('Paste Full'!CB241),"",'Paste Full'!CB241)</f>
        <v/>
      </c>
      <c r="BQ241" s="41" t="str">
        <f>IF(ISBLANK('Paste Full'!CC241),"",'Paste Full'!CC241)</f>
        <v/>
      </c>
      <c r="BR241" s="41" t="str">
        <f>IF(ISBLANK('Paste Full'!CD241),"",'Paste Full'!CD241)</f>
        <v/>
      </c>
      <c r="BS241" s="41" t="str">
        <f>IF(ISBLANK('Paste Full'!CE241),"",'Paste Full'!CE241)</f>
        <v/>
      </c>
      <c r="BT241" s="41" t="str">
        <f>IF(ISBLANK('Paste Full'!CF241),"",'Paste Full'!CF241)</f>
        <v/>
      </c>
      <c r="BU241" s="41" t="str">
        <f>IF(ISBLANK('Paste Full'!CG241),"",'Paste Full'!CG241)</f>
        <v/>
      </c>
      <c r="BV241" s="41" t="str">
        <f>IF(ISBLANK('Paste Full'!CH241),"",'Paste Full'!CH241)</f>
        <v/>
      </c>
    </row>
    <row r="242" spans="66:74" x14ac:dyDescent="0.3">
      <c r="BN242" s="41" t="str">
        <f>IF(ISBLANK('Paste Full'!BZ242),"",'Paste Full'!BZ242)</f>
        <v/>
      </c>
      <c r="BO242" s="41" t="str">
        <f>IF(ISBLANK('Paste Full'!CA242),"",'Paste Full'!CA242)</f>
        <v/>
      </c>
      <c r="BP242" s="41" t="str">
        <f>IF(ISBLANK('Paste Full'!CB242),"",'Paste Full'!CB242)</f>
        <v/>
      </c>
      <c r="BQ242" s="41" t="str">
        <f>IF(ISBLANK('Paste Full'!CC242),"",'Paste Full'!CC242)</f>
        <v/>
      </c>
      <c r="BR242" s="41" t="str">
        <f>IF(ISBLANK('Paste Full'!CD242),"",'Paste Full'!CD242)</f>
        <v/>
      </c>
      <c r="BS242" s="41" t="str">
        <f>IF(ISBLANK('Paste Full'!CE242),"",'Paste Full'!CE242)</f>
        <v/>
      </c>
      <c r="BT242" s="41" t="str">
        <f>IF(ISBLANK('Paste Full'!CF242),"",'Paste Full'!CF242)</f>
        <v/>
      </c>
      <c r="BU242" s="41" t="str">
        <f>IF(ISBLANK('Paste Full'!CG242),"",'Paste Full'!CG242)</f>
        <v/>
      </c>
      <c r="BV242" s="41" t="str">
        <f>IF(ISBLANK('Paste Full'!CH242),"",'Paste Full'!CH242)</f>
        <v/>
      </c>
    </row>
    <row r="243" spans="66:74" x14ac:dyDescent="0.3">
      <c r="BN243" s="41" t="str">
        <f>IF(ISBLANK('Paste Full'!BZ243),"",'Paste Full'!BZ243)</f>
        <v/>
      </c>
      <c r="BO243" s="41" t="str">
        <f>IF(ISBLANK('Paste Full'!CA243),"",'Paste Full'!CA243)</f>
        <v/>
      </c>
      <c r="BP243" s="41" t="str">
        <f>IF(ISBLANK('Paste Full'!CB243),"",'Paste Full'!CB243)</f>
        <v/>
      </c>
      <c r="BQ243" s="41" t="str">
        <f>IF(ISBLANK('Paste Full'!CC243),"",'Paste Full'!CC243)</f>
        <v/>
      </c>
      <c r="BR243" s="41" t="str">
        <f>IF(ISBLANK('Paste Full'!CD243),"",'Paste Full'!CD243)</f>
        <v/>
      </c>
      <c r="BS243" s="41" t="str">
        <f>IF(ISBLANK('Paste Full'!CE243),"",'Paste Full'!CE243)</f>
        <v/>
      </c>
      <c r="BT243" s="41" t="str">
        <f>IF(ISBLANK('Paste Full'!CF243),"",'Paste Full'!CF243)</f>
        <v/>
      </c>
      <c r="BU243" s="41" t="str">
        <f>IF(ISBLANK('Paste Full'!CG243),"",'Paste Full'!CG243)</f>
        <v/>
      </c>
      <c r="BV243" s="41" t="str">
        <f>IF(ISBLANK('Paste Full'!CH243),"",'Paste Full'!CH243)</f>
        <v/>
      </c>
    </row>
    <row r="244" spans="66:74" x14ac:dyDescent="0.3">
      <c r="BN244" s="41" t="str">
        <f>IF(ISBLANK('Paste Full'!BZ244),"",'Paste Full'!BZ244)</f>
        <v/>
      </c>
      <c r="BO244" s="41" t="str">
        <f>IF(ISBLANK('Paste Full'!CA244),"",'Paste Full'!CA244)</f>
        <v/>
      </c>
      <c r="BP244" s="41" t="str">
        <f>IF(ISBLANK('Paste Full'!CB244),"",'Paste Full'!CB244)</f>
        <v/>
      </c>
      <c r="BQ244" s="41" t="str">
        <f>IF(ISBLANK('Paste Full'!CC244),"",'Paste Full'!CC244)</f>
        <v/>
      </c>
      <c r="BR244" s="41" t="str">
        <f>IF(ISBLANK('Paste Full'!CD244),"",'Paste Full'!CD244)</f>
        <v/>
      </c>
      <c r="BS244" s="41" t="str">
        <f>IF(ISBLANK('Paste Full'!CE244),"",'Paste Full'!CE244)</f>
        <v/>
      </c>
      <c r="BT244" s="41" t="str">
        <f>IF(ISBLANK('Paste Full'!CF244),"",'Paste Full'!CF244)</f>
        <v/>
      </c>
      <c r="BU244" s="41" t="str">
        <f>IF(ISBLANK('Paste Full'!CG244),"",'Paste Full'!CG244)</f>
        <v/>
      </c>
      <c r="BV244" s="41" t="str">
        <f>IF(ISBLANK('Paste Full'!CH244),"",'Paste Full'!CH244)</f>
        <v/>
      </c>
    </row>
    <row r="245" spans="66:74" x14ac:dyDescent="0.3">
      <c r="BN245" s="41" t="str">
        <f>IF(ISBLANK('Paste Full'!BZ245),"",'Paste Full'!BZ245)</f>
        <v/>
      </c>
      <c r="BO245" s="41" t="str">
        <f>IF(ISBLANK('Paste Full'!CA245),"",'Paste Full'!CA245)</f>
        <v/>
      </c>
      <c r="BP245" s="41" t="str">
        <f>IF(ISBLANK('Paste Full'!CB245),"",'Paste Full'!CB245)</f>
        <v/>
      </c>
      <c r="BQ245" s="41" t="str">
        <f>IF(ISBLANK('Paste Full'!CC245),"",'Paste Full'!CC245)</f>
        <v/>
      </c>
      <c r="BR245" s="41" t="str">
        <f>IF(ISBLANK('Paste Full'!CD245),"",'Paste Full'!CD245)</f>
        <v/>
      </c>
      <c r="BS245" s="41" t="str">
        <f>IF(ISBLANK('Paste Full'!CE245),"",'Paste Full'!CE245)</f>
        <v/>
      </c>
      <c r="BT245" s="41" t="str">
        <f>IF(ISBLANK('Paste Full'!CF245),"",'Paste Full'!CF245)</f>
        <v/>
      </c>
      <c r="BU245" s="41" t="str">
        <f>IF(ISBLANK('Paste Full'!CG245),"",'Paste Full'!CG245)</f>
        <v/>
      </c>
      <c r="BV245" s="41" t="str">
        <f>IF(ISBLANK('Paste Full'!CH245),"",'Paste Full'!CH245)</f>
        <v/>
      </c>
    </row>
    <row r="246" spans="66:74" x14ac:dyDescent="0.3">
      <c r="BN246" s="41" t="str">
        <f>IF(ISBLANK('Paste Full'!BZ246),"",'Paste Full'!BZ246)</f>
        <v/>
      </c>
      <c r="BO246" s="41" t="str">
        <f>IF(ISBLANK('Paste Full'!CA246),"",'Paste Full'!CA246)</f>
        <v/>
      </c>
      <c r="BP246" s="41" t="str">
        <f>IF(ISBLANK('Paste Full'!CB246),"",'Paste Full'!CB246)</f>
        <v/>
      </c>
      <c r="BQ246" s="41" t="str">
        <f>IF(ISBLANK('Paste Full'!CC246),"",'Paste Full'!CC246)</f>
        <v/>
      </c>
      <c r="BR246" s="41" t="str">
        <f>IF(ISBLANK('Paste Full'!CD246),"",'Paste Full'!CD246)</f>
        <v/>
      </c>
      <c r="BS246" s="41" t="str">
        <f>IF(ISBLANK('Paste Full'!CE246),"",'Paste Full'!CE246)</f>
        <v/>
      </c>
      <c r="BT246" s="41" t="str">
        <f>IF(ISBLANK('Paste Full'!CF246),"",'Paste Full'!CF246)</f>
        <v/>
      </c>
      <c r="BU246" s="41" t="str">
        <f>IF(ISBLANK('Paste Full'!CG246),"",'Paste Full'!CG246)</f>
        <v/>
      </c>
      <c r="BV246" s="41" t="str">
        <f>IF(ISBLANK('Paste Full'!CH246),"",'Paste Full'!CH246)</f>
        <v/>
      </c>
    </row>
    <row r="247" spans="66:74" x14ac:dyDescent="0.3">
      <c r="BN247" s="41" t="str">
        <f>IF(ISBLANK('Paste Full'!BZ247),"",'Paste Full'!BZ247)</f>
        <v/>
      </c>
      <c r="BO247" s="41" t="str">
        <f>IF(ISBLANK('Paste Full'!CA247),"",'Paste Full'!CA247)</f>
        <v/>
      </c>
      <c r="BP247" s="41" t="str">
        <f>IF(ISBLANK('Paste Full'!CB247),"",'Paste Full'!CB247)</f>
        <v/>
      </c>
      <c r="BQ247" s="41" t="str">
        <f>IF(ISBLANK('Paste Full'!CC247),"",'Paste Full'!CC247)</f>
        <v/>
      </c>
      <c r="BR247" s="41" t="str">
        <f>IF(ISBLANK('Paste Full'!CD247),"",'Paste Full'!CD247)</f>
        <v/>
      </c>
      <c r="BS247" s="41" t="str">
        <f>IF(ISBLANK('Paste Full'!CE247),"",'Paste Full'!CE247)</f>
        <v/>
      </c>
      <c r="BT247" s="41" t="str">
        <f>IF(ISBLANK('Paste Full'!CF247),"",'Paste Full'!CF247)</f>
        <v/>
      </c>
      <c r="BU247" s="41" t="str">
        <f>IF(ISBLANK('Paste Full'!CG247),"",'Paste Full'!CG247)</f>
        <v/>
      </c>
      <c r="BV247" s="41" t="str">
        <f>IF(ISBLANK('Paste Full'!CH247),"",'Paste Full'!CH247)</f>
        <v/>
      </c>
    </row>
    <row r="248" spans="66:74" x14ac:dyDescent="0.3">
      <c r="BN248" s="41" t="str">
        <f>IF(ISBLANK('Paste Full'!BZ248),"",'Paste Full'!BZ248)</f>
        <v/>
      </c>
      <c r="BO248" s="41" t="str">
        <f>IF(ISBLANK('Paste Full'!CA248),"",'Paste Full'!CA248)</f>
        <v/>
      </c>
      <c r="BP248" s="41" t="str">
        <f>IF(ISBLANK('Paste Full'!CB248),"",'Paste Full'!CB248)</f>
        <v/>
      </c>
      <c r="BQ248" s="41" t="str">
        <f>IF(ISBLANK('Paste Full'!CC248),"",'Paste Full'!CC248)</f>
        <v/>
      </c>
      <c r="BR248" s="41" t="str">
        <f>IF(ISBLANK('Paste Full'!CD248),"",'Paste Full'!CD248)</f>
        <v/>
      </c>
      <c r="BS248" s="41" t="str">
        <f>IF(ISBLANK('Paste Full'!CE248),"",'Paste Full'!CE248)</f>
        <v/>
      </c>
      <c r="BT248" s="41" t="str">
        <f>IF(ISBLANK('Paste Full'!CF248),"",'Paste Full'!CF248)</f>
        <v/>
      </c>
      <c r="BU248" s="41" t="str">
        <f>IF(ISBLANK('Paste Full'!CG248),"",'Paste Full'!CG248)</f>
        <v/>
      </c>
      <c r="BV248" s="41" t="str">
        <f>IF(ISBLANK('Paste Full'!CH248),"",'Paste Full'!CH248)</f>
        <v/>
      </c>
    </row>
    <row r="249" spans="66:74" x14ac:dyDescent="0.3">
      <c r="BN249" s="41" t="str">
        <f>IF(ISBLANK('Paste Full'!BZ249),"",'Paste Full'!BZ249)</f>
        <v/>
      </c>
      <c r="BO249" s="41" t="str">
        <f>IF(ISBLANK('Paste Full'!CA249),"",'Paste Full'!CA249)</f>
        <v/>
      </c>
      <c r="BP249" s="41" t="str">
        <f>IF(ISBLANK('Paste Full'!CB249),"",'Paste Full'!CB249)</f>
        <v/>
      </c>
      <c r="BQ249" s="41" t="str">
        <f>IF(ISBLANK('Paste Full'!CC249),"",'Paste Full'!CC249)</f>
        <v/>
      </c>
      <c r="BR249" s="41" t="str">
        <f>IF(ISBLANK('Paste Full'!CD249),"",'Paste Full'!CD249)</f>
        <v/>
      </c>
      <c r="BS249" s="41" t="str">
        <f>IF(ISBLANK('Paste Full'!CE249),"",'Paste Full'!CE249)</f>
        <v/>
      </c>
      <c r="BT249" s="41" t="str">
        <f>IF(ISBLANK('Paste Full'!CF249),"",'Paste Full'!CF249)</f>
        <v/>
      </c>
      <c r="BU249" s="41" t="str">
        <f>IF(ISBLANK('Paste Full'!CG249),"",'Paste Full'!CG249)</f>
        <v/>
      </c>
      <c r="BV249" s="41" t="str">
        <f>IF(ISBLANK('Paste Full'!CH249),"",'Paste Full'!CH249)</f>
        <v/>
      </c>
    </row>
    <row r="250" spans="66:74" x14ac:dyDescent="0.3">
      <c r="BN250" s="41" t="str">
        <f>IF(ISBLANK('Paste Full'!BZ250),"",'Paste Full'!BZ250)</f>
        <v/>
      </c>
      <c r="BO250" s="41" t="str">
        <f>IF(ISBLANK('Paste Full'!CA250),"",'Paste Full'!CA250)</f>
        <v/>
      </c>
      <c r="BP250" s="41" t="str">
        <f>IF(ISBLANK('Paste Full'!CB250),"",'Paste Full'!CB250)</f>
        <v/>
      </c>
      <c r="BQ250" s="41" t="str">
        <f>IF(ISBLANK('Paste Full'!CC250),"",'Paste Full'!CC250)</f>
        <v/>
      </c>
      <c r="BR250" s="41" t="str">
        <f>IF(ISBLANK('Paste Full'!CD250),"",'Paste Full'!CD250)</f>
        <v/>
      </c>
      <c r="BS250" s="41" t="str">
        <f>IF(ISBLANK('Paste Full'!CE250),"",'Paste Full'!CE250)</f>
        <v/>
      </c>
      <c r="BT250" s="41" t="str">
        <f>IF(ISBLANK('Paste Full'!CF250),"",'Paste Full'!CF250)</f>
        <v/>
      </c>
      <c r="BU250" s="41" t="str">
        <f>IF(ISBLANK('Paste Full'!CG250),"",'Paste Full'!CG250)</f>
        <v/>
      </c>
      <c r="BV250" s="41" t="str">
        <f>IF(ISBLANK('Paste Full'!CH250),"",'Paste Full'!CH250)</f>
        <v/>
      </c>
    </row>
    <row r="251" spans="66:74" x14ac:dyDescent="0.3">
      <c r="BN251" s="41" t="str">
        <f>IF(ISBLANK('Paste Full'!BZ251),"",'Paste Full'!BZ251)</f>
        <v/>
      </c>
      <c r="BO251" s="41" t="str">
        <f>IF(ISBLANK('Paste Full'!CA251),"",'Paste Full'!CA251)</f>
        <v/>
      </c>
      <c r="BP251" s="41" t="str">
        <f>IF(ISBLANK('Paste Full'!CB251),"",'Paste Full'!CB251)</f>
        <v/>
      </c>
      <c r="BQ251" s="41" t="str">
        <f>IF(ISBLANK('Paste Full'!CC251),"",'Paste Full'!CC251)</f>
        <v/>
      </c>
      <c r="BR251" s="41" t="str">
        <f>IF(ISBLANK('Paste Full'!CD251),"",'Paste Full'!CD251)</f>
        <v/>
      </c>
      <c r="BS251" s="41" t="str">
        <f>IF(ISBLANK('Paste Full'!CE251),"",'Paste Full'!CE251)</f>
        <v/>
      </c>
      <c r="BT251" s="41" t="str">
        <f>IF(ISBLANK('Paste Full'!CF251),"",'Paste Full'!CF251)</f>
        <v/>
      </c>
      <c r="BU251" s="41" t="str">
        <f>IF(ISBLANK('Paste Full'!CG251),"",'Paste Full'!CG251)</f>
        <v/>
      </c>
      <c r="BV251" s="41" t="str">
        <f>IF(ISBLANK('Paste Full'!CH251),"",'Paste Full'!CH251)</f>
        <v/>
      </c>
    </row>
    <row r="252" spans="66:74" x14ac:dyDescent="0.3">
      <c r="BN252" s="41" t="str">
        <f>IF(ISBLANK('Paste Full'!BZ252),"",'Paste Full'!BZ252)</f>
        <v/>
      </c>
      <c r="BO252" s="41" t="str">
        <f>IF(ISBLANK('Paste Full'!CA252),"",'Paste Full'!CA252)</f>
        <v/>
      </c>
      <c r="BP252" s="41" t="str">
        <f>IF(ISBLANK('Paste Full'!CB252),"",'Paste Full'!CB252)</f>
        <v/>
      </c>
      <c r="BQ252" s="41" t="str">
        <f>IF(ISBLANK('Paste Full'!CC252),"",'Paste Full'!CC252)</f>
        <v/>
      </c>
      <c r="BR252" s="41" t="str">
        <f>IF(ISBLANK('Paste Full'!CD252),"",'Paste Full'!CD252)</f>
        <v/>
      </c>
      <c r="BS252" s="41" t="str">
        <f>IF(ISBLANK('Paste Full'!CE252),"",'Paste Full'!CE252)</f>
        <v/>
      </c>
      <c r="BT252" s="41" t="str">
        <f>IF(ISBLANK('Paste Full'!CF252),"",'Paste Full'!CF252)</f>
        <v/>
      </c>
      <c r="BU252" s="41" t="str">
        <f>IF(ISBLANK('Paste Full'!CG252),"",'Paste Full'!CG252)</f>
        <v/>
      </c>
      <c r="BV252" s="41" t="str">
        <f>IF(ISBLANK('Paste Full'!CH252),"",'Paste Full'!CH252)</f>
        <v/>
      </c>
    </row>
    <row r="253" spans="66:74" x14ac:dyDescent="0.3">
      <c r="BN253" s="41" t="str">
        <f>IF(ISBLANK('Paste Full'!BZ253),"",'Paste Full'!BZ253)</f>
        <v/>
      </c>
      <c r="BO253" s="41" t="str">
        <f>IF(ISBLANK('Paste Full'!CA253),"",'Paste Full'!CA253)</f>
        <v/>
      </c>
      <c r="BP253" s="41" t="str">
        <f>IF(ISBLANK('Paste Full'!CB253),"",'Paste Full'!CB253)</f>
        <v/>
      </c>
      <c r="BQ253" s="41" t="str">
        <f>IF(ISBLANK('Paste Full'!CC253),"",'Paste Full'!CC253)</f>
        <v/>
      </c>
      <c r="BR253" s="41" t="str">
        <f>IF(ISBLANK('Paste Full'!CD253),"",'Paste Full'!CD253)</f>
        <v/>
      </c>
      <c r="BS253" s="41" t="str">
        <f>IF(ISBLANK('Paste Full'!CE253),"",'Paste Full'!CE253)</f>
        <v/>
      </c>
      <c r="BT253" s="41" t="str">
        <f>IF(ISBLANK('Paste Full'!CF253),"",'Paste Full'!CF253)</f>
        <v/>
      </c>
      <c r="BU253" s="41" t="str">
        <f>IF(ISBLANK('Paste Full'!CG253),"",'Paste Full'!CG253)</f>
        <v/>
      </c>
      <c r="BV253" s="41" t="str">
        <f>IF(ISBLANK('Paste Full'!CH253),"",'Paste Full'!CH253)</f>
        <v/>
      </c>
    </row>
    <row r="254" spans="66:74" x14ac:dyDescent="0.3">
      <c r="BN254" s="41" t="str">
        <f>IF(ISBLANK('Paste Full'!BZ254),"",'Paste Full'!BZ254)</f>
        <v/>
      </c>
      <c r="BO254" s="41" t="str">
        <f>IF(ISBLANK('Paste Full'!CA254),"",'Paste Full'!CA254)</f>
        <v/>
      </c>
      <c r="BP254" s="41" t="str">
        <f>IF(ISBLANK('Paste Full'!CB254),"",'Paste Full'!CB254)</f>
        <v/>
      </c>
      <c r="BQ254" s="41" t="str">
        <f>IF(ISBLANK('Paste Full'!CC254),"",'Paste Full'!CC254)</f>
        <v/>
      </c>
      <c r="BR254" s="41" t="str">
        <f>IF(ISBLANK('Paste Full'!CD254),"",'Paste Full'!CD254)</f>
        <v/>
      </c>
      <c r="BS254" s="41" t="str">
        <f>IF(ISBLANK('Paste Full'!CE254),"",'Paste Full'!CE254)</f>
        <v/>
      </c>
      <c r="BT254" s="41" t="str">
        <f>IF(ISBLANK('Paste Full'!CF254),"",'Paste Full'!CF254)</f>
        <v/>
      </c>
      <c r="BU254" s="41" t="str">
        <f>IF(ISBLANK('Paste Full'!CG254),"",'Paste Full'!CG254)</f>
        <v/>
      </c>
      <c r="BV254" s="41" t="str">
        <f>IF(ISBLANK('Paste Full'!CH254),"",'Paste Full'!CH254)</f>
        <v/>
      </c>
    </row>
    <row r="255" spans="66:74" x14ac:dyDescent="0.3">
      <c r="BN255" s="41" t="str">
        <f>IF(ISBLANK('Paste Full'!BZ255),"",'Paste Full'!BZ255)</f>
        <v/>
      </c>
      <c r="BO255" s="41" t="str">
        <f>IF(ISBLANK('Paste Full'!CA255),"",'Paste Full'!CA255)</f>
        <v/>
      </c>
      <c r="BP255" s="41" t="str">
        <f>IF(ISBLANK('Paste Full'!CB255),"",'Paste Full'!CB255)</f>
        <v/>
      </c>
      <c r="BQ255" s="41" t="str">
        <f>IF(ISBLANK('Paste Full'!CC255),"",'Paste Full'!CC255)</f>
        <v/>
      </c>
      <c r="BR255" s="41" t="str">
        <f>IF(ISBLANK('Paste Full'!CD255),"",'Paste Full'!CD255)</f>
        <v/>
      </c>
      <c r="BS255" s="41" t="str">
        <f>IF(ISBLANK('Paste Full'!CE255),"",'Paste Full'!CE255)</f>
        <v/>
      </c>
      <c r="BT255" s="41" t="str">
        <f>IF(ISBLANK('Paste Full'!CF255),"",'Paste Full'!CF255)</f>
        <v/>
      </c>
      <c r="BU255" s="41" t="str">
        <f>IF(ISBLANK('Paste Full'!CG255),"",'Paste Full'!CG255)</f>
        <v/>
      </c>
      <c r="BV255" s="41" t="str">
        <f>IF(ISBLANK('Paste Full'!CH255),"",'Paste Full'!CH255)</f>
        <v/>
      </c>
    </row>
    <row r="256" spans="66:74" x14ac:dyDescent="0.3">
      <c r="BN256" s="41" t="str">
        <f>IF(ISBLANK('Paste Full'!BZ256),"",'Paste Full'!BZ256)</f>
        <v/>
      </c>
      <c r="BO256" s="41" t="str">
        <f>IF(ISBLANK('Paste Full'!CA256),"",'Paste Full'!CA256)</f>
        <v/>
      </c>
      <c r="BP256" s="41" t="str">
        <f>IF(ISBLANK('Paste Full'!CB256),"",'Paste Full'!CB256)</f>
        <v/>
      </c>
      <c r="BQ256" s="41" t="str">
        <f>IF(ISBLANK('Paste Full'!CC256),"",'Paste Full'!CC256)</f>
        <v/>
      </c>
      <c r="BR256" s="41" t="str">
        <f>IF(ISBLANK('Paste Full'!CD256),"",'Paste Full'!CD256)</f>
        <v/>
      </c>
      <c r="BS256" s="41" t="str">
        <f>IF(ISBLANK('Paste Full'!CE256),"",'Paste Full'!CE256)</f>
        <v/>
      </c>
      <c r="BT256" s="41" t="str">
        <f>IF(ISBLANK('Paste Full'!CF256),"",'Paste Full'!CF256)</f>
        <v/>
      </c>
      <c r="BU256" s="41" t="str">
        <f>IF(ISBLANK('Paste Full'!CG256),"",'Paste Full'!CG256)</f>
        <v/>
      </c>
      <c r="BV256" s="41" t="str">
        <f>IF(ISBLANK('Paste Full'!CH256),"",'Paste Full'!CH256)</f>
        <v/>
      </c>
    </row>
    <row r="257" spans="66:74" x14ac:dyDescent="0.3">
      <c r="BN257" s="41" t="str">
        <f>IF(ISBLANK('Paste Full'!BZ257),"",'Paste Full'!BZ257)</f>
        <v/>
      </c>
      <c r="BO257" s="41" t="str">
        <f>IF(ISBLANK('Paste Full'!CA257),"",'Paste Full'!CA257)</f>
        <v/>
      </c>
      <c r="BP257" s="41" t="str">
        <f>IF(ISBLANK('Paste Full'!CB257),"",'Paste Full'!CB257)</f>
        <v/>
      </c>
      <c r="BQ257" s="41" t="str">
        <f>IF(ISBLANK('Paste Full'!CC257),"",'Paste Full'!CC257)</f>
        <v/>
      </c>
      <c r="BR257" s="41" t="str">
        <f>IF(ISBLANK('Paste Full'!CD257),"",'Paste Full'!CD257)</f>
        <v/>
      </c>
      <c r="BS257" s="41" t="str">
        <f>IF(ISBLANK('Paste Full'!CE257),"",'Paste Full'!CE257)</f>
        <v/>
      </c>
      <c r="BT257" s="41" t="str">
        <f>IF(ISBLANK('Paste Full'!CF257),"",'Paste Full'!CF257)</f>
        <v/>
      </c>
      <c r="BU257" s="41" t="str">
        <f>IF(ISBLANK('Paste Full'!CG257),"",'Paste Full'!CG257)</f>
        <v/>
      </c>
      <c r="BV257" s="41" t="str">
        <f>IF(ISBLANK('Paste Full'!CH257),"",'Paste Full'!CH257)</f>
        <v/>
      </c>
    </row>
    <row r="258" spans="66:74" x14ac:dyDescent="0.3">
      <c r="BN258" s="41" t="str">
        <f>IF(ISBLANK('Paste Full'!BZ258),"",'Paste Full'!BZ258)</f>
        <v/>
      </c>
      <c r="BO258" s="41" t="str">
        <f>IF(ISBLANK('Paste Full'!CA258),"",'Paste Full'!CA258)</f>
        <v/>
      </c>
      <c r="BP258" s="41" t="str">
        <f>IF(ISBLANK('Paste Full'!CB258),"",'Paste Full'!CB258)</f>
        <v/>
      </c>
      <c r="BQ258" s="41" t="str">
        <f>IF(ISBLANK('Paste Full'!CC258),"",'Paste Full'!CC258)</f>
        <v/>
      </c>
      <c r="BR258" s="41" t="str">
        <f>IF(ISBLANK('Paste Full'!CD258),"",'Paste Full'!CD258)</f>
        <v/>
      </c>
      <c r="BS258" s="41" t="str">
        <f>IF(ISBLANK('Paste Full'!CE258),"",'Paste Full'!CE258)</f>
        <v/>
      </c>
      <c r="BT258" s="41" t="str">
        <f>IF(ISBLANK('Paste Full'!CF258),"",'Paste Full'!CF258)</f>
        <v/>
      </c>
      <c r="BU258" s="41" t="str">
        <f>IF(ISBLANK('Paste Full'!CG258),"",'Paste Full'!CG258)</f>
        <v/>
      </c>
      <c r="BV258" s="41" t="str">
        <f>IF(ISBLANK('Paste Full'!CH258),"",'Paste Full'!CH258)</f>
        <v/>
      </c>
    </row>
    <row r="259" spans="66:74" x14ac:dyDescent="0.3">
      <c r="BN259" s="41" t="str">
        <f>IF(ISBLANK('Paste Full'!BZ259),"",'Paste Full'!BZ259)</f>
        <v/>
      </c>
      <c r="BO259" s="41" t="str">
        <f>IF(ISBLANK('Paste Full'!CA259),"",'Paste Full'!CA259)</f>
        <v/>
      </c>
      <c r="BP259" s="41" t="str">
        <f>IF(ISBLANK('Paste Full'!CB259),"",'Paste Full'!CB259)</f>
        <v/>
      </c>
      <c r="BQ259" s="41" t="str">
        <f>IF(ISBLANK('Paste Full'!CC259),"",'Paste Full'!CC259)</f>
        <v/>
      </c>
      <c r="BR259" s="41" t="str">
        <f>IF(ISBLANK('Paste Full'!CD259),"",'Paste Full'!CD259)</f>
        <v/>
      </c>
      <c r="BS259" s="41" t="str">
        <f>IF(ISBLANK('Paste Full'!CE259),"",'Paste Full'!CE259)</f>
        <v/>
      </c>
      <c r="BT259" s="41" t="str">
        <f>IF(ISBLANK('Paste Full'!CF259),"",'Paste Full'!CF259)</f>
        <v/>
      </c>
      <c r="BU259" s="41" t="str">
        <f>IF(ISBLANK('Paste Full'!CG259),"",'Paste Full'!CG259)</f>
        <v/>
      </c>
      <c r="BV259" s="41" t="str">
        <f>IF(ISBLANK('Paste Full'!CH259),"",'Paste Full'!CH259)</f>
        <v/>
      </c>
    </row>
    <row r="260" spans="66:74" x14ac:dyDescent="0.3">
      <c r="BN260" s="41" t="str">
        <f>IF(ISBLANK('Paste Full'!BZ260),"",'Paste Full'!BZ260)</f>
        <v/>
      </c>
      <c r="BO260" s="41" t="str">
        <f>IF(ISBLANK('Paste Full'!CA260),"",'Paste Full'!CA260)</f>
        <v/>
      </c>
      <c r="BP260" s="41" t="str">
        <f>IF(ISBLANK('Paste Full'!CB260),"",'Paste Full'!CB260)</f>
        <v/>
      </c>
      <c r="BQ260" s="41" t="str">
        <f>IF(ISBLANK('Paste Full'!CC260),"",'Paste Full'!CC260)</f>
        <v/>
      </c>
      <c r="BR260" s="41" t="str">
        <f>IF(ISBLANK('Paste Full'!CD260),"",'Paste Full'!CD260)</f>
        <v/>
      </c>
      <c r="BS260" s="41" t="str">
        <f>IF(ISBLANK('Paste Full'!CE260),"",'Paste Full'!CE260)</f>
        <v/>
      </c>
      <c r="BT260" s="41" t="str">
        <f>IF(ISBLANK('Paste Full'!CF260),"",'Paste Full'!CF260)</f>
        <v/>
      </c>
      <c r="BU260" s="41" t="str">
        <f>IF(ISBLANK('Paste Full'!CG260),"",'Paste Full'!CG260)</f>
        <v/>
      </c>
      <c r="BV260" s="41" t="str">
        <f>IF(ISBLANK('Paste Full'!CH260),"",'Paste Full'!CH260)</f>
        <v/>
      </c>
    </row>
    <row r="261" spans="66:74" x14ac:dyDescent="0.3">
      <c r="BN261" s="41" t="str">
        <f>IF(ISBLANK('Paste Full'!BZ261),"",'Paste Full'!BZ261)</f>
        <v/>
      </c>
      <c r="BO261" s="41" t="str">
        <f>IF(ISBLANK('Paste Full'!CA261),"",'Paste Full'!CA261)</f>
        <v/>
      </c>
      <c r="BP261" s="41" t="str">
        <f>IF(ISBLANK('Paste Full'!CB261),"",'Paste Full'!CB261)</f>
        <v/>
      </c>
      <c r="BQ261" s="41" t="str">
        <f>IF(ISBLANK('Paste Full'!CC261),"",'Paste Full'!CC261)</f>
        <v/>
      </c>
      <c r="BR261" s="41" t="str">
        <f>IF(ISBLANK('Paste Full'!CD261),"",'Paste Full'!CD261)</f>
        <v/>
      </c>
      <c r="BS261" s="41" t="str">
        <f>IF(ISBLANK('Paste Full'!CE261),"",'Paste Full'!CE261)</f>
        <v/>
      </c>
      <c r="BT261" s="41" t="str">
        <f>IF(ISBLANK('Paste Full'!CF261),"",'Paste Full'!CF261)</f>
        <v/>
      </c>
      <c r="BU261" s="41" t="str">
        <f>IF(ISBLANK('Paste Full'!CG261),"",'Paste Full'!CG261)</f>
        <v/>
      </c>
      <c r="BV261" s="41" t="str">
        <f>IF(ISBLANK('Paste Full'!CH261),"",'Paste Full'!CH261)</f>
        <v/>
      </c>
    </row>
    <row r="262" spans="66:74" x14ac:dyDescent="0.3">
      <c r="BN262" s="41" t="str">
        <f>IF(ISBLANK('Paste Full'!BZ262),"",'Paste Full'!BZ262)</f>
        <v/>
      </c>
      <c r="BO262" s="41" t="str">
        <f>IF(ISBLANK('Paste Full'!CA262),"",'Paste Full'!CA262)</f>
        <v/>
      </c>
      <c r="BP262" s="41" t="str">
        <f>IF(ISBLANK('Paste Full'!CB262),"",'Paste Full'!CB262)</f>
        <v/>
      </c>
      <c r="BQ262" s="41" t="str">
        <f>IF(ISBLANK('Paste Full'!CC262),"",'Paste Full'!CC262)</f>
        <v/>
      </c>
      <c r="BR262" s="41" t="str">
        <f>IF(ISBLANK('Paste Full'!CD262),"",'Paste Full'!CD262)</f>
        <v/>
      </c>
      <c r="BS262" s="41" t="str">
        <f>IF(ISBLANK('Paste Full'!CE262),"",'Paste Full'!CE262)</f>
        <v/>
      </c>
      <c r="BT262" s="41" t="str">
        <f>IF(ISBLANK('Paste Full'!CF262),"",'Paste Full'!CF262)</f>
        <v/>
      </c>
      <c r="BU262" s="41" t="str">
        <f>IF(ISBLANK('Paste Full'!CG262),"",'Paste Full'!CG262)</f>
        <v/>
      </c>
      <c r="BV262" s="41" t="str">
        <f>IF(ISBLANK('Paste Full'!CH262),"",'Paste Full'!CH262)</f>
        <v/>
      </c>
    </row>
    <row r="263" spans="66:74" x14ac:dyDescent="0.3">
      <c r="BN263" s="41" t="str">
        <f>IF(ISBLANK('Paste Full'!BZ263),"",'Paste Full'!BZ263)</f>
        <v/>
      </c>
      <c r="BO263" s="41" t="str">
        <f>IF(ISBLANK('Paste Full'!CA263),"",'Paste Full'!CA263)</f>
        <v/>
      </c>
      <c r="BP263" s="41" t="str">
        <f>IF(ISBLANK('Paste Full'!CB263),"",'Paste Full'!CB263)</f>
        <v/>
      </c>
      <c r="BQ263" s="41" t="str">
        <f>IF(ISBLANK('Paste Full'!CC263),"",'Paste Full'!CC263)</f>
        <v/>
      </c>
      <c r="BR263" s="41" t="str">
        <f>IF(ISBLANK('Paste Full'!CD263),"",'Paste Full'!CD263)</f>
        <v/>
      </c>
      <c r="BS263" s="41" t="str">
        <f>IF(ISBLANK('Paste Full'!CE263),"",'Paste Full'!CE263)</f>
        <v/>
      </c>
      <c r="BT263" s="41" t="str">
        <f>IF(ISBLANK('Paste Full'!CF263),"",'Paste Full'!CF263)</f>
        <v/>
      </c>
      <c r="BU263" s="41" t="str">
        <f>IF(ISBLANK('Paste Full'!CG263),"",'Paste Full'!CG263)</f>
        <v/>
      </c>
      <c r="BV263" s="41" t="str">
        <f>IF(ISBLANK('Paste Full'!CH263),"",'Paste Full'!CH263)</f>
        <v/>
      </c>
    </row>
    <row r="264" spans="66:74" x14ac:dyDescent="0.3">
      <c r="BN264" s="41" t="str">
        <f>IF(ISBLANK('Paste Full'!BZ264),"",'Paste Full'!BZ264)</f>
        <v/>
      </c>
      <c r="BO264" s="41" t="str">
        <f>IF(ISBLANK('Paste Full'!CA264),"",'Paste Full'!CA264)</f>
        <v/>
      </c>
      <c r="BP264" s="41" t="str">
        <f>IF(ISBLANK('Paste Full'!CB264),"",'Paste Full'!CB264)</f>
        <v/>
      </c>
      <c r="BQ264" s="41" t="str">
        <f>IF(ISBLANK('Paste Full'!CC264),"",'Paste Full'!CC264)</f>
        <v/>
      </c>
      <c r="BR264" s="41" t="str">
        <f>IF(ISBLANK('Paste Full'!CD264),"",'Paste Full'!CD264)</f>
        <v/>
      </c>
      <c r="BS264" s="41" t="str">
        <f>IF(ISBLANK('Paste Full'!CE264),"",'Paste Full'!CE264)</f>
        <v/>
      </c>
      <c r="BT264" s="41" t="str">
        <f>IF(ISBLANK('Paste Full'!CF264),"",'Paste Full'!CF264)</f>
        <v/>
      </c>
      <c r="BU264" s="41" t="str">
        <f>IF(ISBLANK('Paste Full'!CG264),"",'Paste Full'!CG264)</f>
        <v/>
      </c>
      <c r="BV264" s="41" t="str">
        <f>IF(ISBLANK('Paste Full'!CH264),"",'Paste Full'!CH264)</f>
        <v/>
      </c>
    </row>
    <row r="265" spans="66:74" x14ac:dyDescent="0.3">
      <c r="BN265" s="41" t="str">
        <f>IF(ISBLANK('Paste Full'!BZ265),"",'Paste Full'!BZ265)</f>
        <v/>
      </c>
      <c r="BO265" s="41" t="str">
        <f>IF(ISBLANK('Paste Full'!CA265),"",'Paste Full'!CA265)</f>
        <v/>
      </c>
      <c r="BP265" s="41" t="str">
        <f>IF(ISBLANK('Paste Full'!CB265),"",'Paste Full'!CB265)</f>
        <v/>
      </c>
      <c r="BQ265" s="41" t="str">
        <f>IF(ISBLANK('Paste Full'!CC265),"",'Paste Full'!CC265)</f>
        <v/>
      </c>
      <c r="BR265" s="41" t="str">
        <f>IF(ISBLANK('Paste Full'!CD265),"",'Paste Full'!CD265)</f>
        <v/>
      </c>
      <c r="BS265" s="41" t="str">
        <f>IF(ISBLANK('Paste Full'!CE265),"",'Paste Full'!CE265)</f>
        <v/>
      </c>
      <c r="BT265" s="41" t="str">
        <f>IF(ISBLANK('Paste Full'!CF265),"",'Paste Full'!CF265)</f>
        <v/>
      </c>
      <c r="BU265" s="41" t="str">
        <f>IF(ISBLANK('Paste Full'!CG265),"",'Paste Full'!CG265)</f>
        <v/>
      </c>
      <c r="BV265" s="41" t="str">
        <f>IF(ISBLANK('Paste Full'!CH265),"",'Paste Full'!CH265)</f>
        <v/>
      </c>
    </row>
    <row r="266" spans="66:74" x14ac:dyDescent="0.3">
      <c r="BN266" s="41" t="str">
        <f>IF(ISBLANK('Paste Full'!BZ266),"",'Paste Full'!BZ266)</f>
        <v/>
      </c>
      <c r="BO266" s="41" t="str">
        <f>IF(ISBLANK('Paste Full'!CA266),"",'Paste Full'!CA266)</f>
        <v/>
      </c>
      <c r="BP266" s="41" t="str">
        <f>IF(ISBLANK('Paste Full'!CB266),"",'Paste Full'!CB266)</f>
        <v/>
      </c>
      <c r="BQ266" s="41" t="str">
        <f>IF(ISBLANK('Paste Full'!CC266),"",'Paste Full'!CC266)</f>
        <v/>
      </c>
      <c r="BR266" s="41" t="str">
        <f>IF(ISBLANK('Paste Full'!CD266),"",'Paste Full'!CD266)</f>
        <v/>
      </c>
      <c r="BS266" s="41" t="str">
        <f>IF(ISBLANK('Paste Full'!CE266),"",'Paste Full'!CE266)</f>
        <v/>
      </c>
      <c r="BT266" s="41" t="str">
        <f>IF(ISBLANK('Paste Full'!CF266),"",'Paste Full'!CF266)</f>
        <v/>
      </c>
      <c r="BU266" s="41" t="str">
        <f>IF(ISBLANK('Paste Full'!CG266),"",'Paste Full'!CG266)</f>
        <v/>
      </c>
      <c r="BV266" s="41" t="str">
        <f>IF(ISBLANK('Paste Full'!CH266),"",'Paste Full'!CH266)</f>
        <v/>
      </c>
    </row>
    <row r="267" spans="66:74" x14ac:dyDescent="0.3">
      <c r="BN267" s="41" t="str">
        <f>IF(ISBLANK('Paste Full'!BZ267),"",'Paste Full'!BZ267)</f>
        <v/>
      </c>
      <c r="BO267" s="41" t="str">
        <f>IF(ISBLANK('Paste Full'!CA267),"",'Paste Full'!CA267)</f>
        <v/>
      </c>
      <c r="BP267" s="41" t="str">
        <f>IF(ISBLANK('Paste Full'!CB267),"",'Paste Full'!CB267)</f>
        <v/>
      </c>
      <c r="BQ267" s="41" t="str">
        <f>IF(ISBLANK('Paste Full'!CC267),"",'Paste Full'!CC267)</f>
        <v/>
      </c>
      <c r="BR267" s="41" t="str">
        <f>IF(ISBLANK('Paste Full'!CD267),"",'Paste Full'!CD267)</f>
        <v/>
      </c>
      <c r="BS267" s="41" t="str">
        <f>IF(ISBLANK('Paste Full'!CE267),"",'Paste Full'!CE267)</f>
        <v/>
      </c>
      <c r="BT267" s="41" t="str">
        <f>IF(ISBLANK('Paste Full'!CF267),"",'Paste Full'!CF267)</f>
        <v/>
      </c>
      <c r="BU267" s="41" t="str">
        <f>IF(ISBLANK('Paste Full'!CG267),"",'Paste Full'!CG267)</f>
        <v/>
      </c>
      <c r="BV267" s="41" t="str">
        <f>IF(ISBLANK('Paste Full'!CH267),"",'Paste Full'!CH267)</f>
        <v/>
      </c>
    </row>
    <row r="268" spans="66:74" x14ac:dyDescent="0.3">
      <c r="BN268" s="41" t="str">
        <f>IF(ISBLANK('Paste Full'!BZ268),"",'Paste Full'!BZ268)</f>
        <v/>
      </c>
      <c r="BO268" s="41" t="str">
        <f>IF(ISBLANK('Paste Full'!CA268),"",'Paste Full'!CA268)</f>
        <v/>
      </c>
      <c r="BP268" s="41" t="str">
        <f>IF(ISBLANK('Paste Full'!CB268),"",'Paste Full'!CB268)</f>
        <v/>
      </c>
      <c r="BQ268" s="41" t="str">
        <f>IF(ISBLANK('Paste Full'!CC268),"",'Paste Full'!CC268)</f>
        <v/>
      </c>
      <c r="BR268" s="41" t="str">
        <f>IF(ISBLANK('Paste Full'!CD268),"",'Paste Full'!CD268)</f>
        <v/>
      </c>
      <c r="BS268" s="41" t="str">
        <f>IF(ISBLANK('Paste Full'!CE268),"",'Paste Full'!CE268)</f>
        <v/>
      </c>
      <c r="BT268" s="41" t="str">
        <f>IF(ISBLANK('Paste Full'!CF268),"",'Paste Full'!CF268)</f>
        <v/>
      </c>
      <c r="BU268" s="41" t="str">
        <f>IF(ISBLANK('Paste Full'!CG268),"",'Paste Full'!CG268)</f>
        <v/>
      </c>
      <c r="BV268" s="41" t="str">
        <f>IF(ISBLANK('Paste Full'!CH268),"",'Paste Full'!CH268)</f>
        <v/>
      </c>
    </row>
    <row r="269" spans="66:74" x14ac:dyDescent="0.3">
      <c r="BN269" s="41" t="str">
        <f>IF(ISBLANK('Paste Full'!BZ269),"",'Paste Full'!BZ269)</f>
        <v/>
      </c>
      <c r="BO269" s="41" t="str">
        <f>IF(ISBLANK('Paste Full'!CA269),"",'Paste Full'!CA269)</f>
        <v/>
      </c>
      <c r="BP269" s="41" t="str">
        <f>IF(ISBLANK('Paste Full'!CB269),"",'Paste Full'!CB269)</f>
        <v/>
      </c>
      <c r="BQ269" s="41" t="str">
        <f>IF(ISBLANK('Paste Full'!CC269),"",'Paste Full'!CC269)</f>
        <v/>
      </c>
      <c r="BR269" s="41" t="str">
        <f>IF(ISBLANK('Paste Full'!CD269),"",'Paste Full'!CD269)</f>
        <v/>
      </c>
      <c r="BS269" s="41" t="str">
        <f>IF(ISBLANK('Paste Full'!CE269),"",'Paste Full'!CE269)</f>
        <v/>
      </c>
      <c r="BT269" s="41" t="str">
        <f>IF(ISBLANK('Paste Full'!CF269),"",'Paste Full'!CF269)</f>
        <v/>
      </c>
      <c r="BU269" s="41" t="str">
        <f>IF(ISBLANK('Paste Full'!CG269),"",'Paste Full'!CG269)</f>
        <v/>
      </c>
      <c r="BV269" s="41" t="str">
        <f>IF(ISBLANK('Paste Full'!CH269),"",'Paste Full'!CH269)</f>
        <v/>
      </c>
    </row>
    <row r="270" spans="66:74" x14ac:dyDescent="0.3">
      <c r="BN270" s="41" t="str">
        <f>IF(ISBLANK('Paste Full'!BZ270),"",'Paste Full'!BZ270)</f>
        <v/>
      </c>
      <c r="BO270" s="41" t="str">
        <f>IF(ISBLANK('Paste Full'!CA270),"",'Paste Full'!CA270)</f>
        <v/>
      </c>
      <c r="BP270" s="41" t="str">
        <f>IF(ISBLANK('Paste Full'!CB270),"",'Paste Full'!CB270)</f>
        <v/>
      </c>
      <c r="BQ270" s="41" t="str">
        <f>IF(ISBLANK('Paste Full'!CC270),"",'Paste Full'!CC270)</f>
        <v/>
      </c>
      <c r="BR270" s="41" t="str">
        <f>IF(ISBLANK('Paste Full'!CD270),"",'Paste Full'!CD270)</f>
        <v/>
      </c>
      <c r="BS270" s="41" t="str">
        <f>IF(ISBLANK('Paste Full'!CE270),"",'Paste Full'!CE270)</f>
        <v/>
      </c>
      <c r="BT270" s="41" t="str">
        <f>IF(ISBLANK('Paste Full'!CF270),"",'Paste Full'!CF270)</f>
        <v/>
      </c>
      <c r="BU270" s="41" t="str">
        <f>IF(ISBLANK('Paste Full'!CG270),"",'Paste Full'!CG270)</f>
        <v/>
      </c>
      <c r="BV270" s="41" t="str">
        <f>IF(ISBLANK('Paste Full'!CH270),"",'Paste Full'!CH270)</f>
        <v/>
      </c>
    </row>
    <row r="271" spans="66:74" x14ac:dyDescent="0.3">
      <c r="BN271" s="41" t="str">
        <f>IF(ISBLANK('Paste Full'!BZ271),"",'Paste Full'!BZ271)</f>
        <v/>
      </c>
      <c r="BO271" s="41" t="str">
        <f>IF(ISBLANK('Paste Full'!CA271),"",'Paste Full'!CA271)</f>
        <v/>
      </c>
      <c r="BP271" s="41" t="str">
        <f>IF(ISBLANK('Paste Full'!CB271),"",'Paste Full'!CB271)</f>
        <v/>
      </c>
      <c r="BQ271" s="41" t="str">
        <f>IF(ISBLANK('Paste Full'!CC271),"",'Paste Full'!CC271)</f>
        <v/>
      </c>
      <c r="BR271" s="41" t="str">
        <f>IF(ISBLANK('Paste Full'!CD271),"",'Paste Full'!CD271)</f>
        <v/>
      </c>
      <c r="BS271" s="41" t="str">
        <f>IF(ISBLANK('Paste Full'!CE271),"",'Paste Full'!CE271)</f>
        <v/>
      </c>
      <c r="BT271" s="41" t="str">
        <f>IF(ISBLANK('Paste Full'!CF271),"",'Paste Full'!CF271)</f>
        <v/>
      </c>
      <c r="BU271" s="41" t="str">
        <f>IF(ISBLANK('Paste Full'!CG271),"",'Paste Full'!CG271)</f>
        <v/>
      </c>
      <c r="BV271" s="41" t="str">
        <f>IF(ISBLANK('Paste Full'!CH271),"",'Paste Full'!CH271)</f>
        <v/>
      </c>
    </row>
    <row r="272" spans="66:74" x14ac:dyDescent="0.3">
      <c r="BN272" s="41" t="str">
        <f>IF(ISBLANK('Paste Full'!BZ272),"",'Paste Full'!BZ272)</f>
        <v/>
      </c>
      <c r="BO272" s="41" t="str">
        <f>IF(ISBLANK('Paste Full'!CA272),"",'Paste Full'!CA272)</f>
        <v/>
      </c>
      <c r="BP272" s="41" t="str">
        <f>IF(ISBLANK('Paste Full'!CB272),"",'Paste Full'!CB272)</f>
        <v/>
      </c>
      <c r="BQ272" s="41" t="str">
        <f>IF(ISBLANK('Paste Full'!CC272),"",'Paste Full'!CC272)</f>
        <v/>
      </c>
      <c r="BR272" s="41" t="str">
        <f>IF(ISBLANK('Paste Full'!CD272),"",'Paste Full'!CD272)</f>
        <v/>
      </c>
      <c r="BS272" s="41" t="str">
        <f>IF(ISBLANK('Paste Full'!CE272),"",'Paste Full'!CE272)</f>
        <v/>
      </c>
      <c r="BT272" s="41" t="str">
        <f>IF(ISBLANK('Paste Full'!CF272),"",'Paste Full'!CF272)</f>
        <v/>
      </c>
      <c r="BU272" s="41" t="str">
        <f>IF(ISBLANK('Paste Full'!CG272),"",'Paste Full'!CG272)</f>
        <v/>
      </c>
      <c r="BV272" s="41" t="str">
        <f>IF(ISBLANK('Paste Full'!CH272),"",'Paste Full'!CH272)</f>
        <v/>
      </c>
    </row>
    <row r="273" spans="66:74" x14ac:dyDescent="0.3">
      <c r="BN273" s="41" t="str">
        <f>IF(ISBLANK('Paste Full'!BZ273),"",'Paste Full'!BZ273)</f>
        <v/>
      </c>
      <c r="BO273" s="41" t="str">
        <f>IF(ISBLANK('Paste Full'!CA273),"",'Paste Full'!CA273)</f>
        <v/>
      </c>
      <c r="BP273" s="41" t="str">
        <f>IF(ISBLANK('Paste Full'!CB273),"",'Paste Full'!CB273)</f>
        <v/>
      </c>
      <c r="BQ273" s="41" t="str">
        <f>IF(ISBLANK('Paste Full'!CC273),"",'Paste Full'!CC273)</f>
        <v/>
      </c>
      <c r="BR273" s="41" t="str">
        <f>IF(ISBLANK('Paste Full'!CD273),"",'Paste Full'!CD273)</f>
        <v/>
      </c>
      <c r="BS273" s="41" t="str">
        <f>IF(ISBLANK('Paste Full'!CE273),"",'Paste Full'!CE273)</f>
        <v/>
      </c>
      <c r="BT273" s="41" t="str">
        <f>IF(ISBLANK('Paste Full'!CF273),"",'Paste Full'!CF273)</f>
        <v/>
      </c>
      <c r="BU273" s="41" t="str">
        <f>IF(ISBLANK('Paste Full'!CG273),"",'Paste Full'!CG273)</f>
        <v/>
      </c>
      <c r="BV273" s="41" t="str">
        <f>IF(ISBLANK('Paste Full'!CH273),"",'Paste Full'!CH273)</f>
        <v/>
      </c>
    </row>
    <row r="274" spans="66:74" x14ac:dyDescent="0.3">
      <c r="BN274" s="41" t="str">
        <f>IF(ISBLANK('Paste Full'!BZ274),"",'Paste Full'!BZ274)</f>
        <v/>
      </c>
      <c r="BO274" s="41" t="str">
        <f>IF(ISBLANK('Paste Full'!CA274),"",'Paste Full'!CA274)</f>
        <v/>
      </c>
      <c r="BP274" s="41" t="str">
        <f>IF(ISBLANK('Paste Full'!CB274),"",'Paste Full'!CB274)</f>
        <v/>
      </c>
      <c r="BQ274" s="41" t="str">
        <f>IF(ISBLANK('Paste Full'!CC274),"",'Paste Full'!CC274)</f>
        <v/>
      </c>
      <c r="BR274" s="41" t="str">
        <f>IF(ISBLANK('Paste Full'!CD274),"",'Paste Full'!CD274)</f>
        <v/>
      </c>
      <c r="BS274" s="41" t="str">
        <f>IF(ISBLANK('Paste Full'!CE274),"",'Paste Full'!CE274)</f>
        <v/>
      </c>
      <c r="BT274" s="41" t="str">
        <f>IF(ISBLANK('Paste Full'!CF274),"",'Paste Full'!CF274)</f>
        <v/>
      </c>
      <c r="BU274" s="41" t="str">
        <f>IF(ISBLANK('Paste Full'!CG274),"",'Paste Full'!CG274)</f>
        <v/>
      </c>
      <c r="BV274" s="41" t="str">
        <f>IF(ISBLANK('Paste Full'!CH274),"",'Paste Full'!CH274)</f>
        <v/>
      </c>
    </row>
    <row r="275" spans="66:74" x14ac:dyDescent="0.3">
      <c r="BN275" s="41" t="str">
        <f>IF(ISBLANK('Paste Full'!BZ275),"",'Paste Full'!BZ275)</f>
        <v/>
      </c>
      <c r="BO275" s="41" t="str">
        <f>IF(ISBLANK('Paste Full'!CA275),"",'Paste Full'!CA275)</f>
        <v/>
      </c>
      <c r="BP275" s="41" t="str">
        <f>IF(ISBLANK('Paste Full'!CB275),"",'Paste Full'!CB275)</f>
        <v/>
      </c>
      <c r="BQ275" s="41" t="str">
        <f>IF(ISBLANK('Paste Full'!CC275),"",'Paste Full'!CC275)</f>
        <v/>
      </c>
      <c r="BR275" s="41" t="str">
        <f>IF(ISBLANK('Paste Full'!CD275),"",'Paste Full'!CD275)</f>
        <v/>
      </c>
      <c r="BS275" s="41" t="str">
        <f>IF(ISBLANK('Paste Full'!CE275),"",'Paste Full'!CE275)</f>
        <v/>
      </c>
      <c r="BT275" s="41" t="str">
        <f>IF(ISBLANK('Paste Full'!CF275),"",'Paste Full'!CF275)</f>
        <v/>
      </c>
      <c r="BU275" s="41" t="str">
        <f>IF(ISBLANK('Paste Full'!CG275),"",'Paste Full'!CG275)</f>
        <v/>
      </c>
      <c r="BV275" s="41" t="str">
        <f>IF(ISBLANK('Paste Full'!CH275),"",'Paste Full'!CH275)</f>
        <v/>
      </c>
    </row>
    <row r="276" spans="66:74" x14ac:dyDescent="0.3">
      <c r="BN276" s="41" t="str">
        <f>IF(ISBLANK('Paste Full'!BZ276),"",'Paste Full'!BZ276)</f>
        <v/>
      </c>
      <c r="BO276" s="41" t="str">
        <f>IF(ISBLANK('Paste Full'!CA276),"",'Paste Full'!CA276)</f>
        <v/>
      </c>
      <c r="BP276" s="41" t="str">
        <f>IF(ISBLANK('Paste Full'!CB276),"",'Paste Full'!CB276)</f>
        <v/>
      </c>
      <c r="BQ276" s="41" t="str">
        <f>IF(ISBLANK('Paste Full'!CC276),"",'Paste Full'!CC276)</f>
        <v/>
      </c>
      <c r="BR276" s="41" t="str">
        <f>IF(ISBLANK('Paste Full'!CD276),"",'Paste Full'!CD276)</f>
        <v/>
      </c>
      <c r="BS276" s="41" t="str">
        <f>IF(ISBLANK('Paste Full'!CE276),"",'Paste Full'!CE276)</f>
        <v/>
      </c>
      <c r="BT276" s="41" t="str">
        <f>IF(ISBLANK('Paste Full'!CF276),"",'Paste Full'!CF276)</f>
        <v/>
      </c>
      <c r="BU276" s="41" t="str">
        <f>IF(ISBLANK('Paste Full'!CG276),"",'Paste Full'!CG276)</f>
        <v/>
      </c>
      <c r="BV276" s="41" t="str">
        <f>IF(ISBLANK('Paste Full'!CH276),"",'Paste Full'!CH276)</f>
        <v/>
      </c>
    </row>
    <row r="277" spans="66:74" x14ac:dyDescent="0.3">
      <c r="BN277" s="41" t="str">
        <f>IF(ISBLANK('Paste Full'!BZ277),"",'Paste Full'!BZ277)</f>
        <v/>
      </c>
      <c r="BO277" s="41" t="str">
        <f>IF(ISBLANK('Paste Full'!CA277),"",'Paste Full'!CA277)</f>
        <v/>
      </c>
      <c r="BP277" s="41" t="str">
        <f>IF(ISBLANK('Paste Full'!CB277),"",'Paste Full'!CB277)</f>
        <v/>
      </c>
      <c r="BQ277" s="41" t="str">
        <f>IF(ISBLANK('Paste Full'!CC277),"",'Paste Full'!CC277)</f>
        <v/>
      </c>
      <c r="BR277" s="41" t="str">
        <f>IF(ISBLANK('Paste Full'!CD277),"",'Paste Full'!CD277)</f>
        <v/>
      </c>
      <c r="BS277" s="41" t="str">
        <f>IF(ISBLANK('Paste Full'!CE277),"",'Paste Full'!CE277)</f>
        <v/>
      </c>
      <c r="BT277" s="41" t="str">
        <f>IF(ISBLANK('Paste Full'!CF277),"",'Paste Full'!CF277)</f>
        <v/>
      </c>
      <c r="BU277" s="41" t="str">
        <f>IF(ISBLANK('Paste Full'!CG277),"",'Paste Full'!CG277)</f>
        <v/>
      </c>
      <c r="BV277" s="41" t="str">
        <f>IF(ISBLANK('Paste Full'!CH277),"",'Paste Full'!CH277)</f>
        <v/>
      </c>
    </row>
    <row r="278" spans="66:74" x14ac:dyDescent="0.3">
      <c r="BN278" s="41" t="str">
        <f>IF(ISBLANK('Paste Full'!BZ278),"",'Paste Full'!BZ278)</f>
        <v/>
      </c>
      <c r="BO278" s="41" t="str">
        <f>IF(ISBLANK('Paste Full'!CA278),"",'Paste Full'!CA278)</f>
        <v/>
      </c>
      <c r="BP278" s="41" t="str">
        <f>IF(ISBLANK('Paste Full'!CB278),"",'Paste Full'!CB278)</f>
        <v/>
      </c>
      <c r="BQ278" s="41" t="str">
        <f>IF(ISBLANK('Paste Full'!CC278),"",'Paste Full'!CC278)</f>
        <v/>
      </c>
      <c r="BR278" s="41" t="str">
        <f>IF(ISBLANK('Paste Full'!CD278),"",'Paste Full'!CD278)</f>
        <v/>
      </c>
      <c r="BS278" s="41" t="str">
        <f>IF(ISBLANK('Paste Full'!CE278),"",'Paste Full'!CE278)</f>
        <v/>
      </c>
      <c r="BT278" s="41" t="str">
        <f>IF(ISBLANK('Paste Full'!CF278),"",'Paste Full'!CF278)</f>
        <v/>
      </c>
      <c r="BU278" s="41" t="str">
        <f>IF(ISBLANK('Paste Full'!CG278),"",'Paste Full'!CG278)</f>
        <v/>
      </c>
      <c r="BV278" s="41" t="str">
        <f>IF(ISBLANK('Paste Full'!CH278),"",'Paste Full'!CH278)</f>
        <v/>
      </c>
    </row>
    <row r="279" spans="66:74" x14ac:dyDescent="0.3">
      <c r="BN279" s="41" t="str">
        <f>IF(ISBLANK('Paste Full'!BZ279),"",'Paste Full'!BZ279)</f>
        <v/>
      </c>
      <c r="BO279" s="41" t="str">
        <f>IF(ISBLANK('Paste Full'!CA279),"",'Paste Full'!CA279)</f>
        <v/>
      </c>
      <c r="BP279" s="41" t="str">
        <f>IF(ISBLANK('Paste Full'!CB279),"",'Paste Full'!CB279)</f>
        <v/>
      </c>
      <c r="BQ279" s="41" t="str">
        <f>IF(ISBLANK('Paste Full'!CC279),"",'Paste Full'!CC279)</f>
        <v/>
      </c>
      <c r="BR279" s="41" t="str">
        <f>IF(ISBLANK('Paste Full'!CD279),"",'Paste Full'!CD279)</f>
        <v/>
      </c>
      <c r="BS279" s="41" t="str">
        <f>IF(ISBLANK('Paste Full'!CE279),"",'Paste Full'!CE279)</f>
        <v/>
      </c>
      <c r="BT279" s="41" t="str">
        <f>IF(ISBLANK('Paste Full'!CF279),"",'Paste Full'!CF279)</f>
        <v/>
      </c>
      <c r="BU279" s="41" t="str">
        <f>IF(ISBLANK('Paste Full'!CG279),"",'Paste Full'!CG279)</f>
        <v/>
      </c>
      <c r="BV279" s="41" t="str">
        <f>IF(ISBLANK('Paste Full'!CH279),"",'Paste Full'!CH279)</f>
        <v/>
      </c>
    </row>
    <row r="280" spans="66:74" x14ac:dyDescent="0.3">
      <c r="BN280" s="41" t="str">
        <f>IF(ISBLANK('Paste Full'!BZ280),"",'Paste Full'!BZ280)</f>
        <v/>
      </c>
      <c r="BO280" s="41" t="str">
        <f>IF(ISBLANK('Paste Full'!CA280),"",'Paste Full'!CA280)</f>
        <v/>
      </c>
      <c r="BP280" s="41" t="str">
        <f>IF(ISBLANK('Paste Full'!CB280),"",'Paste Full'!CB280)</f>
        <v/>
      </c>
      <c r="BQ280" s="41" t="str">
        <f>IF(ISBLANK('Paste Full'!CC280),"",'Paste Full'!CC280)</f>
        <v/>
      </c>
      <c r="BR280" s="41" t="str">
        <f>IF(ISBLANK('Paste Full'!CD280),"",'Paste Full'!CD280)</f>
        <v/>
      </c>
      <c r="BS280" s="41" t="str">
        <f>IF(ISBLANK('Paste Full'!CE280),"",'Paste Full'!CE280)</f>
        <v/>
      </c>
      <c r="BT280" s="41" t="str">
        <f>IF(ISBLANK('Paste Full'!CF280),"",'Paste Full'!CF280)</f>
        <v/>
      </c>
      <c r="BU280" s="41" t="str">
        <f>IF(ISBLANK('Paste Full'!CG280),"",'Paste Full'!CG280)</f>
        <v/>
      </c>
      <c r="BV280" s="41" t="str">
        <f>IF(ISBLANK('Paste Full'!CH280),"",'Paste Full'!CH280)</f>
        <v/>
      </c>
    </row>
    <row r="281" spans="66:74" x14ac:dyDescent="0.3">
      <c r="BN281" s="41" t="str">
        <f>IF(ISBLANK('Paste Full'!BZ281),"",'Paste Full'!BZ281)</f>
        <v/>
      </c>
      <c r="BO281" s="41" t="str">
        <f>IF(ISBLANK('Paste Full'!CA281),"",'Paste Full'!CA281)</f>
        <v/>
      </c>
      <c r="BP281" s="41" t="str">
        <f>IF(ISBLANK('Paste Full'!CB281),"",'Paste Full'!CB281)</f>
        <v/>
      </c>
      <c r="BQ281" s="41" t="str">
        <f>IF(ISBLANK('Paste Full'!CC281),"",'Paste Full'!CC281)</f>
        <v/>
      </c>
      <c r="BR281" s="41" t="str">
        <f>IF(ISBLANK('Paste Full'!CD281),"",'Paste Full'!CD281)</f>
        <v/>
      </c>
      <c r="BS281" s="41" t="str">
        <f>IF(ISBLANK('Paste Full'!CE281),"",'Paste Full'!CE281)</f>
        <v/>
      </c>
      <c r="BT281" s="41" t="str">
        <f>IF(ISBLANK('Paste Full'!CF281),"",'Paste Full'!CF281)</f>
        <v/>
      </c>
      <c r="BU281" s="41" t="str">
        <f>IF(ISBLANK('Paste Full'!CG281),"",'Paste Full'!CG281)</f>
        <v/>
      </c>
      <c r="BV281" s="41" t="str">
        <f>IF(ISBLANK('Paste Full'!CH281),"",'Paste Full'!CH281)</f>
        <v/>
      </c>
    </row>
    <row r="282" spans="66:74" x14ac:dyDescent="0.3">
      <c r="BN282" s="41" t="str">
        <f>IF(ISBLANK('Paste Full'!BZ282),"",'Paste Full'!BZ282)</f>
        <v/>
      </c>
      <c r="BO282" s="41" t="str">
        <f>IF(ISBLANK('Paste Full'!CA282),"",'Paste Full'!CA282)</f>
        <v/>
      </c>
      <c r="BP282" s="41" t="str">
        <f>IF(ISBLANK('Paste Full'!CB282),"",'Paste Full'!CB282)</f>
        <v/>
      </c>
      <c r="BQ282" s="41" t="str">
        <f>IF(ISBLANK('Paste Full'!CC282),"",'Paste Full'!CC282)</f>
        <v/>
      </c>
      <c r="BR282" s="41" t="str">
        <f>IF(ISBLANK('Paste Full'!CD282),"",'Paste Full'!CD282)</f>
        <v/>
      </c>
      <c r="BS282" s="41" t="str">
        <f>IF(ISBLANK('Paste Full'!CE282),"",'Paste Full'!CE282)</f>
        <v/>
      </c>
      <c r="BT282" s="41" t="str">
        <f>IF(ISBLANK('Paste Full'!CF282),"",'Paste Full'!CF282)</f>
        <v/>
      </c>
      <c r="BU282" s="41" t="str">
        <f>IF(ISBLANK('Paste Full'!CG282),"",'Paste Full'!CG282)</f>
        <v/>
      </c>
      <c r="BV282" s="41" t="str">
        <f>IF(ISBLANK('Paste Full'!CH282),"",'Paste Full'!CH282)</f>
        <v/>
      </c>
    </row>
    <row r="283" spans="66:74" x14ac:dyDescent="0.3">
      <c r="BN283" s="41" t="str">
        <f>IF(ISBLANK('Paste Full'!BZ283),"",'Paste Full'!BZ283)</f>
        <v/>
      </c>
      <c r="BO283" s="41" t="str">
        <f>IF(ISBLANK('Paste Full'!CA283),"",'Paste Full'!CA283)</f>
        <v/>
      </c>
      <c r="BP283" s="41" t="str">
        <f>IF(ISBLANK('Paste Full'!CB283),"",'Paste Full'!CB283)</f>
        <v/>
      </c>
      <c r="BQ283" s="41" t="str">
        <f>IF(ISBLANK('Paste Full'!CC283),"",'Paste Full'!CC283)</f>
        <v/>
      </c>
      <c r="BR283" s="41" t="str">
        <f>IF(ISBLANK('Paste Full'!CD283),"",'Paste Full'!CD283)</f>
        <v/>
      </c>
      <c r="BS283" s="41" t="str">
        <f>IF(ISBLANK('Paste Full'!CE283),"",'Paste Full'!CE283)</f>
        <v/>
      </c>
      <c r="BT283" s="41" t="str">
        <f>IF(ISBLANK('Paste Full'!CF283),"",'Paste Full'!CF283)</f>
        <v/>
      </c>
      <c r="BU283" s="41" t="str">
        <f>IF(ISBLANK('Paste Full'!CG283),"",'Paste Full'!CG283)</f>
        <v/>
      </c>
      <c r="BV283" s="41" t="str">
        <f>IF(ISBLANK('Paste Full'!CH283),"",'Paste Full'!CH283)</f>
        <v/>
      </c>
    </row>
    <row r="284" spans="66:74" x14ac:dyDescent="0.3">
      <c r="BN284" s="41" t="str">
        <f>IF(ISBLANK('Paste Full'!BZ284),"",'Paste Full'!BZ284)</f>
        <v/>
      </c>
      <c r="BO284" s="41" t="str">
        <f>IF(ISBLANK('Paste Full'!CA284),"",'Paste Full'!CA284)</f>
        <v/>
      </c>
      <c r="BP284" s="41" t="str">
        <f>IF(ISBLANK('Paste Full'!CB284),"",'Paste Full'!CB284)</f>
        <v/>
      </c>
      <c r="BQ284" s="41" t="str">
        <f>IF(ISBLANK('Paste Full'!CC284),"",'Paste Full'!CC284)</f>
        <v/>
      </c>
      <c r="BR284" s="41" t="str">
        <f>IF(ISBLANK('Paste Full'!CD284),"",'Paste Full'!CD284)</f>
        <v/>
      </c>
      <c r="BS284" s="41" t="str">
        <f>IF(ISBLANK('Paste Full'!CE284),"",'Paste Full'!CE284)</f>
        <v/>
      </c>
      <c r="BT284" s="41" t="str">
        <f>IF(ISBLANK('Paste Full'!CF284),"",'Paste Full'!CF284)</f>
        <v/>
      </c>
      <c r="BU284" s="41" t="str">
        <f>IF(ISBLANK('Paste Full'!CG284),"",'Paste Full'!CG284)</f>
        <v/>
      </c>
      <c r="BV284" s="41" t="str">
        <f>IF(ISBLANK('Paste Full'!CH284),"",'Paste Full'!CH284)</f>
        <v/>
      </c>
    </row>
    <row r="285" spans="66:74" x14ac:dyDescent="0.3">
      <c r="BN285" s="41" t="str">
        <f>IF(ISBLANK('Paste Full'!BZ285),"",'Paste Full'!BZ285)</f>
        <v/>
      </c>
      <c r="BO285" s="41" t="str">
        <f>IF(ISBLANK('Paste Full'!CA285),"",'Paste Full'!CA285)</f>
        <v/>
      </c>
      <c r="BP285" s="41" t="str">
        <f>IF(ISBLANK('Paste Full'!CB285),"",'Paste Full'!CB285)</f>
        <v/>
      </c>
      <c r="BQ285" s="41" t="str">
        <f>IF(ISBLANK('Paste Full'!CC285),"",'Paste Full'!CC285)</f>
        <v/>
      </c>
      <c r="BR285" s="41" t="str">
        <f>IF(ISBLANK('Paste Full'!CD285),"",'Paste Full'!CD285)</f>
        <v/>
      </c>
      <c r="BS285" s="41" t="str">
        <f>IF(ISBLANK('Paste Full'!CE285),"",'Paste Full'!CE285)</f>
        <v/>
      </c>
      <c r="BT285" s="41" t="str">
        <f>IF(ISBLANK('Paste Full'!CF285),"",'Paste Full'!CF285)</f>
        <v/>
      </c>
      <c r="BU285" s="41" t="str">
        <f>IF(ISBLANK('Paste Full'!CG285),"",'Paste Full'!CG285)</f>
        <v/>
      </c>
      <c r="BV285" s="41" t="str">
        <f>IF(ISBLANK('Paste Full'!CH285),"",'Paste Full'!CH285)</f>
        <v/>
      </c>
    </row>
    <row r="286" spans="66:74" x14ac:dyDescent="0.3">
      <c r="BN286" s="41" t="str">
        <f>IF(ISBLANK('Paste Full'!BZ286),"",'Paste Full'!BZ286)</f>
        <v/>
      </c>
      <c r="BO286" s="41" t="str">
        <f>IF(ISBLANK('Paste Full'!CA286),"",'Paste Full'!CA286)</f>
        <v/>
      </c>
      <c r="BP286" s="41" t="str">
        <f>IF(ISBLANK('Paste Full'!CB286),"",'Paste Full'!CB286)</f>
        <v/>
      </c>
      <c r="BQ286" s="41" t="str">
        <f>IF(ISBLANK('Paste Full'!CC286),"",'Paste Full'!CC286)</f>
        <v/>
      </c>
      <c r="BR286" s="41" t="str">
        <f>IF(ISBLANK('Paste Full'!CD286),"",'Paste Full'!CD286)</f>
        <v/>
      </c>
      <c r="BS286" s="41" t="str">
        <f>IF(ISBLANK('Paste Full'!CE286),"",'Paste Full'!CE286)</f>
        <v/>
      </c>
      <c r="BT286" s="41" t="str">
        <f>IF(ISBLANK('Paste Full'!CF286),"",'Paste Full'!CF286)</f>
        <v/>
      </c>
      <c r="BU286" s="41" t="str">
        <f>IF(ISBLANK('Paste Full'!CG286),"",'Paste Full'!CG286)</f>
        <v/>
      </c>
      <c r="BV286" s="41" t="str">
        <f>IF(ISBLANK('Paste Full'!CH286),"",'Paste Full'!CH286)</f>
        <v/>
      </c>
    </row>
    <row r="287" spans="66:74" x14ac:dyDescent="0.3">
      <c r="BN287" s="41" t="str">
        <f>IF(ISBLANK('Paste Full'!BZ287),"",'Paste Full'!BZ287)</f>
        <v/>
      </c>
      <c r="BO287" s="41" t="str">
        <f>IF(ISBLANK('Paste Full'!CA287),"",'Paste Full'!CA287)</f>
        <v/>
      </c>
      <c r="BP287" s="41" t="str">
        <f>IF(ISBLANK('Paste Full'!CB287),"",'Paste Full'!CB287)</f>
        <v/>
      </c>
      <c r="BQ287" s="41" t="str">
        <f>IF(ISBLANK('Paste Full'!CC287),"",'Paste Full'!CC287)</f>
        <v/>
      </c>
      <c r="BR287" s="41" t="str">
        <f>IF(ISBLANK('Paste Full'!CD287),"",'Paste Full'!CD287)</f>
        <v/>
      </c>
      <c r="BS287" s="41" t="str">
        <f>IF(ISBLANK('Paste Full'!CE287),"",'Paste Full'!CE287)</f>
        <v/>
      </c>
      <c r="BT287" s="41" t="str">
        <f>IF(ISBLANK('Paste Full'!CF287),"",'Paste Full'!CF287)</f>
        <v/>
      </c>
      <c r="BU287" s="41" t="str">
        <f>IF(ISBLANK('Paste Full'!CG287),"",'Paste Full'!CG287)</f>
        <v/>
      </c>
      <c r="BV287" s="41" t="str">
        <f>IF(ISBLANK('Paste Full'!CH287),"",'Paste Full'!CH287)</f>
        <v/>
      </c>
    </row>
    <row r="288" spans="66:74" x14ac:dyDescent="0.3">
      <c r="BN288" s="41" t="str">
        <f>IF(ISBLANK('Paste Full'!BZ288),"",'Paste Full'!BZ288)</f>
        <v/>
      </c>
      <c r="BO288" s="41" t="str">
        <f>IF(ISBLANK('Paste Full'!CA288),"",'Paste Full'!CA288)</f>
        <v/>
      </c>
      <c r="BP288" s="41" t="str">
        <f>IF(ISBLANK('Paste Full'!CB288),"",'Paste Full'!CB288)</f>
        <v/>
      </c>
      <c r="BQ288" s="41" t="str">
        <f>IF(ISBLANK('Paste Full'!CC288),"",'Paste Full'!CC288)</f>
        <v/>
      </c>
      <c r="BR288" s="41" t="str">
        <f>IF(ISBLANK('Paste Full'!CD288),"",'Paste Full'!CD288)</f>
        <v/>
      </c>
      <c r="BS288" s="41" t="str">
        <f>IF(ISBLANK('Paste Full'!CE288),"",'Paste Full'!CE288)</f>
        <v/>
      </c>
      <c r="BT288" s="41" t="str">
        <f>IF(ISBLANK('Paste Full'!CF288),"",'Paste Full'!CF288)</f>
        <v/>
      </c>
      <c r="BU288" s="41" t="str">
        <f>IF(ISBLANK('Paste Full'!CG288),"",'Paste Full'!CG288)</f>
        <v/>
      </c>
      <c r="BV288" s="41" t="str">
        <f>IF(ISBLANK('Paste Full'!CH288),"",'Paste Full'!CH288)</f>
        <v/>
      </c>
    </row>
    <row r="289" spans="66:74" x14ac:dyDescent="0.3">
      <c r="BN289" s="41" t="str">
        <f>IF(ISBLANK('Paste Full'!BZ289),"",'Paste Full'!BZ289)</f>
        <v/>
      </c>
      <c r="BO289" s="41" t="str">
        <f>IF(ISBLANK('Paste Full'!CA289),"",'Paste Full'!CA289)</f>
        <v/>
      </c>
      <c r="BP289" s="41" t="str">
        <f>IF(ISBLANK('Paste Full'!CB289),"",'Paste Full'!CB289)</f>
        <v/>
      </c>
      <c r="BQ289" s="41" t="str">
        <f>IF(ISBLANK('Paste Full'!CC289),"",'Paste Full'!CC289)</f>
        <v/>
      </c>
      <c r="BR289" s="41" t="str">
        <f>IF(ISBLANK('Paste Full'!CD289),"",'Paste Full'!CD289)</f>
        <v/>
      </c>
      <c r="BS289" s="41" t="str">
        <f>IF(ISBLANK('Paste Full'!CE289),"",'Paste Full'!CE289)</f>
        <v/>
      </c>
      <c r="BT289" s="41" t="str">
        <f>IF(ISBLANK('Paste Full'!CF289),"",'Paste Full'!CF289)</f>
        <v/>
      </c>
      <c r="BU289" s="41" t="str">
        <f>IF(ISBLANK('Paste Full'!CG289),"",'Paste Full'!CG289)</f>
        <v/>
      </c>
      <c r="BV289" s="41" t="str">
        <f>IF(ISBLANK('Paste Full'!CH289),"",'Paste Full'!CH289)</f>
        <v/>
      </c>
    </row>
    <row r="290" spans="66:74" x14ac:dyDescent="0.3">
      <c r="BN290" s="41" t="str">
        <f>IF(ISBLANK('Paste Full'!BZ290),"",'Paste Full'!BZ290)</f>
        <v/>
      </c>
      <c r="BO290" s="41" t="str">
        <f>IF(ISBLANK('Paste Full'!CA290),"",'Paste Full'!CA290)</f>
        <v/>
      </c>
      <c r="BP290" s="41" t="str">
        <f>IF(ISBLANK('Paste Full'!CB290),"",'Paste Full'!CB290)</f>
        <v/>
      </c>
      <c r="BQ290" s="41" t="str">
        <f>IF(ISBLANK('Paste Full'!CC290),"",'Paste Full'!CC290)</f>
        <v/>
      </c>
      <c r="BR290" s="41" t="str">
        <f>IF(ISBLANK('Paste Full'!CD290),"",'Paste Full'!CD290)</f>
        <v/>
      </c>
      <c r="BS290" s="41" t="str">
        <f>IF(ISBLANK('Paste Full'!CE290),"",'Paste Full'!CE290)</f>
        <v/>
      </c>
      <c r="BT290" s="41" t="str">
        <f>IF(ISBLANK('Paste Full'!CF290),"",'Paste Full'!CF290)</f>
        <v/>
      </c>
      <c r="BU290" s="41" t="str">
        <f>IF(ISBLANK('Paste Full'!CG290),"",'Paste Full'!CG290)</f>
        <v/>
      </c>
      <c r="BV290" s="41" t="str">
        <f>IF(ISBLANK('Paste Full'!CH290),"",'Paste Full'!CH290)</f>
        <v/>
      </c>
    </row>
    <row r="291" spans="66:74" x14ac:dyDescent="0.3">
      <c r="BN291" s="41" t="str">
        <f>IF(ISBLANK('Paste Full'!BZ291),"",'Paste Full'!BZ291)</f>
        <v/>
      </c>
      <c r="BO291" s="41" t="str">
        <f>IF(ISBLANK('Paste Full'!CA291),"",'Paste Full'!CA291)</f>
        <v/>
      </c>
      <c r="BP291" s="41" t="str">
        <f>IF(ISBLANK('Paste Full'!CB291),"",'Paste Full'!CB291)</f>
        <v/>
      </c>
      <c r="BQ291" s="41" t="str">
        <f>IF(ISBLANK('Paste Full'!CC291),"",'Paste Full'!CC291)</f>
        <v/>
      </c>
      <c r="BR291" s="41" t="str">
        <f>IF(ISBLANK('Paste Full'!CD291),"",'Paste Full'!CD291)</f>
        <v/>
      </c>
      <c r="BS291" s="41" t="str">
        <f>IF(ISBLANK('Paste Full'!CE291),"",'Paste Full'!CE291)</f>
        <v/>
      </c>
      <c r="BT291" s="41" t="str">
        <f>IF(ISBLANK('Paste Full'!CF291),"",'Paste Full'!CF291)</f>
        <v/>
      </c>
      <c r="BU291" s="41" t="str">
        <f>IF(ISBLANK('Paste Full'!CG291),"",'Paste Full'!CG291)</f>
        <v/>
      </c>
      <c r="BV291" s="41" t="str">
        <f>IF(ISBLANK('Paste Full'!CH291),"",'Paste Full'!CH291)</f>
        <v/>
      </c>
    </row>
    <row r="292" spans="66:74" x14ac:dyDescent="0.3">
      <c r="BN292" s="41" t="str">
        <f>IF(ISBLANK('Paste Full'!BZ292),"",'Paste Full'!BZ292)</f>
        <v/>
      </c>
      <c r="BO292" s="41" t="str">
        <f>IF(ISBLANK('Paste Full'!CA292),"",'Paste Full'!CA292)</f>
        <v/>
      </c>
      <c r="BP292" s="41" t="str">
        <f>IF(ISBLANK('Paste Full'!CB292),"",'Paste Full'!CB292)</f>
        <v/>
      </c>
      <c r="BQ292" s="41" t="str">
        <f>IF(ISBLANK('Paste Full'!CC292),"",'Paste Full'!CC292)</f>
        <v/>
      </c>
      <c r="BR292" s="41" t="str">
        <f>IF(ISBLANK('Paste Full'!CD292),"",'Paste Full'!CD292)</f>
        <v/>
      </c>
      <c r="BS292" s="41" t="str">
        <f>IF(ISBLANK('Paste Full'!CE292),"",'Paste Full'!CE292)</f>
        <v/>
      </c>
      <c r="BT292" s="41" t="str">
        <f>IF(ISBLANK('Paste Full'!CF292),"",'Paste Full'!CF292)</f>
        <v/>
      </c>
      <c r="BU292" s="41" t="str">
        <f>IF(ISBLANK('Paste Full'!CG292),"",'Paste Full'!CG292)</f>
        <v/>
      </c>
      <c r="BV292" s="41" t="str">
        <f>IF(ISBLANK('Paste Full'!CH292),"",'Paste Full'!CH292)</f>
        <v/>
      </c>
    </row>
    <row r="293" spans="66:74" x14ac:dyDescent="0.3">
      <c r="BN293" s="41" t="str">
        <f>IF(ISBLANK('Paste Full'!BZ293),"",'Paste Full'!BZ293)</f>
        <v/>
      </c>
      <c r="BO293" s="41" t="str">
        <f>IF(ISBLANK('Paste Full'!CA293),"",'Paste Full'!CA293)</f>
        <v/>
      </c>
      <c r="BP293" s="41" t="str">
        <f>IF(ISBLANK('Paste Full'!CB293),"",'Paste Full'!CB293)</f>
        <v/>
      </c>
      <c r="BQ293" s="41" t="str">
        <f>IF(ISBLANK('Paste Full'!CC293),"",'Paste Full'!CC293)</f>
        <v/>
      </c>
      <c r="BR293" s="41" t="str">
        <f>IF(ISBLANK('Paste Full'!CD293),"",'Paste Full'!CD293)</f>
        <v/>
      </c>
      <c r="BS293" s="41" t="str">
        <f>IF(ISBLANK('Paste Full'!CE293),"",'Paste Full'!CE293)</f>
        <v/>
      </c>
      <c r="BT293" s="41" t="str">
        <f>IF(ISBLANK('Paste Full'!CF293),"",'Paste Full'!CF293)</f>
        <v/>
      </c>
      <c r="BU293" s="41" t="str">
        <f>IF(ISBLANK('Paste Full'!CG293),"",'Paste Full'!CG293)</f>
        <v/>
      </c>
      <c r="BV293" s="41" t="str">
        <f>IF(ISBLANK('Paste Full'!CH293),"",'Paste Full'!CH293)</f>
        <v/>
      </c>
    </row>
    <row r="294" spans="66:74" x14ac:dyDescent="0.3">
      <c r="BN294" s="41" t="str">
        <f>IF(ISBLANK('Paste Full'!BZ294),"",'Paste Full'!BZ294)</f>
        <v/>
      </c>
      <c r="BO294" s="41" t="str">
        <f>IF(ISBLANK('Paste Full'!CA294),"",'Paste Full'!CA294)</f>
        <v/>
      </c>
      <c r="BP294" s="41" t="str">
        <f>IF(ISBLANK('Paste Full'!CB294),"",'Paste Full'!CB294)</f>
        <v/>
      </c>
      <c r="BQ294" s="41" t="str">
        <f>IF(ISBLANK('Paste Full'!CC294),"",'Paste Full'!CC294)</f>
        <v/>
      </c>
      <c r="BR294" s="41" t="str">
        <f>IF(ISBLANK('Paste Full'!CD294),"",'Paste Full'!CD294)</f>
        <v/>
      </c>
      <c r="BS294" s="41" t="str">
        <f>IF(ISBLANK('Paste Full'!CE294),"",'Paste Full'!CE294)</f>
        <v/>
      </c>
      <c r="BT294" s="41" t="str">
        <f>IF(ISBLANK('Paste Full'!CF294),"",'Paste Full'!CF294)</f>
        <v/>
      </c>
      <c r="BU294" s="41" t="str">
        <f>IF(ISBLANK('Paste Full'!CG294),"",'Paste Full'!CG294)</f>
        <v/>
      </c>
      <c r="BV294" s="41" t="str">
        <f>IF(ISBLANK('Paste Full'!CH294),"",'Paste Full'!CH294)</f>
        <v/>
      </c>
    </row>
    <row r="295" spans="66:74" x14ac:dyDescent="0.3">
      <c r="BN295" s="41" t="str">
        <f>IF(ISBLANK('Paste Full'!BZ295),"",'Paste Full'!BZ295)</f>
        <v/>
      </c>
      <c r="BO295" s="41" t="str">
        <f>IF(ISBLANK('Paste Full'!CA295),"",'Paste Full'!CA295)</f>
        <v/>
      </c>
      <c r="BP295" s="41" t="str">
        <f>IF(ISBLANK('Paste Full'!CB295),"",'Paste Full'!CB295)</f>
        <v/>
      </c>
      <c r="BQ295" s="41" t="str">
        <f>IF(ISBLANK('Paste Full'!CC295),"",'Paste Full'!CC295)</f>
        <v/>
      </c>
      <c r="BR295" s="41" t="str">
        <f>IF(ISBLANK('Paste Full'!CD295),"",'Paste Full'!CD295)</f>
        <v/>
      </c>
      <c r="BS295" s="41" t="str">
        <f>IF(ISBLANK('Paste Full'!CE295),"",'Paste Full'!CE295)</f>
        <v/>
      </c>
      <c r="BT295" s="41" t="str">
        <f>IF(ISBLANK('Paste Full'!CF295),"",'Paste Full'!CF295)</f>
        <v/>
      </c>
      <c r="BU295" s="41" t="str">
        <f>IF(ISBLANK('Paste Full'!CG295),"",'Paste Full'!CG295)</f>
        <v/>
      </c>
      <c r="BV295" s="41" t="str">
        <f>IF(ISBLANK('Paste Full'!CH295),"",'Paste Full'!CH295)</f>
        <v/>
      </c>
    </row>
    <row r="296" spans="66:74" x14ac:dyDescent="0.3">
      <c r="BN296" s="41" t="str">
        <f>IF(ISBLANK('Paste Full'!BZ296),"",'Paste Full'!BZ296)</f>
        <v/>
      </c>
      <c r="BO296" s="41" t="str">
        <f>IF(ISBLANK('Paste Full'!CA296),"",'Paste Full'!CA296)</f>
        <v/>
      </c>
      <c r="BP296" s="41" t="str">
        <f>IF(ISBLANK('Paste Full'!CB296),"",'Paste Full'!CB296)</f>
        <v/>
      </c>
      <c r="BQ296" s="41" t="str">
        <f>IF(ISBLANK('Paste Full'!CC296),"",'Paste Full'!CC296)</f>
        <v/>
      </c>
      <c r="BR296" s="41" t="str">
        <f>IF(ISBLANK('Paste Full'!CD296),"",'Paste Full'!CD296)</f>
        <v/>
      </c>
      <c r="BS296" s="41" t="str">
        <f>IF(ISBLANK('Paste Full'!CE296),"",'Paste Full'!CE296)</f>
        <v/>
      </c>
      <c r="BT296" s="41" t="str">
        <f>IF(ISBLANK('Paste Full'!CF296),"",'Paste Full'!CF296)</f>
        <v/>
      </c>
      <c r="BU296" s="41" t="str">
        <f>IF(ISBLANK('Paste Full'!CG296),"",'Paste Full'!CG296)</f>
        <v/>
      </c>
      <c r="BV296" s="41" t="str">
        <f>IF(ISBLANK('Paste Full'!CH296),"",'Paste Full'!CH296)</f>
        <v/>
      </c>
    </row>
    <row r="297" spans="66:74" x14ac:dyDescent="0.3">
      <c r="BN297" s="41" t="str">
        <f>IF(ISBLANK('Paste Full'!BZ297),"",'Paste Full'!BZ297)</f>
        <v/>
      </c>
      <c r="BO297" s="41" t="str">
        <f>IF(ISBLANK('Paste Full'!CA297),"",'Paste Full'!CA297)</f>
        <v/>
      </c>
      <c r="BP297" s="41" t="str">
        <f>IF(ISBLANK('Paste Full'!CB297),"",'Paste Full'!CB297)</f>
        <v/>
      </c>
      <c r="BQ297" s="41" t="str">
        <f>IF(ISBLANK('Paste Full'!CC297),"",'Paste Full'!CC297)</f>
        <v/>
      </c>
      <c r="BR297" s="41" t="str">
        <f>IF(ISBLANK('Paste Full'!CD297),"",'Paste Full'!CD297)</f>
        <v/>
      </c>
      <c r="BS297" s="41" t="str">
        <f>IF(ISBLANK('Paste Full'!CE297),"",'Paste Full'!CE297)</f>
        <v/>
      </c>
      <c r="BT297" s="41" t="str">
        <f>IF(ISBLANK('Paste Full'!CF297),"",'Paste Full'!CF297)</f>
        <v/>
      </c>
      <c r="BU297" s="41" t="str">
        <f>IF(ISBLANK('Paste Full'!CG297),"",'Paste Full'!CG297)</f>
        <v/>
      </c>
      <c r="BV297" s="41" t="str">
        <f>IF(ISBLANK('Paste Full'!CH297),"",'Paste Full'!CH297)</f>
        <v/>
      </c>
    </row>
    <row r="298" spans="66:74" x14ac:dyDescent="0.3">
      <c r="BN298" s="41" t="str">
        <f>IF(ISBLANK('Paste Full'!BZ298),"",'Paste Full'!BZ298)</f>
        <v/>
      </c>
      <c r="BO298" s="41" t="str">
        <f>IF(ISBLANK('Paste Full'!CA298),"",'Paste Full'!CA298)</f>
        <v/>
      </c>
      <c r="BP298" s="41" t="str">
        <f>IF(ISBLANK('Paste Full'!CB298),"",'Paste Full'!CB298)</f>
        <v/>
      </c>
      <c r="BQ298" s="41" t="str">
        <f>IF(ISBLANK('Paste Full'!CC298),"",'Paste Full'!CC298)</f>
        <v/>
      </c>
      <c r="BR298" s="41" t="str">
        <f>IF(ISBLANK('Paste Full'!CD298),"",'Paste Full'!CD298)</f>
        <v/>
      </c>
      <c r="BS298" s="41" t="str">
        <f>IF(ISBLANK('Paste Full'!CE298),"",'Paste Full'!CE298)</f>
        <v/>
      </c>
      <c r="BT298" s="41" t="str">
        <f>IF(ISBLANK('Paste Full'!CF298),"",'Paste Full'!CF298)</f>
        <v/>
      </c>
      <c r="BU298" s="41" t="str">
        <f>IF(ISBLANK('Paste Full'!CG298),"",'Paste Full'!CG298)</f>
        <v/>
      </c>
      <c r="BV298" s="41" t="str">
        <f>IF(ISBLANK('Paste Full'!CH298),"",'Paste Full'!CH298)</f>
        <v/>
      </c>
    </row>
    <row r="299" spans="66:74" x14ac:dyDescent="0.3">
      <c r="BN299" s="41" t="str">
        <f>IF(ISBLANK('Paste Full'!BZ299),"",'Paste Full'!BZ299)</f>
        <v/>
      </c>
      <c r="BO299" s="41" t="str">
        <f>IF(ISBLANK('Paste Full'!CA299),"",'Paste Full'!CA299)</f>
        <v/>
      </c>
      <c r="BP299" s="41" t="str">
        <f>IF(ISBLANK('Paste Full'!CB299),"",'Paste Full'!CB299)</f>
        <v/>
      </c>
      <c r="BQ299" s="41" t="str">
        <f>IF(ISBLANK('Paste Full'!CC299),"",'Paste Full'!CC299)</f>
        <v/>
      </c>
      <c r="BR299" s="41" t="str">
        <f>IF(ISBLANK('Paste Full'!CD299),"",'Paste Full'!CD299)</f>
        <v/>
      </c>
      <c r="BS299" s="41" t="str">
        <f>IF(ISBLANK('Paste Full'!CE299),"",'Paste Full'!CE299)</f>
        <v/>
      </c>
      <c r="BT299" s="41" t="str">
        <f>IF(ISBLANK('Paste Full'!CF299),"",'Paste Full'!CF299)</f>
        <v/>
      </c>
      <c r="BU299" s="41" t="str">
        <f>IF(ISBLANK('Paste Full'!CG299),"",'Paste Full'!CG299)</f>
        <v/>
      </c>
      <c r="BV299" s="41" t="str">
        <f>IF(ISBLANK('Paste Full'!CH299),"",'Paste Full'!CH299)</f>
        <v/>
      </c>
    </row>
    <row r="300" spans="66:74" x14ac:dyDescent="0.3">
      <c r="BN300" s="41" t="str">
        <f>IF(ISBLANK('Paste Full'!BZ300),"",'Paste Full'!BZ300)</f>
        <v/>
      </c>
      <c r="BO300" s="41" t="str">
        <f>IF(ISBLANK('Paste Full'!CA300),"",'Paste Full'!CA300)</f>
        <v/>
      </c>
      <c r="BP300" s="41" t="str">
        <f>IF(ISBLANK('Paste Full'!CB300),"",'Paste Full'!CB300)</f>
        <v/>
      </c>
      <c r="BQ300" s="41" t="str">
        <f>IF(ISBLANK('Paste Full'!CC300),"",'Paste Full'!CC300)</f>
        <v/>
      </c>
      <c r="BR300" s="41" t="str">
        <f>IF(ISBLANK('Paste Full'!CD300),"",'Paste Full'!CD300)</f>
        <v/>
      </c>
      <c r="BS300" s="41" t="str">
        <f>IF(ISBLANK('Paste Full'!CE300),"",'Paste Full'!CE300)</f>
        <v/>
      </c>
      <c r="BT300" s="41" t="str">
        <f>IF(ISBLANK('Paste Full'!CF300),"",'Paste Full'!CF300)</f>
        <v/>
      </c>
      <c r="BU300" s="41" t="str">
        <f>IF(ISBLANK('Paste Full'!CG300),"",'Paste Full'!CG300)</f>
        <v/>
      </c>
      <c r="BV300" s="41" t="str">
        <f>IF(ISBLANK('Paste Full'!CH300),"",'Paste Full'!CH300)</f>
        <v/>
      </c>
    </row>
    <row r="301" spans="66:74" x14ac:dyDescent="0.3">
      <c r="BN301" s="41" t="str">
        <f>IF(ISBLANK('Paste Full'!BZ301),"",'Paste Full'!BZ301)</f>
        <v/>
      </c>
      <c r="BO301" s="41" t="str">
        <f>IF(ISBLANK('Paste Full'!CA301),"",'Paste Full'!CA301)</f>
        <v/>
      </c>
      <c r="BP301" s="41" t="str">
        <f>IF(ISBLANK('Paste Full'!CB301),"",'Paste Full'!CB301)</f>
        <v/>
      </c>
      <c r="BQ301" s="41" t="str">
        <f>IF(ISBLANK('Paste Full'!CC301),"",'Paste Full'!CC301)</f>
        <v/>
      </c>
      <c r="BR301" s="41" t="str">
        <f>IF(ISBLANK('Paste Full'!CD301),"",'Paste Full'!CD301)</f>
        <v/>
      </c>
      <c r="BS301" s="41" t="str">
        <f>IF(ISBLANK('Paste Full'!CE301),"",'Paste Full'!CE301)</f>
        <v/>
      </c>
      <c r="BT301" s="41" t="str">
        <f>IF(ISBLANK('Paste Full'!CF301),"",'Paste Full'!CF301)</f>
        <v/>
      </c>
      <c r="BU301" s="41" t="str">
        <f>IF(ISBLANK('Paste Full'!CG301),"",'Paste Full'!CG301)</f>
        <v/>
      </c>
      <c r="BV301" s="41" t="str">
        <f>IF(ISBLANK('Paste Full'!CH301),"",'Paste Full'!CH301)</f>
        <v/>
      </c>
    </row>
    <row r="302" spans="66:74" x14ac:dyDescent="0.3">
      <c r="BN302" s="41" t="str">
        <f>IF(ISBLANK('Paste Full'!BZ302),"",'Paste Full'!BZ302)</f>
        <v/>
      </c>
      <c r="BO302" s="41" t="str">
        <f>IF(ISBLANK('Paste Full'!CA302),"",'Paste Full'!CA302)</f>
        <v/>
      </c>
      <c r="BP302" s="41" t="str">
        <f>IF(ISBLANK('Paste Full'!CB302),"",'Paste Full'!CB302)</f>
        <v/>
      </c>
      <c r="BQ302" s="41" t="str">
        <f>IF(ISBLANK('Paste Full'!CC302),"",'Paste Full'!CC302)</f>
        <v/>
      </c>
      <c r="BR302" s="41" t="str">
        <f>IF(ISBLANK('Paste Full'!CD302),"",'Paste Full'!CD302)</f>
        <v/>
      </c>
      <c r="BS302" s="41" t="str">
        <f>IF(ISBLANK('Paste Full'!CE302),"",'Paste Full'!CE302)</f>
        <v/>
      </c>
      <c r="BT302" s="41" t="str">
        <f>IF(ISBLANK('Paste Full'!CF302),"",'Paste Full'!CF302)</f>
        <v/>
      </c>
      <c r="BU302" s="41" t="str">
        <f>IF(ISBLANK('Paste Full'!CG302),"",'Paste Full'!CG302)</f>
        <v/>
      </c>
      <c r="BV302" s="41" t="str">
        <f>IF(ISBLANK('Paste Full'!CH302),"",'Paste Full'!CH302)</f>
        <v/>
      </c>
    </row>
    <row r="303" spans="66:74" x14ac:dyDescent="0.3">
      <c r="BN303" s="41" t="str">
        <f>IF(ISBLANK('Paste Full'!BZ303),"",'Paste Full'!BZ303)</f>
        <v/>
      </c>
      <c r="BO303" s="41" t="str">
        <f>IF(ISBLANK('Paste Full'!CA303),"",'Paste Full'!CA303)</f>
        <v/>
      </c>
      <c r="BP303" s="41" t="str">
        <f>IF(ISBLANK('Paste Full'!CB303),"",'Paste Full'!CB303)</f>
        <v/>
      </c>
      <c r="BQ303" s="41" t="str">
        <f>IF(ISBLANK('Paste Full'!CC303),"",'Paste Full'!CC303)</f>
        <v/>
      </c>
      <c r="BR303" s="41" t="str">
        <f>IF(ISBLANK('Paste Full'!CD303),"",'Paste Full'!CD303)</f>
        <v/>
      </c>
      <c r="BS303" s="41" t="str">
        <f>IF(ISBLANK('Paste Full'!CE303),"",'Paste Full'!CE303)</f>
        <v/>
      </c>
      <c r="BT303" s="41" t="str">
        <f>IF(ISBLANK('Paste Full'!CF303),"",'Paste Full'!CF303)</f>
        <v/>
      </c>
      <c r="BU303" s="41" t="str">
        <f>IF(ISBLANK('Paste Full'!CG303),"",'Paste Full'!CG303)</f>
        <v/>
      </c>
      <c r="BV303" s="41" t="str">
        <f>IF(ISBLANK('Paste Full'!CH303),"",'Paste Full'!CH303)</f>
        <v/>
      </c>
    </row>
    <row r="304" spans="66:74" x14ac:dyDescent="0.3">
      <c r="BN304" s="41" t="str">
        <f>IF(ISBLANK('Paste Full'!BZ304),"",'Paste Full'!BZ304)</f>
        <v/>
      </c>
      <c r="BO304" s="41" t="str">
        <f>IF(ISBLANK('Paste Full'!CA304),"",'Paste Full'!CA304)</f>
        <v/>
      </c>
      <c r="BP304" s="41" t="str">
        <f>IF(ISBLANK('Paste Full'!CB304),"",'Paste Full'!CB304)</f>
        <v/>
      </c>
      <c r="BQ304" s="41" t="str">
        <f>IF(ISBLANK('Paste Full'!CC304),"",'Paste Full'!CC304)</f>
        <v/>
      </c>
      <c r="BR304" s="41" t="str">
        <f>IF(ISBLANK('Paste Full'!CD304),"",'Paste Full'!CD304)</f>
        <v/>
      </c>
      <c r="BS304" s="41" t="str">
        <f>IF(ISBLANK('Paste Full'!CE304),"",'Paste Full'!CE304)</f>
        <v/>
      </c>
      <c r="BT304" s="41" t="str">
        <f>IF(ISBLANK('Paste Full'!CF304),"",'Paste Full'!CF304)</f>
        <v/>
      </c>
      <c r="BU304" s="41" t="str">
        <f>IF(ISBLANK('Paste Full'!CG304),"",'Paste Full'!CG304)</f>
        <v/>
      </c>
      <c r="BV304" s="41" t="str">
        <f>IF(ISBLANK('Paste Full'!CH304),"",'Paste Full'!CH304)</f>
        <v/>
      </c>
    </row>
    <row r="305" spans="66:74" x14ac:dyDescent="0.3">
      <c r="BN305" s="41" t="str">
        <f>IF(ISBLANK('Paste Full'!BZ305),"",'Paste Full'!BZ305)</f>
        <v/>
      </c>
      <c r="BO305" s="41" t="str">
        <f>IF(ISBLANK('Paste Full'!CA305),"",'Paste Full'!CA305)</f>
        <v/>
      </c>
      <c r="BP305" s="41" t="str">
        <f>IF(ISBLANK('Paste Full'!CB305),"",'Paste Full'!CB305)</f>
        <v/>
      </c>
      <c r="BQ305" s="41" t="str">
        <f>IF(ISBLANK('Paste Full'!CC305),"",'Paste Full'!CC305)</f>
        <v/>
      </c>
      <c r="BR305" s="41" t="str">
        <f>IF(ISBLANK('Paste Full'!CD305),"",'Paste Full'!CD305)</f>
        <v/>
      </c>
      <c r="BS305" s="41" t="str">
        <f>IF(ISBLANK('Paste Full'!CE305),"",'Paste Full'!CE305)</f>
        <v/>
      </c>
      <c r="BT305" s="41" t="str">
        <f>IF(ISBLANK('Paste Full'!CF305),"",'Paste Full'!CF305)</f>
        <v/>
      </c>
      <c r="BU305" s="41" t="str">
        <f>IF(ISBLANK('Paste Full'!CG305),"",'Paste Full'!CG305)</f>
        <v/>
      </c>
      <c r="BV305" s="41" t="str">
        <f>IF(ISBLANK('Paste Full'!CH305),"",'Paste Full'!CH305)</f>
        <v/>
      </c>
    </row>
    <row r="306" spans="66:74" x14ac:dyDescent="0.3">
      <c r="BN306" s="41" t="str">
        <f>IF(ISBLANK('Paste Full'!BZ306),"",'Paste Full'!BZ306)</f>
        <v/>
      </c>
      <c r="BO306" s="41" t="str">
        <f>IF(ISBLANK('Paste Full'!CA306),"",'Paste Full'!CA306)</f>
        <v/>
      </c>
      <c r="BP306" s="41" t="str">
        <f>IF(ISBLANK('Paste Full'!CB306),"",'Paste Full'!CB306)</f>
        <v/>
      </c>
      <c r="BQ306" s="41" t="str">
        <f>IF(ISBLANK('Paste Full'!CC306),"",'Paste Full'!CC306)</f>
        <v/>
      </c>
      <c r="BR306" s="41" t="str">
        <f>IF(ISBLANK('Paste Full'!CD306),"",'Paste Full'!CD306)</f>
        <v/>
      </c>
      <c r="BS306" s="41" t="str">
        <f>IF(ISBLANK('Paste Full'!CE306),"",'Paste Full'!CE306)</f>
        <v/>
      </c>
      <c r="BT306" s="41" t="str">
        <f>IF(ISBLANK('Paste Full'!CF306),"",'Paste Full'!CF306)</f>
        <v/>
      </c>
      <c r="BU306" s="41" t="str">
        <f>IF(ISBLANK('Paste Full'!CG306),"",'Paste Full'!CG306)</f>
        <v/>
      </c>
      <c r="BV306" s="41" t="str">
        <f>IF(ISBLANK('Paste Full'!CH306),"",'Paste Full'!CH306)</f>
        <v/>
      </c>
    </row>
    <row r="307" spans="66:74" x14ac:dyDescent="0.3">
      <c r="BN307" s="41" t="str">
        <f>IF(ISBLANK('Paste Full'!BZ307),"",'Paste Full'!BZ307)</f>
        <v/>
      </c>
      <c r="BO307" s="41" t="str">
        <f>IF(ISBLANK('Paste Full'!CA307),"",'Paste Full'!CA307)</f>
        <v/>
      </c>
      <c r="BP307" s="41" t="str">
        <f>IF(ISBLANK('Paste Full'!CB307),"",'Paste Full'!CB307)</f>
        <v/>
      </c>
      <c r="BQ307" s="41" t="str">
        <f>IF(ISBLANK('Paste Full'!CC307),"",'Paste Full'!CC307)</f>
        <v/>
      </c>
      <c r="BR307" s="41" t="str">
        <f>IF(ISBLANK('Paste Full'!CD307),"",'Paste Full'!CD307)</f>
        <v/>
      </c>
      <c r="BS307" s="41" t="str">
        <f>IF(ISBLANK('Paste Full'!CE307),"",'Paste Full'!CE307)</f>
        <v/>
      </c>
      <c r="BT307" s="41" t="str">
        <f>IF(ISBLANK('Paste Full'!CF307),"",'Paste Full'!CF307)</f>
        <v/>
      </c>
      <c r="BU307" s="41" t="str">
        <f>IF(ISBLANK('Paste Full'!CG307),"",'Paste Full'!CG307)</f>
        <v/>
      </c>
      <c r="BV307" s="41" t="str">
        <f>IF(ISBLANK('Paste Full'!CH307),"",'Paste Full'!CH307)</f>
        <v/>
      </c>
    </row>
    <row r="308" spans="66:74" x14ac:dyDescent="0.3">
      <c r="BN308" s="41" t="str">
        <f>IF(ISBLANK('Paste Full'!BZ308),"",'Paste Full'!BZ308)</f>
        <v/>
      </c>
      <c r="BO308" s="41" t="str">
        <f>IF(ISBLANK('Paste Full'!CA308),"",'Paste Full'!CA308)</f>
        <v/>
      </c>
      <c r="BP308" s="41" t="str">
        <f>IF(ISBLANK('Paste Full'!CB308),"",'Paste Full'!CB308)</f>
        <v/>
      </c>
      <c r="BQ308" s="41" t="str">
        <f>IF(ISBLANK('Paste Full'!CC308),"",'Paste Full'!CC308)</f>
        <v/>
      </c>
      <c r="BR308" s="41" t="str">
        <f>IF(ISBLANK('Paste Full'!CD308),"",'Paste Full'!CD308)</f>
        <v/>
      </c>
      <c r="BS308" s="41" t="str">
        <f>IF(ISBLANK('Paste Full'!CE308),"",'Paste Full'!CE308)</f>
        <v/>
      </c>
      <c r="BT308" s="41" t="str">
        <f>IF(ISBLANK('Paste Full'!CF308),"",'Paste Full'!CF308)</f>
        <v/>
      </c>
      <c r="BU308" s="41" t="str">
        <f>IF(ISBLANK('Paste Full'!CG308),"",'Paste Full'!CG308)</f>
        <v/>
      </c>
      <c r="BV308" s="41" t="str">
        <f>IF(ISBLANK('Paste Full'!CH308),"",'Paste Full'!CH308)</f>
        <v/>
      </c>
    </row>
    <row r="309" spans="66:74" x14ac:dyDescent="0.3">
      <c r="BN309" s="41" t="str">
        <f>IF(ISBLANK('Paste Full'!BZ309),"",'Paste Full'!BZ309)</f>
        <v/>
      </c>
      <c r="BO309" s="41" t="str">
        <f>IF(ISBLANK('Paste Full'!CA309),"",'Paste Full'!CA309)</f>
        <v/>
      </c>
      <c r="BP309" s="41" t="str">
        <f>IF(ISBLANK('Paste Full'!CB309),"",'Paste Full'!CB309)</f>
        <v/>
      </c>
      <c r="BQ309" s="41" t="str">
        <f>IF(ISBLANK('Paste Full'!CC309),"",'Paste Full'!CC309)</f>
        <v/>
      </c>
      <c r="BR309" s="41" t="str">
        <f>IF(ISBLANK('Paste Full'!CD309),"",'Paste Full'!CD309)</f>
        <v/>
      </c>
      <c r="BS309" s="41" t="str">
        <f>IF(ISBLANK('Paste Full'!CE309),"",'Paste Full'!CE309)</f>
        <v/>
      </c>
      <c r="BT309" s="41" t="str">
        <f>IF(ISBLANK('Paste Full'!CF309),"",'Paste Full'!CF309)</f>
        <v/>
      </c>
      <c r="BU309" s="41" t="str">
        <f>IF(ISBLANK('Paste Full'!CG309),"",'Paste Full'!CG309)</f>
        <v/>
      </c>
      <c r="BV309" s="41" t="str">
        <f>IF(ISBLANK('Paste Full'!CH309),"",'Paste Full'!CH309)</f>
        <v/>
      </c>
    </row>
    <row r="310" spans="66:74" x14ac:dyDescent="0.3">
      <c r="BN310" s="41" t="str">
        <f>IF(ISBLANK('Paste Full'!BZ310),"",'Paste Full'!BZ310)</f>
        <v/>
      </c>
      <c r="BO310" s="41" t="str">
        <f>IF(ISBLANK('Paste Full'!CA310),"",'Paste Full'!CA310)</f>
        <v/>
      </c>
      <c r="BP310" s="41" t="str">
        <f>IF(ISBLANK('Paste Full'!CB310),"",'Paste Full'!CB310)</f>
        <v/>
      </c>
      <c r="BQ310" s="41" t="str">
        <f>IF(ISBLANK('Paste Full'!CC310),"",'Paste Full'!CC310)</f>
        <v/>
      </c>
      <c r="BR310" s="41" t="str">
        <f>IF(ISBLANK('Paste Full'!CD310),"",'Paste Full'!CD310)</f>
        <v/>
      </c>
      <c r="BS310" s="41" t="str">
        <f>IF(ISBLANK('Paste Full'!CE310),"",'Paste Full'!CE310)</f>
        <v/>
      </c>
      <c r="BT310" s="41" t="str">
        <f>IF(ISBLANK('Paste Full'!CF310),"",'Paste Full'!CF310)</f>
        <v/>
      </c>
      <c r="BU310" s="41" t="str">
        <f>IF(ISBLANK('Paste Full'!CG310),"",'Paste Full'!CG310)</f>
        <v/>
      </c>
      <c r="BV310" s="41" t="str">
        <f>IF(ISBLANK('Paste Full'!CH310),"",'Paste Full'!CH310)</f>
        <v/>
      </c>
    </row>
    <row r="311" spans="66:74" x14ac:dyDescent="0.3">
      <c r="BN311" s="41" t="str">
        <f>IF(ISBLANK('Paste Full'!BZ311),"",'Paste Full'!BZ311)</f>
        <v/>
      </c>
      <c r="BO311" s="41" t="str">
        <f>IF(ISBLANK('Paste Full'!CA311),"",'Paste Full'!CA311)</f>
        <v/>
      </c>
      <c r="BP311" s="41" t="str">
        <f>IF(ISBLANK('Paste Full'!CB311),"",'Paste Full'!CB311)</f>
        <v/>
      </c>
      <c r="BQ311" s="41" t="str">
        <f>IF(ISBLANK('Paste Full'!CC311),"",'Paste Full'!CC311)</f>
        <v/>
      </c>
      <c r="BR311" s="41" t="str">
        <f>IF(ISBLANK('Paste Full'!CD311),"",'Paste Full'!CD311)</f>
        <v/>
      </c>
      <c r="BS311" s="41" t="str">
        <f>IF(ISBLANK('Paste Full'!CE311),"",'Paste Full'!CE311)</f>
        <v/>
      </c>
      <c r="BT311" s="41" t="str">
        <f>IF(ISBLANK('Paste Full'!CF311),"",'Paste Full'!CF311)</f>
        <v/>
      </c>
      <c r="BU311" s="41" t="str">
        <f>IF(ISBLANK('Paste Full'!CG311),"",'Paste Full'!CG311)</f>
        <v/>
      </c>
      <c r="BV311" s="41" t="str">
        <f>IF(ISBLANK('Paste Full'!CH311),"",'Paste Full'!CH311)</f>
        <v/>
      </c>
    </row>
    <row r="312" spans="66:74" x14ac:dyDescent="0.3">
      <c r="BN312" s="41" t="str">
        <f>IF(ISBLANK('Paste Full'!BZ312),"",'Paste Full'!BZ312)</f>
        <v/>
      </c>
      <c r="BO312" s="41" t="str">
        <f>IF(ISBLANK('Paste Full'!CA312),"",'Paste Full'!CA312)</f>
        <v/>
      </c>
      <c r="BP312" s="41" t="str">
        <f>IF(ISBLANK('Paste Full'!CB312),"",'Paste Full'!CB312)</f>
        <v/>
      </c>
      <c r="BQ312" s="41" t="str">
        <f>IF(ISBLANK('Paste Full'!CC312),"",'Paste Full'!CC312)</f>
        <v/>
      </c>
      <c r="BR312" s="41" t="str">
        <f>IF(ISBLANK('Paste Full'!CD312),"",'Paste Full'!CD312)</f>
        <v/>
      </c>
      <c r="BS312" s="41" t="str">
        <f>IF(ISBLANK('Paste Full'!CE312),"",'Paste Full'!CE312)</f>
        <v/>
      </c>
      <c r="BT312" s="41" t="str">
        <f>IF(ISBLANK('Paste Full'!CF312),"",'Paste Full'!CF312)</f>
        <v/>
      </c>
      <c r="BU312" s="41" t="str">
        <f>IF(ISBLANK('Paste Full'!CG312),"",'Paste Full'!CG312)</f>
        <v/>
      </c>
      <c r="BV312" s="41" t="str">
        <f>IF(ISBLANK('Paste Full'!CH312),"",'Paste Full'!CH312)</f>
        <v/>
      </c>
    </row>
    <row r="313" spans="66:74" x14ac:dyDescent="0.3">
      <c r="BN313" s="41" t="str">
        <f>IF(ISBLANK('Paste Full'!BZ313),"",'Paste Full'!BZ313)</f>
        <v/>
      </c>
      <c r="BO313" s="41" t="str">
        <f>IF(ISBLANK('Paste Full'!CA313),"",'Paste Full'!CA313)</f>
        <v/>
      </c>
      <c r="BP313" s="41" t="str">
        <f>IF(ISBLANK('Paste Full'!CB313),"",'Paste Full'!CB313)</f>
        <v/>
      </c>
      <c r="BQ313" s="41" t="str">
        <f>IF(ISBLANK('Paste Full'!CC313),"",'Paste Full'!CC313)</f>
        <v/>
      </c>
      <c r="BR313" s="41" t="str">
        <f>IF(ISBLANK('Paste Full'!CD313),"",'Paste Full'!CD313)</f>
        <v/>
      </c>
      <c r="BS313" s="41" t="str">
        <f>IF(ISBLANK('Paste Full'!CE313),"",'Paste Full'!CE313)</f>
        <v/>
      </c>
      <c r="BT313" s="41" t="str">
        <f>IF(ISBLANK('Paste Full'!CF313),"",'Paste Full'!CF313)</f>
        <v/>
      </c>
      <c r="BU313" s="41" t="str">
        <f>IF(ISBLANK('Paste Full'!CG313),"",'Paste Full'!CG313)</f>
        <v/>
      </c>
      <c r="BV313" s="41" t="str">
        <f>IF(ISBLANK('Paste Full'!CH313),"",'Paste Full'!CH313)</f>
        <v/>
      </c>
    </row>
    <row r="314" spans="66:74" x14ac:dyDescent="0.3">
      <c r="BN314" s="41" t="str">
        <f>IF(ISBLANK('Paste Full'!BZ314),"",'Paste Full'!BZ314)</f>
        <v/>
      </c>
      <c r="BO314" s="41" t="str">
        <f>IF(ISBLANK('Paste Full'!CA314),"",'Paste Full'!CA314)</f>
        <v/>
      </c>
      <c r="BP314" s="41" t="str">
        <f>IF(ISBLANK('Paste Full'!CB314),"",'Paste Full'!CB314)</f>
        <v/>
      </c>
      <c r="BQ314" s="41" t="str">
        <f>IF(ISBLANK('Paste Full'!CC314),"",'Paste Full'!CC314)</f>
        <v/>
      </c>
      <c r="BR314" s="41" t="str">
        <f>IF(ISBLANK('Paste Full'!CD314),"",'Paste Full'!CD314)</f>
        <v/>
      </c>
      <c r="BS314" s="41" t="str">
        <f>IF(ISBLANK('Paste Full'!CE314),"",'Paste Full'!CE314)</f>
        <v/>
      </c>
      <c r="BT314" s="41" t="str">
        <f>IF(ISBLANK('Paste Full'!CF314),"",'Paste Full'!CF314)</f>
        <v/>
      </c>
      <c r="BU314" s="41" t="str">
        <f>IF(ISBLANK('Paste Full'!CG314),"",'Paste Full'!CG314)</f>
        <v/>
      </c>
      <c r="BV314" s="41" t="str">
        <f>IF(ISBLANK('Paste Full'!CH314),"",'Paste Full'!CH314)</f>
        <v/>
      </c>
    </row>
    <row r="315" spans="66:74" x14ac:dyDescent="0.3">
      <c r="BN315" s="41" t="str">
        <f>IF(ISBLANK('Paste Full'!BZ315),"",'Paste Full'!BZ315)</f>
        <v/>
      </c>
      <c r="BO315" s="41" t="str">
        <f>IF(ISBLANK('Paste Full'!CA315),"",'Paste Full'!CA315)</f>
        <v/>
      </c>
      <c r="BP315" s="41" t="str">
        <f>IF(ISBLANK('Paste Full'!CB315),"",'Paste Full'!CB315)</f>
        <v/>
      </c>
      <c r="BQ315" s="41" t="str">
        <f>IF(ISBLANK('Paste Full'!CC315),"",'Paste Full'!CC315)</f>
        <v/>
      </c>
      <c r="BR315" s="41" t="str">
        <f>IF(ISBLANK('Paste Full'!CD315),"",'Paste Full'!CD315)</f>
        <v/>
      </c>
      <c r="BS315" s="41" t="str">
        <f>IF(ISBLANK('Paste Full'!CE315),"",'Paste Full'!CE315)</f>
        <v/>
      </c>
      <c r="BT315" s="41" t="str">
        <f>IF(ISBLANK('Paste Full'!CF315),"",'Paste Full'!CF315)</f>
        <v/>
      </c>
      <c r="BU315" s="41" t="str">
        <f>IF(ISBLANK('Paste Full'!CG315),"",'Paste Full'!CG315)</f>
        <v/>
      </c>
      <c r="BV315" s="41" t="str">
        <f>IF(ISBLANK('Paste Full'!CH315),"",'Paste Full'!CH315)</f>
        <v/>
      </c>
    </row>
    <row r="316" spans="66:74" x14ac:dyDescent="0.3">
      <c r="BN316" s="41" t="str">
        <f>IF(ISBLANK('Paste Full'!BZ316),"",'Paste Full'!BZ316)</f>
        <v/>
      </c>
      <c r="BO316" s="41" t="str">
        <f>IF(ISBLANK('Paste Full'!CA316),"",'Paste Full'!CA316)</f>
        <v/>
      </c>
      <c r="BP316" s="41" t="str">
        <f>IF(ISBLANK('Paste Full'!CB316),"",'Paste Full'!CB316)</f>
        <v/>
      </c>
      <c r="BQ316" s="41" t="str">
        <f>IF(ISBLANK('Paste Full'!CC316),"",'Paste Full'!CC316)</f>
        <v/>
      </c>
      <c r="BR316" s="41" t="str">
        <f>IF(ISBLANK('Paste Full'!CD316),"",'Paste Full'!CD316)</f>
        <v/>
      </c>
      <c r="BS316" s="41" t="str">
        <f>IF(ISBLANK('Paste Full'!CE316),"",'Paste Full'!CE316)</f>
        <v/>
      </c>
      <c r="BT316" s="41" t="str">
        <f>IF(ISBLANK('Paste Full'!CF316),"",'Paste Full'!CF316)</f>
        <v/>
      </c>
      <c r="BU316" s="41" t="str">
        <f>IF(ISBLANK('Paste Full'!CG316),"",'Paste Full'!CG316)</f>
        <v/>
      </c>
      <c r="BV316" s="41" t="str">
        <f>IF(ISBLANK('Paste Full'!CH316),"",'Paste Full'!CH316)</f>
        <v/>
      </c>
    </row>
    <row r="317" spans="66:74" x14ac:dyDescent="0.3">
      <c r="BN317" s="41" t="str">
        <f>IF(ISBLANK('Paste Full'!BZ317),"",'Paste Full'!BZ317)</f>
        <v/>
      </c>
      <c r="BO317" s="41" t="str">
        <f>IF(ISBLANK('Paste Full'!CA317),"",'Paste Full'!CA317)</f>
        <v/>
      </c>
      <c r="BP317" s="41" t="str">
        <f>IF(ISBLANK('Paste Full'!CB317),"",'Paste Full'!CB317)</f>
        <v/>
      </c>
      <c r="BQ317" s="41" t="str">
        <f>IF(ISBLANK('Paste Full'!CC317),"",'Paste Full'!CC317)</f>
        <v/>
      </c>
      <c r="BR317" s="41" t="str">
        <f>IF(ISBLANK('Paste Full'!CD317),"",'Paste Full'!CD317)</f>
        <v/>
      </c>
      <c r="BS317" s="41" t="str">
        <f>IF(ISBLANK('Paste Full'!CE317),"",'Paste Full'!CE317)</f>
        <v/>
      </c>
      <c r="BT317" s="41" t="str">
        <f>IF(ISBLANK('Paste Full'!CF317),"",'Paste Full'!CF317)</f>
        <v/>
      </c>
      <c r="BU317" s="41" t="str">
        <f>IF(ISBLANK('Paste Full'!CG317),"",'Paste Full'!CG317)</f>
        <v/>
      </c>
      <c r="BV317" s="41" t="str">
        <f>IF(ISBLANK('Paste Full'!CH317),"",'Paste Full'!CH317)</f>
        <v/>
      </c>
    </row>
    <row r="318" spans="66:74" x14ac:dyDescent="0.3">
      <c r="BN318" s="41" t="str">
        <f>IF(ISBLANK('Paste Full'!BZ318),"",'Paste Full'!BZ318)</f>
        <v/>
      </c>
      <c r="BO318" s="41" t="str">
        <f>IF(ISBLANK('Paste Full'!CA318),"",'Paste Full'!CA318)</f>
        <v/>
      </c>
      <c r="BP318" s="41" t="str">
        <f>IF(ISBLANK('Paste Full'!CB318),"",'Paste Full'!CB318)</f>
        <v/>
      </c>
      <c r="BQ318" s="41" t="str">
        <f>IF(ISBLANK('Paste Full'!CC318),"",'Paste Full'!CC318)</f>
        <v/>
      </c>
      <c r="BR318" s="41" t="str">
        <f>IF(ISBLANK('Paste Full'!CD318),"",'Paste Full'!CD318)</f>
        <v/>
      </c>
      <c r="BS318" s="41" t="str">
        <f>IF(ISBLANK('Paste Full'!CE318),"",'Paste Full'!CE318)</f>
        <v/>
      </c>
      <c r="BT318" s="41" t="str">
        <f>IF(ISBLANK('Paste Full'!CF318),"",'Paste Full'!CF318)</f>
        <v/>
      </c>
      <c r="BU318" s="41" t="str">
        <f>IF(ISBLANK('Paste Full'!CG318),"",'Paste Full'!CG318)</f>
        <v/>
      </c>
      <c r="BV318" s="41" t="str">
        <f>IF(ISBLANK('Paste Full'!CH318),"",'Paste Full'!CH318)</f>
        <v/>
      </c>
    </row>
    <row r="319" spans="66:74" x14ac:dyDescent="0.3">
      <c r="BN319" s="41" t="str">
        <f>IF(ISBLANK('Paste Full'!BZ319),"",'Paste Full'!BZ319)</f>
        <v/>
      </c>
      <c r="BO319" s="41" t="str">
        <f>IF(ISBLANK('Paste Full'!CA319),"",'Paste Full'!CA319)</f>
        <v/>
      </c>
      <c r="BP319" s="41" t="str">
        <f>IF(ISBLANK('Paste Full'!CB319),"",'Paste Full'!CB319)</f>
        <v/>
      </c>
      <c r="BQ319" s="41" t="str">
        <f>IF(ISBLANK('Paste Full'!CC319),"",'Paste Full'!CC319)</f>
        <v/>
      </c>
      <c r="BR319" s="41" t="str">
        <f>IF(ISBLANK('Paste Full'!CD319),"",'Paste Full'!CD319)</f>
        <v/>
      </c>
      <c r="BS319" s="41" t="str">
        <f>IF(ISBLANK('Paste Full'!CE319),"",'Paste Full'!CE319)</f>
        <v/>
      </c>
      <c r="BT319" s="41" t="str">
        <f>IF(ISBLANK('Paste Full'!CF319),"",'Paste Full'!CF319)</f>
        <v/>
      </c>
      <c r="BU319" s="41" t="str">
        <f>IF(ISBLANK('Paste Full'!CG319),"",'Paste Full'!CG319)</f>
        <v/>
      </c>
      <c r="BV319" s="41" t="str">
        <f>IF(ISBLANK('Paste Full'!CH319),"",'Paste Full'!CH319)</f>
        <v/>
      </c>
    </row>
    <row r="320" spans="66:74" x14ac:dyDescent="0.3">
      <c r="BN320" s="41" t="str">
        <f>IF(ISBLANK('Paste Full'!BZ320),"",'Paste Full'!BZ320)</f>
        <v/>
      </c>
      <c r="BO320" s="41" t="str">
        <f>IF(ISBLANK('Paste Full'!CA320),"",'Paste Full'!CA320)</f>
        <v/>
      </c>
      <c r="BP320" s="41" t="str">
        <f>IF(ISBLANK('Paste Full'!CB320),"",'Paste Full'!CB320)</f>
        <v/>
      </c>
      <c r="BQ320" s="41" t="str">
        <f>IF(ISBLANK('Paste Full'!CC320),"",'Paste Full'!CC320)</f>
        <v/>
      </c>
      <c r="BR320" s="41" t="str">
        <f>IF(ISBLANK('Paste Full'!CD320),"",'Paste Full'!CD320)</f>
        <v/>
      </c>
      <c r="BS320" s="41" t="str">
        <f>IF(ISBLANK('Paste Full'!CE320),"",'Paste Full'!CE320)</f>
        <v/>
      </c>
      <c r="BT320" s="41" t="str">
        <f>IF(ISBLANK('Paste Full'!CF320),"",'Paste Full'!CF320)</f>
        <v/>
      </c>
      <c r="BU320" s="41" t="str">
        <f>IF(ISBLANK('Paste Full'!CG320),"",'Paste Full'!CG320)</f>
        <v/>
      </c>
      <c r="BV320" s="41" t="str">
        <f>IF(ISBLANK('Paste Full'!CH320),"",'Paste Full'!CH320)</f>
        <v/>
      </c>
    </row>
    <row r="321" spans="66:74" x14ac:dyDescent="0.3">
      <c r="BN321" s="41" t="str">
        <f>IF(ISBLANK('Paste Full'!BZ321),"",'Paste Full'!BZ321)</f>
        <v/>
      </c>
      <c r="BO321" s="41" t="str">
        <f>IF(ISBLANK('Paste Full'!CA321),"",'Paste Full'!CA321)</f>
        <v/>
      </c>
      <c r="BP321" s="41" t="str">
        <f>IF(ISBLANK('Paste Full'!CB321),"",'Paste Full'!CB321)</f>
        <v/>
      </c>
      <c r="BQ321" s="41" t="str">
        <f>IF(ISBLANK('Paste Full'!CC321),"",'Paste Full'!CC321)</f>
        <v/>
      </c>
      <c r="BR321" s="41" t="str">
        <f>IF(ISBLANK('Paste Full'!CD321),"",'Paste Full'!CD321)</f>
        <v/>
      </c>
      <c r="BS321" s="41" t="str">
        <f>IF(ISBLANK('Paste Full'!CE321),"",'Paste Full'!CE321)</f>
        <v/>
      </c>
      <c r="BT321" s="41" t="str">
        <f>IF(ISBLANK('Paste Full'!CF321),"",'Paste Full'!CF321)</f>
        <v/>
      </c>
      <c r="BU321" s="41" t="str">
        <f>IF(ISBLANK('Paste Full'!CG321),"",'Paste Full'!CG321)</f>
        <v/>
      </c>
      <c r="BV321" s="41" t="str">
        <f>IF(ISBLANK('Paste Full'!CH321),"",'Paste Full'!CH321)</f>
        <v/>
      </c>
    </row>
    <row r="322" spans="66:74" x14ac:dyDescent="0.3">
      <c r="BN322" s="41" t="str">
        <f>IF(ISBLANK('Paste Full'!BZ322),"",'Paste Full'!BZ322)</f>
        <v/>
      </c>
      <c r="BO322" s="41" t="str">
        <f>IF(ISBLANK('Paste Full'!CA322),"",'Paste Full'!CA322)</f>
        <v/>
      </c>
      <c r="BP322" s="41" t="str">
        <f>IF(ISBLANK('Paste Full'!CB322),"",'Paste Full'!CB322)</f>
        <v/>
      </c>
      <c r="BQ322" s="41" t="str">
        <f>IF(ISBLANK('Paste Full'!CC322),"",'Paste Full'!CC322)</f>
        <v/>
      </c>
      <c r="BR322" s="41" t="str">
        <f>IF(ISBLANK('Paste Full'!CD322),"",'Paste Full'!CD322)</f>
        <v/>
      </c>
      <c r="BS322" s="41" t="str">
        <f>IF(ISBLANK('Paste Full'!CE322),"",'Paste Full'!CE322)</f>
        <v/>
      </c>
      <c r="BT322" s="41" t="str">
        <f>IF(ISBLANK('Paste Full'!CF322),"",'Paste Full'!CF322)</f>
        <v/>
      </c>
      <c r="BU322" s="41" t="str">
        <f>IF(ISBLANK('Paste Full'!CG322),"",'Paste Full'!CG322)</f>
        <v/>
      </c>
      <c r="BV322" s="41" t="str">
        <f>IF(ISBLANK('Paste Full'!CH322),"",'Paste Full'!CH322)</f>
        <v/>
      </c>
    </row>
    <row r="323" spans="66:74" x14ac:dyDescent="0.3">
      <c r="BN323" s="41" t="str">
        <f>IF(ISBLANK('Paste Full'!BZ323),"",'Paste Full'!BZ323)</f>
        <v/>
      </c>
      <c r="BO323" s="41" t="str">
        <f>IF(ISBLANK('Paste Full'!CA323),"",'Paste Full'!CA323)</f>
        <v/>
      </c>
      <c r="BP323" s="41" t="str">
        <f>IF(ISBLANK('Paste Full'!CB323),"",'Paste Full'!CB323)</f>
        <v/>
      </c>
      <c r="BQ323" s="41" t="str">
        <f>IF(ISBLANK('Paste Full'!CC323),"",'Paste Full'!CC323)</f>
        <v/>
      </c>
      <c r="BR323" s="41" t="str">
        <f>IF(ISBLANK('Paste Full'!CD323),"",'Paste Full'!CD323)</f>
        <v/>
      </c>
      <c r="BS323" s="41" t="str">
        <f>IF(ISBLANK('Paste Full'!CE323),"",'Paste Full'!CE323)</f>
        <v/>
      </c>
      <c r="BT323" s="41" t="str">
        <f>IF(ISBLANK('Paste Full'!CF323),"",'Paste Full'!CF323)</f>
        <v/>
      </c>
      <c r="BU323" s="41" t="str">
        <f>IF(ISBLANK('Paste Full'!CG323),"",'Paste Full'!CG323)</f>
        <v/>
      </c>
      <c r="BV323" s="41" t="str">
        <f>IF(ISBLANK('Paste Full'!CH323),"",'Paste Full'!CH323)</f>
        <v/>
      </c>
    </row>
    <row r="324" spans="66:74" x14ac:dyDescent="0.3">
      <c r="BN324" s="41" t="str">
        <f>IF(ISBLANK('Paste Full'!BZ324),"",'Paste Full'!BZ324)</f>
        <v/>
      </c>
      <c r="BO324" s="41" t="str">
        <f>IF(ISBLANK('Paste Full'!CA324),"",'Paste Full'!CA324)</f>
        <v/>
      </c>
      <c r="BP324" s="41" t="str">
        <f>IF(ISBLANK('Paste Full'!CB324),"",'Paste Full'!CB324)</f>
        <v/>
      </c>
      <c r="BQ324" s="41" t="str">
        <f>IF(ISBLANK('Paste Full'!CC324),"",'Paste Full'!CC324)</f>
        <v/>
      </c>
      <c r="BR324" s="41" t="str">
        <f>IF(ISBLANK('Paste Full'!CD324),"",'Paste Full'!CD324)</f>
        <v/>
      </c>
      <c r="BS324" s="41" t="str">
        <f>IF(ISBLANK('Paste Full'!CE324),"",'Paste Full'!CE324)</f>
        <v/>
      </c>
      <c r="BT324" s="41" t="str">
        <f>IF(ISBLANK('Paste Full'!CF324),"",'Paste Full'!CF324)</f>
        <v/>
      </c>
      <c r="BU324" s="41" t="str">
        <f>IF(ISBLANK('Paste Full'!CG324),"",'Paste Full'!CG324)</f>
        <v/>
      </c>
      <c r="BV324" s="41" t="str">
        <f>IF(ISBLANK('Paste Full'!CH324),"",'Paste Full'!CH324)</f>
        <v/>
      </c>
    </row>
    <row r="325" spans="66:74" x14ac:dyDescent="0.3">
      <c r="BN325" s="41" t="str">
        <f>IF(ISBLANK('Paste Full'!BZ325),"",'Paste Full'!BZ325)</f>
        <v/>
      </c>
      <c r="BO325" s="41" t="str">
        <f>IF(ISBLANK('Paste Full'!CA325),"",'Paste Full'!CA325)</f>
        <v/>
      </c>
      <c r="BP325" s="41" t="str">
        <f>IF(ISBLANK('Paste Full'!CB325),"",'Paste Full'!CB325)</f>
        <v/>
      </c>
      <c r="BQ325" s="41" t="str">
        <f>IF(ISBLANK('Paste Full'!CC325),"",'Paste Full'!CC325)</f>
        <v/>
      </c>
      <c r="BR325" s="41" t="str">
        <f>IF(ISBLANK('Paste Full'!CD325),"",'Paste Full'!CD325)</f>
        <v/>
      </c>
      <c r="BS325" s="41" t="str">
        <f>IF(ISBLANK('Paste Full'!CE325),"",'Paste Full'!CE325)</f>
        <v/>
      </c>
      <c r="BT325" s="41" t="str">
        <f>IF(ISBLANK('Paste Full'!CF325),"",'Paste Full'!CF325)</f>
        <v/>
      </c>
      <c r="BU325" s="41" t="str">
        <f>IF(ISBLANK('Paste Full'!CG325),"",'Paste Full'!CG325)</f>
        <v/>
      </c>
      <c r="BV325" s="41" t="str">
        <f>IF(ISBLANK('Paste Full'!CH325),"",'Paste Full'!CH325)</f>
        <v/>
      </c>
    </row>
    <row r="326" spans="66:74" x14ac:dyDescent="0.3">
      <c r="BN326" s="41" t="str">
        <f>IF(ISBLANK('Paste Full'!BZ326),"",'Paste Full'!BZ326)</f>
        <v/>
      </c>
      <c r="BO326" s="41" t="str">
        <f>IF(ISBLANK('Paste Full'!CA326),"",'Paste Full'!CA326)</f>
        <v/>
      </c>
      <c r="BP326" s="41" t="str">
        <f>IF(ISBLANK('Paste Full'!CB326),"",'Paste Full'!CB326)</f>
        <v/>
      </c>
      <c r="BQ326" s="41" t="str">
        <f>IF(ISBLANK('Paste Full'!CC326),"",'Paste Full'!CC326)</f>
        <v/>
      </c>
      <c r="BR326" s="41" t="str">
        <f>IF(ISBLANK('Paste Full'!CD326),"",'Paste Full'!CD326)</f>
        <v/>
      </c>
      <c r="BS326" s="41" t="str">
        <f>IF(ISBLANK('Paste Full'!CE326),"",'Paste Full'!CE326)</f>
        <v/>
      </c>
      <c r="BT326" s="41" t="str">
        <f>IF(ISBLANK('Paste Full'!CF326),"",'Paste Full'!CF326)</f>
        <v/>
      </c>
      <c r="BU326" s="41" t="str">
        <f>IF(ISBLANK('Paste Full'!CG326),"",'Paste Full'!CG326)</f>
        <v/>
      </c>
      <c r="BV326" s="41" t="str">
        <f>IF(ISBLANK('Paste Full'!CH326),"",'Paste Full'!CH326)</f>
        <v/>
      </c>
    </row>
    <row r="327" spans="66:74" x14ac:dyDescent="0.3">
      <c r="BN327" s="41" t="str">
        <f>IF(ISBLANK('Paste Full'!BZ327),"",'Paste Full'!BZ327)</f>
        <v/>
      </c>
      <c r="BO327" s="41" t="str">
        <f>IF(ISBLANK('Paste Full'!CA327),"",'Paste Full'!CA327)</f>
        <v/>
      </c>
      <c r="BP327" s="41" t="str">
        <f>IF(ISBLANK('Paste Full'!CB327),"",'Paste Full'!CB327)</f>
        <v/>
      </c>
      <c r="BQ327" s="41" t="str">
        <f>IF(ISBLANK('Paste Full'!CC327),"",'Paste Full'!CC327)</f>
        <v/>
      </c>
      <c r="BR327" s="41" t="str">
        <f>IF(ISBLANK('Paste Full'!CD327),"",'Paste Full'!CD327)</f>
        <v/>
      </c>
      <c r="BS327" s="41" t="str">
        <f>IF(ISBLANK('Paste Full'!CE327),"",'Paste Full'!CE327)</f>
        <v/>
      </c>
      <c r="BT327" s="41" t="str">
        <f>IF(ISBLANK('Paste Full'!CF327),"",'Paste Full'!CF327)</f>
        <v/>
      </c>
      <c r="BU327" s="41" t="str">
        <f>IF(ISBLANK('Paste Full'!CG327),"",'Paste Full'!CG327)</f>
        <v/>
      </c>
      <c r="BV327" s="41" t="str">
        <f>IF(ISBLANK('Paste Full'!CH327),"",'Paste Full'!CH327)</f>
        <v/>
      </c>
    </row>
    <row r="328" spans="66:74" x14ac:dyDescent="0.3">
      <c r="BN328" s="41" t="str">
        <f>IF(ISBLANK('Paste Full'!BZ328),"",'Paste Full'!BZ328)</f>
        <v/>
      </c>
      <c r="BO328" s="41" t="str">
        <f>IF(ISBLANK('Paste Full'!CA328),"",'Paste Full'!CA328)</f>
        <v/>
      </c>
      <c r="BP328" s="41" t="str">
        <f>IF(ISBLANK('Paste Full'!CB328),"",'Paste Full'!CB328)</f>
        <v/>
      </c>
      <c r="BQ328" s="41" t="str">
        <f>IF(ISBLANK('Paste Full'!CC328),"",'Paste Full'!CC328)</f>
        <v/>
      </c>
      <c r="BR328" s="41" t="str">
        <f>IF(ISBLANK('Paste Full'!CD328),"",'Paste Full'!CD328)</f>
        <v/>
      </c>
      <c r="BS328" s="41" t="str">
        <f>IF(ISBLANK('Paste Full'!CE328),"",'Paste Full'!CE328)</f>
        <v/>
      </c>
      <c r="BT328" s="41" t="str">
        <f>IF(ISBLANK('Paste Full'!CF328),"",'Paste Full'!CF328)</f>
        <v/>
      </c>
      <c r="BU328" s="41" t="str">
        <f>IF(ISBLANK('Paste Full'!CG328),"",'Paste Full'!CG328)</f>
        <v/>
      </c>
      <c r="BV328" s="41" t="str">
        <f>IF(ISBLANK('Paste Full'!CH328),"",'Paste Full'!CH328)</f>
        <v/>
      </c>
    </row>
    <row r="329" spans="66:74" x14ac:dyDescent="0.3">
      <c r="BN329" s="41" t="str">
        <f>IF(ISBLANK('Paste Full'!BZ329),"",'Paste Full'!BZ329)</f>
        <v/>
      </c>
      <c r="BO329" s="41" t="str">
        <f>IF(ISBLANK('Paste Full'!CA329),"",'Paste Full'!CA329)</f>
        <v/>
      </c>
      <c r="BP329" s="41" t="str">
        <f>IF(ISBLANK('Paste Full'!CB329),"",'Paste Full'!CB329)</f>
        <v/>
      </c>
      <c r="BQ329" s="41" t="str">
        <f>IF(ISBLANK('Paste Full'!CC329),"",'Paste Full'!CC329)</f>
        <v/>
      </c>
      <c r="BR329" s="41" t="str">
        <f>IF(ISBLANK('Paste Full'!CD329),"",'Paste Full'!CD329)</f>
        <v/>
      </c>
      <c r="BS329" s="41" t="str">
        <f>IF(ISBLANK('Paste Full'!CE329),"",'Paste Full'!CE329)</f>
        <v/>
      </c>
      <c r="BT329" s="41" t="str">
        <f>IF(ISBLANK('Paste Full'!CF329),"",'Paste Full'!CF329)</f>
        <v/>
      </c>
      <c r="BU329" s="41" t="str">
        <f>IF(ISBLANK('Paste Full'!CG329),"",'Paste Full'!CG329)</f>
        <v/>
      </c>
      <c r="BV329" s="41" t="str">
        <f>IF(ISBLANK('Paste Full'!CH329),"",'Paste Full'!CH329)</f>
        <v/>
      </c>
    </row>
    <row r="330" spans="66:74" x14ac:dyDescent="0.3">
      <c r="BN330" s="41" t="str">
        <f>IF(ISBLANK('Paste Full'!BZ330),"",'Paste Full'!BZ330)</f>
        <v/>
      </c>
      <c r="BO330" s="41" t="str">
        <f>IF(ISBLANK('Paste Full'!CA330),"",'Paste Full'!CA330)</f>
        <v/>
      </c>
      <c r="BP330" s="41" t="str">
        <f>IF(ISBLANK('Paste Full'!CB330),"",'Paste Full'!CB330)</f>
        <v/>
      </c>
      <c r="BQ330" s="41" t="str">
        <f>IF(ISBLANK('Paste Full'!CC330),"",'Paste Full'!CC330)</f>
        <v/>
      </c>
      <c r="BR330" s="41" t="str">
        <f>IF(ISBLANK('Paste Full'!CD330),"",'Paste Full'!CD330)</f>
        <v/>
      </c>
      <c r="BS330" s="41" t="str">
        <f>IF(ISBLANK('Paste Full'!CE330),"",'Paste Full'!CE330)</f>
        <v/>
      </c>
      <c r="BT330" s="41" t="str">
        <f>IF(ISBLANK('Paste Full'!CF330),"",'Paste Full'!CF330)</f>
        <v/>
      </c>
      <c r="BU330" s="41" t="str">
        <f>IF(ISBLANK('Paste Full'!CG330),"",'Paste Full'!CG330)</f>
        <v/>
      </c>
      <c r="BV330" s="41" t="str">
        <f>IF(ISBLANK('Paste Full'!CH330),"",'Paste Full'!CH330)</f>
        <v/>
      </c>
    </row>
    <row r="331" spans="66:74" x14ac:dyDescent="0.3">
      <c r="BN331" s="41" t="str">
        <f>IF(ISBLANK('Paste Full'!BZ331),"",'Paste Full'!BZ331)</f>
        <v/>
      </c>
      <c r="BO331" s="41" t="str">
        <f>IF(ISBLANK('Paste Full'!CA331),"",'Paste Full'!CA331)</f>
        <v/>
      </c>
      <c r="BP331" s="41" t="str">
        <f>IF(ISBLANK('Paste Full'!CB331),"",'Paste Full'!CB331)</f>
        <v/>
      </c>
      <c r="BQ331" s="41" t="str">
        <f>IF(ISBLANK('Paste Full'!CC331),"",'Paste Full'!CC331)</f>
        <v/>
      </c>
      <c r="BR331" s="41" t="str">
        <f>IF(ISBLANK('Paste Full'!CD331),"",'Paste Full'!CD331)</f>
        <v/>
      </c>
      <c r="BS331" s="41" t="str">
        <f>IF(ISBLANK('Paste Full'!CE331),"",'Paste Full'!CE331)</f>
        <v/>
      </c>
      <c r="BT331" s="41" t="str">
        <f>IF(ISBLANK('Paste Full'!CF331),"",'Paste Full'!CF331)</f>
        <v/>
      </c>
      <c r="BU331" s="41" t="str">
        <f>IF(ISBLANK('Paste Full'!CG331),"",'Paste Full'!CG331)</f>
        <v/>
      </c>
      <c r="BV331" s="41" t="str">
        <f>IF(ISBLANK('Paste Full'!CH331),"",'Paste Full'!CH331)</f>
        <v/>
      </c>
    </row>
    <row r="332" spans="66:74" x14ac:dyDescent="0.3">
      <c r="BN332" s="41" t="str">
        <f>IF(ISBLANK('Paste Full'!BZ332),"",'Paste Full'!BZ332)</f>
        <v/>
      </c>
      <c r="BO332" s="41" t="str">
        <f>IF(ISBLANK('Paste Full'!CA332),"",'Paste Full'!CA332)</f>
        <v/>
      </c>
      <c r="BP332" s="41" t="str">
        <f>IF(ISBLANK('Paste Full'!CB332),"",'Paste Full'!CB332)</f>
        <v/>
      </c>
      <c r="BQ332" s="41" t="str">
        <f>IF(ISBLANK('Paste Full'!CC332),"",'Paste Full'!CC332)</f>
        <v/>
      </c>
      <c r="BR332" s="41" t="str">
        <f>IF(ISBLANK('Paste Full'!CD332),"",'Paste Full'!CD332)</f>
        <v/>
      </c>
      <c r="BS332" s="41" t="str">
        <f>IF(ISBLANK('Paste Full'!CE332),"",'Paste Full'!CE332)</f>
        <v/>
      </c>
      <c r="BT332" s="41" t="str">
        <f>IF(ISBLANK('Paste Full'!CF332),"",'Paste Full'!CF332)</f>
        <v/>
      </c>
      <c r="BU332" s="41" t="str">
        <f>IF(ISBLANK('Paste Full'!CG332),"",'Paste Full'!CG332)</f>
        <v/>
      </c>
      <c r="BV332" s="41" t="str">
        <f>IF(ISBLANK('Paste Full'!CH332),"",'Paste Full'!CH332)</f>
        <v/>
      </c>
    </row>
    <row r="333" spans="66:74" x14ac:dyDescent="0.3">
      <c r="BN333" s="41" t="str">
        <f>IF(ISBLANK('Paste Full'!BZ333),"",'Paste Full'!BZ333)</f>
        <v/>
      </c>
      <c r="BO333" s="41" t="str">
        <f>IF(ISBLANK('Paste Full'!CA333),"",'Paste Full'!CA333)</f>
        <v/>
      </c>
      <c r="BP333" s="41" t="str">
        <f>IF(ISBLANK('Paste Full'!CB333),"",'Paste Full'!CB333)</f>
        <v/>
      </c>
      <c r="BQ333" s="41" t="str">
        <f>IF(ISBLANK('Paste Full'!CC333),"",'Paste Full'!CC333)</f>
        <v/>
      </c>
      <c r="BR333" s="41" t="str">
        <f>IF(ISBLANK('Paste Full'!CD333),"",'Paste Full'!CD333)</f>
        <v/>
      </c>
      <c r="BS333" s="41" t="str">
        <f>IF(ISBLANK('Paste Full'!CE333),"",'Paste Full'!CE333)</f>
        <v/>
      </c>
      <c r="BT333" s="41" t="str">
        <f>IF(ISBLANK('Paste Full'!CF333),"",'Paste Full'!CF333)</f>
        <v/>
      </c>
      <c r="BU333" s="41" t="str">
        <f>IF(ISBLANK('Paste Full'!CG333),"",'Paste Full'!CG333)</f>
        <v/>
      </c>
      <c r="BV333" s="41" t="str">
        <f>IF(ISBLANK('Paste Full'!CH333),"",'Paste Full'!CH333)</f>
        <v/>
      </c>
    </row>
    <row r="334" spans="66:74" x14ac:dyDescent="0.3">
      <c r="BN334" s="41" t="str">
        <f>IF(ISBLANK('Paste Full'!BZ334),"",'Paste Full'!BZ334)</f>
        <v/>
      </c>
      <c r="BO334" s="41" t="str">
        <f>IF(ISBLANK('Paste Full'!CA334),"",'Paste Full'!CA334)</f>
        <v/>
      </c>
      <c r="BP334" s="41" t="str">
        <f>IF(ISBLANK('Paste Full'!CB334),"",'Paste Full'!CB334)</f>
        <v/>
      </c>
      <c r="BQ334" s="41" t="str">
        <f>IF(ISBLANK('Paste Full'!CC334),"",'Paste Full'!CC334)</f>
        <v/>
      </c>
      <c r="BR334" s="41" t="str">
        <f>IF(ISBLANK('Paste Full'!CD334),"",'Paste Full'!CD334)</f>
        <v/>
      </c>
      <c r="BS334" s="41" t="str">
        <f>IF(ISBLANK('Paste Full'!CE334),"",'Paste Full'!CE334)</f>
        <v/>
      </c>
      <c r="BT334" s="41" t="str">
        <f>IF(ISBLANK('Paste Full'!CF334),"",'Paste Full'!CF334)</f>
        <v/>
      </c>
      <c r="BU334" s="41" t="str">
        <f>IF(ISBLANK('Paste Full'!CG334),"",'Paste Full'!CG334)</f>
        <v/>
      </c>
      <c r="BV334" s="41" t="str">
        <f>IF(ISBLANK('Paste Full'!CH334),"",'Paste Full'!CH334)</f>
        <v/>
      </c>
    </row>
    <row r="335" spans="66:74" x14ac:dyDescent="0.3">
      <c r="BN335" s="41" t="str">
        <f>IF(ISBLANK('Paste Full'!BZ335),"",'Paste Full'!BZ335)</f>
        <v/>
      </c>
      <c r="BO335" s="41" t="str">
        <f>IF(ISBLANK('Paste Full'!CA335),"",'Paste Full'!CA335)</f>
        <v/>
      </c>
      <c r="BP335" s="41" t="str">
        <f>IF(ISBLANK('Paste Full'!CB335),"",'Paste Full'!CB335)</f>
        <v/>
      </c>
      <c r="BQ335" s="41" t="str">
        <f>IF(ISBLANK('Paste Full'!CC335),"",'Paste Full'!CC335)</f>
        <v/>
      </c>
      <c r="BR335" s="41" t="str">
        <f>IF(ISBLANK('Paste Full'!CD335),"",'Paste Full'!CD335)</f>
        <v/>
      </c>
      <c r="BS335" s="41" t="str">
        <f>IF(ISBLANK('Paste Full'!CE335),"",'Paste Full'!CE335)</f>
        <v/>
      </c>
      <c r="BT335" s="41" t="str">
        <f>IF(ISBLANK('Paste Full'!CF335),"",'Paste Full'!CF335)</f>
        <v/>
      </c>
      <c r="BU335" s="41" t="str">
        <f>IF(ISBLANK('Paste Full'!CG335),"",'Paste Full'!CG335)</f>
        <v/>
      </c>
      <c r="BV335" s="41" t="str">
        <f>IF(ISBLANK('Paste Full'!CH335),"",'Paste Full'!CH335)</f>
        <v/>
      </c>
    </row>
    <row r="336" spans="66:74" x14ac:dyDescent="0.3">
      <c r="BN336" s="41" t="str">
        <f>IF(ISBLANK('Paste Full'!BZ336),"",'Paste Full'!BZ336)</f>
        <v/>
      </c>
      <c r="BO336" s="41" t="str">
        <f>IF(ISBLANK('Paste Full'!CA336),"",'Paste Full'!CA336)</f>
        <v/>
      </c>
      <c r="BP336" s="41" t="str">
        <f>IF(ISBLANK('Paste Full'!CB336),"",'Paste Full'!CB336)</f>
        <v/>
      </c>
      <c r="BQ336" s="41" t="str">
        <f>IF(ISBLANK('Paste Full'!CC336),"",'Paste Full'!CC336)</f>
        <v/>
      </c>
      <c r="BR336" s="41" t="str">
        <f>IF(ISBLANK('Paste Full'!CD336),"",'Paste Full'!CD336)</f>
        <v/>
      </c>
      <c r="BS336" s="41" t="str">
        <f>IF(ISBLANK('Paste Full'!CE336),"",'Paste Full'!CE336)</f>
        <v/>
      </c>
      <c r="BT336" s="41" t="str">
        <f>IF(ISBLANK('Paste Full'!CF336),"",'Paste Full'!CF336)</f>
        <v/>
      </c>
      <c r="BU336" s="41" t="str">
        <f>IF(ISBLANK('Paste Full'!CG336),"",'Paste Full'!CG336)</f>
        <v/>
      </c>
      <c r="BV336" s="41" t="str">
        <f>IF(ISBLANK('Paste Full'!CH336),"",'Paste Full'!CH336)</f>
        <v/>
      </c>
    </row>
    <row r="337" spans="66:74" x14ac:dyDescent="0.3">
      <c r="BN337" s="41" t="str">
        <f>IF(ISBLANK('Paste Full'!BZ337),"",'Paste Full'!BZ337)</f>
        <v/>
      </c>
      <c r="BO337" s="41" t="str">
        <f>IF(ISBLANK('Paste Full'!CA337),"",'Paste Full'!CA337)</f>
        <v/>
      </c>
      <c r="BP337" s="41" t="str">
        <f>IF(ISBLANK('Paste Full'!CB337),"",'Paste Full'!CB337)</f>
        <v/>
      </c>
      <c r="BQ337" s="41" t="str">
        <f>IF(ISBLANK('Paste Full'!CC337),"",'Paste Full'!CC337)</f>
        <v/>
      </c>
      <c r="BR337" s="41" t="str">
        <f>IF(ISBLANK('Paste Full'!CD337),"",'Paste Full'!CD337)</f>
        <v/>
      </c>
      <c r="BS337" s="41" t="str">
        <f>IF(ISBLANK('Paste Full'!CE337),"",'Paste Full'!CE337)</f>
        <v/>
      </c>
      <c r="BT337" s="41" t="str">
        <f>IF(ISBLANK('Paste Full'!CF337),"",'Paste Full'!CF337)</f>
        <v/>
      </c>
      <c r="BU337" s="41" t="str">
        <f>IF(ISBLANK('Paste Full'!CG337),"",'Paste Full'!CG337)</f>
        <v/>
      </c>
      <c r="BV337" s="41" t="str">
        <f>IF(ISBLANK('Paste Full'!CH337),"",'Paste Full'!CH337)</f>
        <v/>
      </c>
    </row>
    <row r="338" spans="66:74" x14ac:dyDescent="0.3">
      <c r="BN338" s="41" t="str">
        <f>IF(ISBLANK('Paste Full'!BZ338),"",'Paste Full'!BZ338)</f>
        <v/>
      </c>
      <c r="BO338" s="41" t="str">
        <f>IF(ISBLANK('Paste Full'!CA338),"",'Paste Full'!CA338)</f>
        <v/>
      </c>
      <c r="BP338" s="41" t="str">
        <f>IF(ISBLANK('Paste Full'!CB338),"",'Paste Full'!CB338)</f>
        <v/>
      </c>
      <c r="BQ338" s="41" t="str">
        <f>IF(ISBLANK('Paste Full'!CC338),"",'Paste Full'!CC338)</f>
        <v/>
      </c>
      <c r="BR338" s="41" t="str">
        <f>IF(ISBLANK('Paste Full'!CD338),"",'Paste Full'!CD338)</f>
        <v/>
      </c>
      <c r="BS338" s="41" t="str">
        <f>IF(ISBLANK('Paste Full'!CE338),"",'Paste Full'!CE338)</f>
        <v/>
      </c>
      <c r="BT338" s="41" t="str">
        <f>IF(ISBLANK('Paste Full'!CF338),"",'Paste Full'!CF338)</f>
        <v/>
      </c>
      <c r="BU338" s="41" t="str">
        <f>IF(ISBLANK('Paste Full'!CG338),"",'Paste Full'!CG338)</f>
        <v/>
      </c>
      <c r="BV338" s="41" t="str">
        <f>IF(ISBLANK('Paste Full'!CH338),"",'Paste Full'!CH338)</f>
        <v/>
      </c>
    </row>
    <row r="339" spans="66:74" x14ac:dyDescent="0.3">
      <c r="BN339" s="41" t="str">
        <f>IF(ISBLANK('Paste Full'!BZ339),"",'Paste Full'!BZ339)</f>
        <v/>
      </c>
      <c r="BO339" s="41" t="str">
        <f>IF(ISBLANK('Paste Full'!CA339),"",'Paste Full'!CA339)</f>
        <v/>
      </c>
      <c r="BP339" s="41" t="str">
        <f>IF(ISBLANK('Paste Full'!CB339),"",'Paste Full'!CB339)</f>
        <v/>
      </c>
      <c r="BQ339" s="41" t="str">
        <f>IF(ISBLANK('Paste Full'!CC339),"",'Paste Full'!CC339)</f>
        <v/>
      </c>
      <c r="BR339" s="41" t="str">
        <f>IF(ISBLANK('Paste Full'!CD339),"",'Paste Full'!CD339)</f>
        <v/>
      </c>
      <c r="BS339" s="41" t="str">
        <f>IF(ISBLANK('Paste Full'!CE339),"",'Paste Full'!CE339)</f>
        <v/>
      </c>
      <c r="BT339" s="41" t="str">
        <f>IF(ISBLANK('Paste Full'!CF339),"",'Paste Full'!CF339)</f>
        <v/>
      </c>
      <c r="BU339" s="41" t="str">
        <f>IF(ISBLANK('Paste Full'!CG339),"",'Paste Full'!CG339)</f>
        <v/>
      </c>
      <c r="BV339" s="41" t="str">
        <f>IF(ISBLANK('Paste Full'!CH339),"",'Paste Full'!CH339)</f>
        <v/>
      </c>
    </row>
    <row r="340" spans="66:74" x14ac:dyDescent="0.3">
      <c r="BN340" s="41" t="str">
        <f>IF(ISBLANK('Paste Full'!BZ340),"",'Paste Full'!BZ340)</f>
        <v/>
      </c>
      <c r="BO340" s="41" t="str">
        <f>IF(ISBLANK('Paste Full'!CA340),"",'Paste Full'!CA340)</f>
        <v/>
      </c>
      <c r="BP340" s="41" t="str">
        <f>IF(ISBLANK('Paste Full'!CB340),"",'Paste Full'!CB340)</f>
        <v/>
      </c>
      <c r="BQ340" s="41" t="str">
        <f>IF(ISBLANK('Paste Full'!CC340),"",'Paste Full'!CC340)</f>
        <v/>
      </c>
      <c r="BR340" s="41" t="str">
        <f>IF(ISBLANK('Paste Full'!CD340),"",'Paste Full'!CD340)</f>
        <v/>
      </c>
      <c r="BS340" s="41" t="str">
        <f>IF(ISBLANK('Paste Full'!CE340),"",'Paste Full'!CE340)</f>
        <v/>
      </c>
      <c r="BT340" s="41" t="str">
        <f>IF(ISBLANK('Paste Full'!CF340),"",'Paste Full'!CF340)</f>
        <v/>
      </c>
      <c r="BU340" s="41" t="str">
        <f>IF(ISBLANK('Paste Full'!CG340),"",'Paste Full'!CG340)</f>
        <v/>
      </c>
      <c r="BV340" s="41" t="str">
        <f>IF(ISBLANK('Paste Full'!CH340),"",'Paste Full'!CH340)</f>
        <v/>
      </c>
    </row>
    <row r="341" spans="66:74" x14ac:dyDescent="0.3">
      <c r="BN341" s="41" t="str">
        <f>IF(ISBLANK('Paste Full'!BZ341),"",'Paste Full'!BZ341)</f>
        <v/>
      </c>
      <c r="BO341" s="41" t="str">
        <f>IF(ISBLANK('Paste Full'!CA341),"",'Paste Full'!CA341)</f>
        <v/>
      </c>
      <c r="BP341" s="41" t="str">
        <f>IF(ISBLANK('Paste Full'!CB341),"",'Paste Full'!CB341)</f>
        <v/>
      </c>
      <c r="BQ341" s="41" t="str">
        <f>IF(ISBLANK('Paste Full'!CC341),"",'Paste Full'!CC341)</f>
        <v/>
      </c>
      <c r="BR341" s="41" t="str">
        <f>IF(ISBLANK('Paste Full'!CD341),"",'Paste Full'!CD341)</f>
        <v/>
      </c>
      <c r="BS341" s="41" t="str">
        <f>IF(ISBLANK('Paste Full'!CE341),"",'Paste Full'!CE341)</f>
        <v/>
      </c>
      <c r="BT341" s="41" t="str">
        <f>IF(ISBLANK('Paste Full'!CF341),"",'Paste Full'!CF341)</f>
        <v/>
      </c>
      <c r="BU341" s="41" t="str">
        <f>IF(ISBLANK('Paste Full'!CG341),"",'Paste Full'!CG341)</f>
        <v/>
      </c>
      <c r="BV341" s="41" t="str">
        <f>IF(ISBLANK('Paste Full'!CH341),"",'Paste Full'!CH341)</f>
        <v/>
      </c>
    </row>
    <row r="342" spans="66:74" x14ac:dyDescent="0.3">
      <c r="BN342" s="41" t="str">
        <f>IF(ISBLANK('Paste Full'!BZ342),"",'Paste Full'!BZ342)</f>
        <v/>
      </c>
      <c r="BO342" s="41" t="str">
        <f>IF(ISBLANK('Paste Full'!CA342),"",'Paste Full'!CA342)</f>
        <v/>
      </c>
      <c r="BP342" s="41" t="str">
        <f>IF(ISBLANK('Paste Full'!CB342),"",'Paste Full'!CB342)</f>
        <v/>
      </c>
      <c r="BQ342" s="41" t="str">
        <f>IF(ISBLANK('Paste Full'!CC342),"",'Paste Full'!CC342)</f>
        <v/>
      </c>
      <c r="BR342" s="41" t="str">
        <f>IF(ISBLANK('Paste Full'!CD342),"",'Paste Full'!CD342)</f>
        <v/>
      </c>
      <c r="BS342" s="41" t="str">
        <f>IF(ISBLANK('Paste Full'!CE342),"",'Paste Full'!CE342)</f>
        <v/>
      </c>
      <c r="BT342" s="41" t="str">
        <f>IF(ISBLANK('Paste Full'!CF342),"",'Paste Full'!CF342)</f>
        <v/>
      </c>
      <c r="BU342" s="41" t="str">
        <f>IF(ISBLANK('Paste Full'!CG342),"",'Paste Full'!CG342)</f>
        <v/>
      </c>
      <c r="BV342" s="41" t="str">
        <f>IF(ISBLANK('Paste Full'!CH342),"",'Paste Full'!CH342)</f>
        <v/>
      </c>
    </row>
    <row r="343" spans="66:74" x14ac:dyDescent="0.3">
      <c r="BN343" s="41" t="str">
        <f>IF(ISBLANK('Paste Full'!BZ343),"",'Paste Full'!BZ343)</f>
        <v/>
      </c>
      <c r="BO343" s="41" t="str">
        <f>IF(ISBLANK('Paste Full'!CA343),"",'Paste Full'!CA343)</f>
        <v/>
      </c>
      <c r="BP343" s="41" t="str">
        <f>IF(ISBLANK('Paste Full'!CB343),"",'Paste Full'!CB343)</f>
        <v/>
      </c>
      <c r="BQ343" s="41" t="str">
        <f>IF(ISBLANK('Paste Full'!CC343),"",'Paste Full'!CC343)</f>
        <v/>
      </c>
      <c r="BR343" s="41" t="str">
        <f>IF(ISBLANK('Paste Full'!CD343),"",'Paste Full'!CD343)</f>
        <v/>
      </c>
      <c r="BS343" s="41" t="str">
        <f>IF(ISBLANK('Paste Full'!CE343),"",'Paste Full'!CE343)</f>
        <v/>
      </c>
      <c r="BT343" s="41" t="str">
        <f>IF(ISBLANK('Paste Full'!CF343),"",'Paste Full'!CF343)</f>
        <v/>
      </c>
      <c r="BU343" s="41" t="str">
        <f>IF(ISBLANK('Paste Full'!CG343),"",'Paste Full'!CG343)</f>
        <v/>
      </c>
      <c r="BV343" s="41" t="str">
        <f>IF(ISBLANK('Paste Full'!CH343),"",'Paste Full'!CH343)</f>
        <v/>
      </c>
    </row>
    <row r="344" spans="66:74" x14ac:dyDescent="0.3">
      <c r="BN344" s="41" t="str">
        <f>IF(ISBLANK('Paste Full'!BZ344),"",'Paste Full'!BZ344)</f>
        <v/>
      </c>
      <c r="BO344" s="41" t="str">
        <f>IF(ISBLANK('Paste Full'!CA344),"",'Paste Full'!CA344)</f>
        <v/>
      </c>
      <c r="BP344" s="41" t="str">
        <f>IF(ISBLANK('Paste Full'!CB344),"",'Paste Full'!CB344)</f>
        <v/>
      </c>
      <c r="BQ344" s="41" t="str">
        <f>IF(ISBLANK('Paste Full'!CC344),"",'Paste Full'!CC344)</f>
        <v/>
      </c>
      <c r="BR344" s="41" t="str">
        <f>IF(ISBLANK('Paste Full'!CD344),"",'Paste Full'!CD344)</f>
        <v/>
      </c>
      <c r="BS344" s="41" t="str">
        <f>IF(ISBLANK('Paste Full'!CE344),"",'Paste Full'!CE344)</f>
        <v/>
      </c>
      <c r="BT344" s="41" t="str">
        <f>IF(ISBLANK('Paste Full'!CF344),"",'Paste Full'!CF344)</f>
        <v/>
      </c>
      <c r="BU344" s="41" t="str">
        <f>IF(ISBLANK('Paste Full'!CG344),"",'Paste Full'!CG344)</f>
        <v/>
      </c>
      <c r="BV344" s="41" t="str">
        <f>IF(ISBLANK('Paste Full'!CH344),"",'Paste Full'!CH344)</f>
        <v/>
      </c>
    </row>
    <row r="345" spans="66:74" x14ac:dyDescent="0.3">
      <c r="BN345" s="41" t="str">
        <f>IF(ISBLANK('Paste Full'!BZ345),"",'Paste Full'!BZ345)</f>
        <v/>
      </c>
      <c r="BO345" s="41" t="str">
        <f>IF(ISBLANK('Paste Full'!CA345),"",'Paste Full'!CA345)</f>
        <v/>
      </c>
      <c r="BP345" s="41" t="str">
        <f>IF(ISBLANK('Paste Full'!CB345),"",'Paste Full'!CB345)</f>
        <v/>
      </c>
      <c r="BQ345" s="41" t="str">
        <f>IF(ISBLANK('Paste Full'!CC345),"",'Paste Full'!CC345)</f>
        <v/>
      </c>
      <c r="BR345" s="41" t="str">
        <f>IF(ISBLANK('Paste Full'!CD345),"",'Paste Full'!CD345)</f>
        <v/>
      </c>
      <c r="BS345" s="41" t="str">
        <f>IF(ISBLANK('Paste Full'!CE345),"",'Paste Full'!CE345)</f>
        <v/>
      </c>
      <c r="BT345" s="41" t="str">
        <f>IF(ISBLANK('Paste Full'!CF345),"",'Paste Full'!CF345)</f>
        <v/>
      </c>
      <c r="BU345" s="41" t="str">
        <f>IF(ISBLANK('Paste Full'!CG345),"",'Paste Full'!CG345)</f>
        <v/>
      </c>
      <c r="BV345" s="41" t="str">
        <f>IF(ISBLANK('Paste Full'!CH345),"",'Paste Full'!CH345)</f>
        <v/>
      </c>
    </row>
    <row r="346" spans="66:74" x14ac:dyDescent="0.3">
      <c r="BN346" s="41" t="str">
        <f>IF(ISBLANK('Paste Full'!BZ346),"",'Paste Full'!BZ346)</f>
        <v/>
      </c>
      <c r="BO346" s="41" t="str">
        <f>IF(ISBLANK('Paste Full'!CA346),"",'Paste Full'!CA346)</f>
        <v/>
      </c>
      <c r="BP346" s="41" t="str">
        <f>IF(ISBLANK('Paste Full'!CB346),"",'Paste Full'!CB346)</f>
        <v/>
      </c>
      <c r="BQ346" s="41" t="str">
        <f>IF(ISBLANK('Paste Full'!CC346),"",'Paste Full'!CC346)</f>
        <v/>
      </c>
      <c r="BR346" s="41" t="str">
        <f>IF(ISBLANK('Paste Full'!CD346),"",'Paste Full'!CD346)</f>
        <v/>
      </c>
      <c r="BS346" s="41" t="str">
        <f>IF(ISBLANK('Paste Full'!CE346),"",'Paste Full'!CE346)</f>
        <v/>
      </c>
      <c r="BT346" s="41" t="str">
        <f>IF(ISBLANK('Paste Full'!CF346),"",'Paste Full'!CF346)</f>
        <v/>
      </c>
      <c r="BU346" s="41" t="str">
        <f>IF(ISBLANK('Paste Full'!CG346),"",'Paste Full'!CG346)</f>
        <v/>
      </c>
      <c r="BV346" s="41" t="str">
        <f>IF(ISBLANK('Paste Full'!CH346),"",'Paste Full'!CH346)</f>
        <v/>
      </c>
    </row>
    <row r="347" spans="66:74" x14ac:dyDescent="0.3">
      <c r="BN347" s="41" t="str">
        <f>IF(ISBLANK('Paste Full'!BZ347),"",'Paste Full'!BZ347)</f>
        <v/>
      </c>
      <c r="BO347" s="41" t="str">
        <f>IF(ISBLANK('Paste Full'!CA347),"",'Paste Full'!CA347)</f>
        <v/>
      </c>
      <c r="BP347" s="41" t="str">
        <f>IF(ISBLANK('Paste Full'!CB347),"",'Paste Full'!CB347)</f>
        <v/>
      </c>
      <c r="BQ347" s="41" t="str">
        <f>IF(ISBLANK('Paste Full'!CC347),"",'Paste Full'!CC347)</f>
        <v/>
      </c>
      <c r="BR347" s="41" t="str">
        <f>IF(ISBLANK('Paste Full'!CD347),"",'Paste Full'!CD347)</f>
        <v/>
      </c>
      <c r="BS347" s="41" t="str">
        <f>IF(ISBLANK('Paste Full'!CE347),"",'Paste Full'!CE347)</f>
        <v/>
      </c>
      <c r="BT347" s="41" t="str">
        <f>IF(ISBLANK('Paste Full'!CF347),"",'Paste Full'!CF347)</f>
        <v/>
      </c>
      <c r="BU347" s="41" t="str">
        <f>IF(ISBLANK('Paste Full'!CG347),"",'Paste Full'!CG347)</f>
        <v/>
      </c>
      <c r="BV347" s="41" t="str">
        <f>IF(ISBLANK('Paste Full'!CH347),"",'Paste Full'!CH347)</f>
        <v/>
      </c>
    </row>
    <row r="348" spans="66:74" x14ac:dyDescent="0.3">
      <c r="BN348" s="41" t="str">
        <f>IF(ISBLANK('Paste Full'!BZ348),"",'Paste Full'!BZ348)</f>
        <v/>
      </c>
      <c r="BO348" s="41" t="str">
        <f>IF(ISBLANK('Paste Full'!CA348),"",'Paste Full'!CA348)</f>
        <v/>
      </c>
      <c r="BP348" s="41" t="str">
        <f>IF(ISBLANK('Paste Full'!CB348),"",'Paste Full'!CB348)</f>
        <v/>
      </c>
      <c r="BQ348" s="41" t="str">
        <f>IF(ISBLANK('Paste Full'!CC348),"",'Paste Full'!CC348)</f>
        <v/>
      </c>
      <c r="BR348" s="41" t="str">
        <f>IF(ISBLANK('Paste Full'!CD348),"",'Paste Full'!CD348)</f>
        <v/>
      </c>
      <c r="BS348" s="41" t="str">
        <f>IF(ISBLANK('Paste Full'!CE348),"",'Paste Full'!CE348)</f>
        <v/>
      </c>
      <c r="BT348" s="41" t="str">
        <f>IF(ISBLANK('Paste Full'!CF348),"",'Paste Full'!CF348)</f>
        <v/>
      </c>
      <c r="BU348" s="41" t="str">
        <f>IF(ISBLANK('Paste Full'!CG348),"",'Paste Full'!CG348)</f>
        <v/>
      </c>
      <c r="BV348" s="41" t="str">
        <f>IF(ISBLANK('Paste Full'!CH348),"",'Paste Full'!CH348)</f>
        <v/>
      </c>
    </row>
    <row r="349" spans="66:74" x14ac:dyDescent="0.3">
      <c r="BN349" s="41" t="str">
        <f>IF(ISBLANK('Paste Full'!BZ349),"",'Paste Full'!BZ349)</f>
        <v/>
      </c>
      <c r="BO349" s="41" t="str">
        <f>IF(ISBLANK('Paste Full'!CA349),"",'Paste Full'!CA349)</f>
        <v/>
      </c>
      <c r="BP349" s="41" t="str">
        <f>IF(ISBLANK('Paste Full'!CB349),"",'Paste Full'!CB349)</f>
        <v/>
      </c>
      <c r="BQ349" s="41" t="str">
        <f>IF(ISBLANK('Paste Full'!CC349),"",'Paste Full'!CC349)</f>
        <v/>
      </c>
      <c r="BR349" s="41" t="str">
        <f>IF(ISBLANK('Paste Full'!CD349),"",'Paste Full'!CD349)</f>
        <v/>
      </c>
      <c r="BS349" s="41" t="str">
        <f>IF(ISBLANK('Paste Full'!CE349),"",'Paste Full'!CE349)</f>
        <v/>
      </c>
      <c r="BT349" s="41" t="str">
        <f>IF(ISBLANK('Paste Full'!CF349),"",'Paste Full'!CF349)</f>
        <v/>
      </c>
      <c r="BU349" s="41" t="str">
        <f>IF(ISBLANK('Paste Full'!CG349),"",'Paste Full'!CG349)</f>
        <v/>
      </c>
      <c r="BV349" s="41" t="str">
        <f>IF(ISBLANK('Paste Full'!CH349),"",'Paste Full'!CH349)</f>
        <v/>
      </c>
    </row>
    <row r="350" spans="66:74" x14ac:dyDescent="0.3">
      <c r="BN350" s="41" t="str">
        <f>IF(ISBLANK('Paste Full'!BZ350),"",'Paste Full'!BZ350)</f>
        <v/>
      </c>
      <c r="BO350" s="41" t="str">
        <f>IF(ISBLANK('Paste Full'!CA350),"",'Paste Full'!CA350)</f>
        <v/>
      </c>
      <c r="BP350" s="41" t="str">
        <f>IF(ISBLANK('Paste Full'!CB350),"",'Paste Full'!CB350)</f>
        <v/>
      </c>
      <c r="BQ350" s="41" t="str">
        <f>IF(ISBLANK('Paste Full'!CC350),"",'Paste Full'!CC350)</f>
        <v/>
      </c>
      <c r="BR350" s="41" t="str">
        <f>IF(ISBLANK('Paste Full'!CD350),"",'Paste Full'!CD350)</f>
        <v/>
      </c>
      <c r="BS350" s="41" t="str">
        <f>IF(ISBLANK('Paste Full'!CE350),"",'Paste Full'!CE350)</f>
        <v/>
      </c>
      <c r="BT350" s="41" t="str">
        <f>IF(ISBLANK('Paste Full'!CF350),"",'Paste Full'!CF350)</f>
        <v/>
      </c>
      <c r="BU350" s="41" t="str">
        <f>IF(ISBLANK('Paste Full'!CG350),"",'Paste Full'!CG350)</f>
        <v/>
      </c>
      <c r="BV350" s="41" t="str">
        <f>IF(ISBLANK('Paste Full'!CH350),"",'Paste Full'!CH350)</f>
        <v/>
      </c>
    </row>
    <row r="351" spans="66:74" x14ac:dyDescent="0.3">
      <c r="BN351" s="41" t="str">
        <f>IF(ISBLANK('Paste Full'!BZ351),"",'Paste Full'!BZ351)</f>
        <v/>
      </c>
      <c r="BO351" s="41" t="str">
        <f>IF(ISBLANK('Paste Full'!CA351),"",'Paste Full'!CA351)</f>
        <v/>
      </c>
      <c r="BP351" s="41" t="str">
        <f>IF(ISBLANK('Paste Full'!CB351),"",'Paste Full'!CB351)</f>
        <v/>
      </c>
      <c r="BQ351" s="41" t="str">
        <f>IF(ISBLANK('Paste Full'!CC351),"",'Paste Full'!CC351)</f>
        <v/>
      </c>
      <c r="BR351" s="41" t="str">
        <f>IF(ISBLANK('Paste Full'!CD351),"",'Paste Full'!CD351)</f>
        <v/>
      </c>
      <c r="BS351" s="41" t="str">
        <f>IF(ISBLANK('Paste Full'!CE351),"",'Paste Full'!CE351)</f>
        <v/>
      </c>
      <c r="BT351" s="41" t="str">
        <f>IF(ISBLANK('Paste Full'!CF351),"",'Paste Full'!CF351)</f>
        <v/>
      </c>
      <c r="BU351" s="41" t="str">
        <f>IF(ISBLANK('Paste Full'!CG351),"",'Paste Full'!CG351)</f>
        <v/>
      </c>
      <c r="BV351" s="41" t="str">
        <f>IF(ISBLANK('Paste Full'!CH351),"",'Paste Full'!CH351)</f>
        <v/>
      </c>
    </row>
    <row r="352" spans="66:74" x14ac:dyDescent="0.3">
      <c r="BN352" s="41" t="str">
        <f>IF(ISBLANK('Paste Full'!BZ352),"",'Paste Full'!BZ352)</f>
        <v/>
      </c>
      <c r="BO352" s="41" t="str">
        <f>IF(ISBLANK('Paste Full'!CA352),"",'Paste Full'!CA352)</f>
        <v/>
      </c>
      <c r="BP352" s="41" t="str">
        <f>IF(ISBLANK('Paste Full'!CB352),"",'Paste Full'!CB352)</f>
        <v/>
      </c>
      <c r="BQ352" s="41" t="str">
        <f>IF(ISBLANK('Paste Full'!CC352),"",'Paste Full'!CC352)</f>
        <v/>
      </c>
      <c r="BR352" s="41" t="str">
        <f>IF(ISBLANK('Paste Full'!CD352),"",'Paste Full'!CD352)</f>
        <v/>
      </c>
      <c r="BS352" s="41" t="str">
        <f>IF(ISBLANK('Paste Full'!CE352),"",'Paste Full'!CE352)</f>
        <v/>
      </c>
      <c r="BT352" s="41" t="str">
        <f>IF(ISBLANK('Paste Full'!CF352),"",'Paste Full'!CF352)</f>
        <v/>
      </c>
      <c r="BU352" s="41" t="str">
        <f>IF(ISBLANK('Paste Full'!CG352),"",'Paste Full'!CG352)</f>
        <v/>
      </c>
      <c r="BV352" s="41" t="str">
        <f>IF(ISBLANK('Paste Full'!CH352),"",'Paste Full'!CH352)</f>
        <v/>
      </c>
    </row>
    <row r="353" spans="66:74" x14ac:dyDescent="0.3">
      <c r="BN353" s="41" t="str">
        <f>IF(ISBLANK('Paste Full'!BZ353),"",'Paste Full'!BZ353)</f>
        <v/>
      </c>
      <c r="BO353" s="41" t="str">
        <f>IF(ISBLANK('Paste Full'!CA353),"",'Paste Full'!CA353)</f>
        <v/>
      </c>
      <c r="BP353" s="41" t="str">
        <f>IF(ISBLANK('Paste Full'!CB353),"",'Paste Full'!CB353)</f>
        <v/>
      </c>
      <c r="BQ353" s="41" t="str">
        <f>IF(ISBLANK('Paste Full'!CC353),"",'Paste Full'!CC353)</f>
        <v/>
      </c>
      <c r="BR353" s="41" t="str">
        <f>IF(ISBLANK('Paste Full'!CD353),"",'Paste Full'!CD353)</f>
        <v/>
      </c>
      <c r="BS353" s="41" t="str">
        <f>IF(ISBLANK('Paste Full'!CE353),"",'Paste Full'!CE353)</f>
        <v/>
      </c>
      <c r="BT353" s="41" t="str">
        <f>IF(ISBLANK('Paste Full'!CF353),"",'Paste Full'!CF353)</f>
        <v/>
      </c>
      <c r="BU353" s="41" t="str">
        <f>IF(ISBLANK('Paste Full'!CG353),"",'Paste Full'!CG353)</f>
        <v/>
      </c>
      <c r="BV353" s="41" t="str">
        <f>IF(ISBLANK('Paste Full'!CH353),"",'Paste Full'!CH353)</f>
        <v/>
      </c>
    </row>
    <row r="354" spans="66:74" x14ac:dyDescent="0.3">
      <c r="BN354" s="41" t="str">
        <f>IF(ISBLANK('Paste Full'!BZ354),"",'Paste Full'!BZ354)</f>
        <v/>
      </c>
      <c r="BO354" s="41" t="str">
        <f>IF(ISBLANK('Paste Full'!CA354),"",'Paste Full'!CA354)</f>
        <v/>
      </c>
      <c r="BP354" s="41" t="str">
        <f>IF(ISBLANK('Paste Full'!CB354),"",'Paste Full'!CB354)</f>
        <v/>
      </c>
      <c r="BQ354" s="41" t="str">
        <f>IF(ISBLANK('Paste Full'!CC354),"",'Paste Full'!CC354)</f>
        <v/>
      </c>
      <c r="BR354" s="41" t="str">
        <f>IF(ISBLANK('Paste Full'!CD354),"",'Paste Full'!CD354)</f>
        <v/>
      </c>
      <c r="BS354" s="41" t="str">
        <f>IF(ISBLANK('Paste Full'!CE354),"",'Paste Full'!CE354)</f>
        <v/>
      </c>
      <c r="BT354" s="41" t="str">
        <f>IF(ISBLANK('Paste Full'!CF354),"",'Paste Full'!CF354)</f>
        <v/>
      </c>
      <c r="BU354" s="41" t="str">
        <f>IF(ISBLANK('Paste Full'!CG354),"",'Paste Full'!CG354)</f>
        <v/>
      </c>
      <c r="BV354" s="41" t="str">
        <f>IF(ISBLANK('Paste Full'!CH354),"",'Paste Full'!CH354)</f>
        <v/>
      </c>
    </row>
    <row r="355" spans="66:74" x14ac:dyDescent="0.3">
      <c r="BN355" s="41" t="str">
        <f>IF(ISBLANK('Paste Full'!BZ355),"",'Paste Full'!BZ355)</f>
        <v/>
      </c>
      <c r="BO355" s="41" t="str">
        <f>IF(ISBLANK('Paste Full'!CA355),"",'Paste Full'!CA355)</f>
        <v/>
      </c>
      <c r="BP355" s="41" t="str">
        <f>IF(ISBLANK('Paste Full'!CB355),"",'Paste Full'!CB355)</f>
        <v/>
      </c>
      <c r="BQ355" s="41" t="str">
        <f>IF(ISBLANK('Paste Full'!CC355),"",'Paste Full'!CC355)</f>
        <v/>
      </c>
      <c r="BR355" s="41" t="str">
        <f>IF(ISBLANK('Paste Full'!CD355),"",'Paste Full'!CD355)</f>
        <v/>
      </c>
      <c r="BS355" s="41" t="str">
        <f>IF(ISBLANK('Paste Full'!CE355),"",'Paste Full'!CE355)</f>
        <v/>
      </c>
      <c r="BT355" s="41" t="str">
        <f>IF(ISBLANK('Paste Full'!CF355),"",'Paste Full'!CF355)</f>
        <v/>
      </c>
      <c r="BU355" s="41" t="str">
        <f>IF(ISBLANK('Paste Full'!CG355),"",'Paste Full'!CG355)</f>
        <v/>
      </c>
      <c r="BV355" s="41" t="str">
        <f>IF(ISBLANK('Paste Full'!CH355),"",'Paste Full'!CH355)</f>
        <v/>
      </c>
    </row>
    <row r="356" spans="66:74" x14ac:dyDescent="0.3">
      <c r="BN356" s="41" t="str">
        <f>IF(ISBLANK('Paste Full'!BZ356),"",'Paste Full'!BZ356)</f>
        <v/>
      </c>
      <c r="BO356" s="41" t="str">
        <f>IF(ISBLANK('Paste Full'!CA356),"",'Paste Full'!CA356)</f>
        <v/>
      </c>
      <c r="BP356" s="41" t="str">
        <f>IF(ISBLANK('Paste Full'!CB356),"",'Paste Full'!CB356)</f>
        <v/>
      </c>
      <c r="BQ356" s="41" t="str">
        <f>IF(ISBLANK('Paste Full'!CC356),"",'Paste Full'!CC356)</f>
        <v/>
      </c>
      <c r="BR356" s="41" t="str">
        <f>IF(ISBLANK('Paste Full'!CD356),"",'Paste Full'!CD356)</f>
        <v/>
      </c>
      <c r="BS356" s="41" t="str">
        <f>IF(ISBLANK('Paste Full'!CE356),"",'Paste Full'!CE356)</f>
        <v/>
      </c>
      <c r="BT356" s="41" t="str">
        <f>IF(ISBLANK('Paste Full'!CF356),"",'Paste Full'!CF356)</f>
        <v/>
      </c>
      <c r="BU356" s="41" t="str">
        <f>IF(ISBLANK('Paste Full'!CG356),"",'Paste Full'!CG356)</f>
        <v/>
      </c>
      <c r="BV356" s="41" t="str">
        <f>IF(ISBLANK('Paste Full'!CH356),"",'Paste Full'!CH356)</f>
        <v/>
      </c>
    </row>
    <row r="357" spans="66:74" x14ac:dyDescent="0.3">
      <c r="BN357" s="41" t="str">
        <f>IF(ISBLANK('Paste Full'!BZ357),"",'Paste Full'!BZ357)</f>
        <v/>
      </c>
      <c r="BO357" s="41" t="str">
        <f>IF(ISBLANK('Paste Full'!CA357),"",'Paste Full'!CA357)</f>
        <v/>
      </c>
      <c r="BP357" s="41" t="str">
        <f>IF(ISBLANK('Paste Full'!CB357),"",'Paste Full'!CB357)</f>
        <v/>
      </c>
      <c r="BQ357" s="41" t="str">
        <f>IF(ISBLANK('Paste Full'!CC357),"",'Paste Full'!CC357)</f>
        <v/>
      </c>
      <c r="BR357" s="41" t="str">
        <f>IF(ISBLANK('Paste Full'!CD357),"",'Paste Full'!CD357)</f>
        <v/>
      </c>
      <c r="BS357" s="41" t="str">
        <f>IF(ISBLANK('Paste Full'!CE357),"",'Paste Full'!CE357)</f>
        <v/>
      </c>
      <c r="BT357" s="41" t="str">
        <f>IF(ISBLANK('Paste Full'!CF357),"",'Paste Full'!CF357)</f>
        <v/>
      </c>
      <c r="BU357" s="41" t="str">
        <f>IF(ISBLANK('Paste Full'!CG357),"",'Paste Full'!CG357)</f>
        <v/>
      </c>
      <c r="BV357" s="41" t="str">
        <f>IF(ISBLANK('Paste Full'!CH357),"",'Paste Full'!CH357)</f>
        <v/>
      </c>
    </row>
    <row r="358" spans="66:74" x14ac:dyDescent="0.3">
      <c r="BN358" s="41" t="str">
        <f>IF(ISBLANK('Paste Full'!BZ358),"",'Paste Full'!BZ358)</f>
        <v/>
      </c>
      <c r="BO358" s="41" t="str">
        <f>IF(ISBLANK('Paste Full'!CA358),"",'Paste Full'!CA358)</f>
        <v/>
      </c>
      <c r="BP358" s="41" t="str">
        <f>IF(ISBLANK('Paste Full'!CB358),"",'Paste Full'!CB358)</f>
        <v/>
      </c>
      <c r="BQ358" s="41" t="str">
        <f>IF(ISBLANK('Paste Full'!CC358),"",'Paste Full'!CC358)</f>
        <v/>
      </c>
      <c r="BR358" s="41" t="str">
        <f>IF(ISBLANK('Paste Full'!CD358),"",'Paste Full'!CD358)</f>
        <v/>
      </c>
      <c r="BS358" s="41" t="str">
        <f>IF(ISBLANK('Paste Full'!CE358),"",'Paste Full'!CE358)</f>
        <v/>
      </c>
      <c r="BT358" s="41" t="str">
        <f>IF(ISBLANK('Paste Full'!CF358),"",'Paste Full'!CF358)</f>
        <v/>
      </c>
      <c r="BU358" s="41" t="str">
        <f>IF(ISBLANK('Paste Full'!CG358),"",'Paste Full'!CG358)</f>
        <v/>
      </c>
      <c r="BV358" s="41" t="str">
        <f>IF(ISBLANK('Paste Full'!CH358),"",'Paste Full'!CH358)</f>
        <v/>
      </c>
    </row>
    <row r="359" spans="66:74" x14ac:dyDescent="0.3">
      <c r="BN359" s="41" t="str">
        <f>IF(ISBLANK('Paste Full'!BZ359),"",'Paste Full'!BZ359)</f>
        <v/>
      </c>
      <c r="BO359" s="41" t="str">
        <f>IF(ISBLANK('Paste Full'!CA359),"",'Paste Full'!CA359)</f>
        <v/>
      </c>
      <c r="BP359" s="41" t="str">
        <f>IF(ISBLANK('Paste Full'!CB359),"",'Paste Full'!CB359)</f>
        <v/>
      </c>
      <c r="BQ359" s="41" t="str">
        <f>IF(ISBLANK('Paste Full'!CC359),"",'Paste Full'!CC359)</f>
        <v/>
      </c>
      <c r="BR359" s="41" t="str">
        <f>IF(ISBLANK('Paste Full'!CD359),"",'Paste Full'!CD359)</f>
        <v/>
      </c>
      <c r="BS359" s="41" t="str">
        <f>IF(ISBLANK('Paste Full'!CE359),"",'Paste Full'!CE359)</f>
        <v/>
      </c>
      <c r="BT359" s="41" t="str">
        <f>IF(ISBLANK('Paste Full'!CF359),"",'Paste Full'!CF359)</f>
        <v/>
      </c>
      <c r="BU359" s="41" t="str">
        <f>IF(ISBLANK('Paste Full'!CG359),"",'Paste Full'!CG359)</f>
        <v/>
      </c>
      <c r="BV359" s="41" t="str">
        <f>IF(ISBLANK('Paste Full'!CH359),"",'Paste Full'!CH359)</f>
        <v/>
      </c>
    </row>
    <row r="360" spans="66:74" x14ac:dyDescent="0.3">
      <c r="BN360" s="41" t="str">
        <f>IF(ISBLANK('Paste Full'!BZ360),"",'Paste Full'!BZ360)</f>
        <v/>
      </c>
      <c r="BO360" s="41" t="str">
        <f>IF(ISBLANK('Paste Full'!CA360),"",'Paste Full'!CA360)</f>
        <v/>
      </c>
      <c r="BP360" s="41" t="str">
        <f>IF(ISBLANK('Paste Full'!CB360),"",'Paste Full'!CB360)</f>
        <v/>
      </c>
      <c r="BQ360" s="41" t="str">
        <f>IF(ISBLANK('Paste Full'!CC360),"",'Paste Full'!CC360)</f>
        <v/>
      </c>
      <c r="BR360" s="41" t="str">
        <f>IF(ISBLANK('Paste Full'!CD360),"",'Paste Full'!CD360)</f>
        <v/>
      </c>
      <c r="BS360" s="41" t="str">
        <f>IF(ISBLANK('Paste Full'!CE360),"",'Paste Full'!CE360)</f>
        <v/>
      </c>
      <c r="BT360" s="41" t="str">
        <f>IF(ISBLANK('Paste Full'!CF360),"",'Paste Full'!CF360)</f>
        <v/>
      </c>
      <c r="BU360" s="41" t="str">
        <f>IF(ISBLANK('Paste Full'!CG360),"",'Paste Full'!CG360)</f>
        <v/>
      </c>
      <c r="BV360" s="41" t="str">
        <f>IF(ISBLANK('Paste Full'!CH360),"",'Paste Full'!CH360)</f>
        <v/>
      </c>
    </row>
    <row r="361" spans="66:74" x14ac:dyDescent="0.3">
      <c r="BN361" s="41" t="str">
        <f>IF(ISBLANK('Paste Full'!BZ361),"",'Paste Full'!BZ361)</f>
        <v/>
      </c>
      <c r="BO361" s="41" t="str">
        <f>IF(ISBLANK('Paste Full'!CA361),"",'Paste Full'!CA361)</f>
        <v/>
      </c>
      <c r="BP361" s="41" t="str">
        <f>IF(ISBLANK('Paste Full'!CB361),"",'Paste Full'!CB361)</f>
        <v/>
      </c>
      <c r="BQ361" s="41" t="str">
        <f>IF(ISBLANK('Paste Full'!CC361),"",'Paste Full'!CC361)</f>
        <v/>
      </c>
      <c r="BR361" s="41" t="str">
        <f>IF(ISBLANK('Paste Full'!CD361),"",'Paste Full'!CD361)</f>
        <v/>
      </c>
      <c r="BS361" s="41" t="str">
        <f>IF(ISBLANK('Paste Full'!CE361),"",'Paste Full'!CE361)</f>
        <v/>
      </c>
      <c r="BT361" s="41" t="str">
        <f>IF(ISBLANK('Paste Full'!CF361),"",'Paste Full'!CF361)</f>
        <v/>
      </c>
      <c r="BU361" s="41" t="str">
        <f>IF(ISBLANK('Paste Full'!CG361),"",'Paste Full'!CG361)</f>
        <v/>
      </c>
      <c r="BV361" s="41" t="str">
        <f>IF(ISBLANK('Paste Full'!CH361),"",'Paste Full'!CH361)</f>
        <v/>
      </c>
    </row>
    <row r="362" spans="66:74" x14ac:dyDescent="0.3">
      <c r="BN362" s="41" t="str">
        <f>IF(ISBLANK('Paste Full'!BZ362),"",'Paste Full'!BZ362)</f>
        <v/>
      </c>
      <c r="BO362" s="41" t="str">
        <f>IF(ISBLANK('Paste Full'!CA362),"",'Paste Full'!CA362)</f>
        <v/>
      </c>
      <c r="BP362" s="41" t="str">
        <f>IF(ISBLANK('Paste Full'!CB362),"",'Paste Full'!CB362)</f>
        <v/>
      </c>
      <c r="BQ362" s="41" t="str">
        <f>IF(ISBLANK('Paste Full'!CC362),"",'Paste Full'!CC362)</f>
        <v/>
      </c>
      <c r="BR362" s="41" t="str">
        <f>IF(ISBLANK('Paste Full'!CD362),"",'Paste Full'!CD362)</f>
        <v/>
      </c>
      <c r="BS362" s="41" t="str">
        <f>IF(ISBLANK('Paste Full'!CE362),"",'Paste Full'!CE362)</f>
        <v/>
      </c>
      <c r="BT362" s="41" t="str">
        <f>IF(ISBLANK('Paste Full'!CF362),"",'Paste Full'!CF362)</f>
        <v/>
      </c>
      <c r="BU362" s="41" t="str">
        <f>IF(ISBLANK('Paste Full'!CG362),"",'Paste Full'!CG362)</f>
        <v/>
      </c>
      <c r="BV362" s="41" t="str">
        <f>IF(ISBLANK('Paste Full'!CH362),"",'Paste Full'!CH362)</f>
        <v/>
      </c>
    </row>
    <row r="363" spans="66:74" x14ac:dyDescent="0.3">
      <c r="BN363" s="41" t="str">
        <f>IF(ISBLANK('Paste Full'!BZ363),"",'Paste Full'!BZ363)</f>
        <v/>
      </c>
      <c r="BO363" s="41" t="str">
        <f>IF(ISBLANK('Paste Full'!CA363),"",'Paste Full'!CA363)</f>
        <v/>
      </c>
      <c r="BP363" s="41" t="str">
        <f>IF(ISBLANK('Paste Full'!CB363),"",'Paste Full'!CB363)</f>
        <v/>
      </c>
      <c r="BQ363" s="41" t="str">
        <f>IF(ISBLANK('Paste Full'!CC363),"",'Paste Full'!CC363)</f>
        <v/>
      </c>
      <c r="BR363" s="41" t="str">
        <f>IF(ISBLANK('Paste Full'!CD363),"",'Paste Full'!CD363)</f>
        <v/>
      </c>
      <c r="BS363" s="41" t="str">
        <f>IF(ISBLANK('Paste Full'!CE363),"",'Paste Full'!CE363)</f>
        <v/>
      </c>
      <c r="BT363" s="41" t="str">
        <f>IF(ISBLANK('Paste Full'!CF363),"",'Paste Full'!CF363)</f>
        <v/>
      </c>
      <c r="BU363" s="41" t="str">
        <f>IF(ISBLANK('Paste Full'!CG363),"",'Paste Full'!CG363)</f>
        <v/>
      </c>
      <c r="BV363" s="41" t="str">
        <f>IF(ISBLANK('Paste Full'!CH363),"",'Paste Full'!CH363)</f>
        <v/>
      </c>
    </row>
    <row r="364" spans="66:74" x14ac:dyDescent="0.3">
      <c r="BN364" s="41" t="str">
        <f>IF(ISBLANK('Paste Full'!BZ364),"",'Paste Full'!BZ364)</f>
        <v/>
      </c>
      <c r="BO364" s="41" t="str">
        <f>IF(ISBLANK('Paste Full'!CA364),"",'Paste Full'!CA364)</f>
        <v/>
      </c>
      <c r="BP364" s="41" t="str">
        <f>IF(ISBLANK('Paste Full'!CB364),"",'Paste Full'!CB364)</f>
        <v/>
      </c>
      <c r="BQ364" s="41" t="str">
        <f>IF(ISBLANK('Paste Full'!CC364),"",'Paste Full'!CC364)</f>
        <v/>
      </c>
      <c r="BR364" s="41" t="str">
        <f>IF(ISBLANK('Paste Full'!CD364),"",'Paste Full'!CD364)</f>
        <v/>
      </c>
      <c r="BS364" s="41" t="str">
        <f>IF(ISBLANK('Paste Full'!CE364),"",'Paste Full'!CE364)</f>
        <v/>
      </c>
      <c r="BT364" s="41" t="str">
        <f>IF(ISBLANK('Paste Full'!CF364),"",'Paste Full'!CF364)</f>
        <v/>
      </c>
      <c r="BU364" s="41" t="str">
        <f>IF(ISBLANK('Paste Full'!CG364),"",'Paste Full'!CG364)</f>
        <v/>
      </c>
      <c r="BV364" s="41" t="str">
        <f>IF(ISBLANK('Paste Full'!CH364),"",'Paste Full'!CH364)</f>
        <v/>
      </c>
    </row>
    <row r="365" spans="66:74" x14ac:dyDescent="0.3">
      <c r="BN365" s="41" t="str">
        <f>IF(ISBLANK('Paste Full'!BZ365),"",'Paste Full'!BZ365)</f>
        <v/>
      </c>
      <c r="BO365" s="41" t="str">
        <f>IF(ISBLANK('Paste Full'!CA365),"",'Paste Full'!CA365)</f>
        <v/>
      </c>
      <c r="BP365" s="41" t="str">
        <f>IF(ISBLANK('Paste Full'!CB365),"",'Paste Full'!CB365)</f>
        <v/>
      </c>
      <c r="BQ365" s="41" t="str">
        <f>IF(ISBLANK('Paste Full'!CC365),"",'Paste Full'!CC365)</f>
        <v/>
      </c>
      <c r="BR365" s="41" t="str">
        <f>IF(ISBLANK('Paste Full'!CD365),"",'Paste Full'!CD365)</f>
        <v/>
      </c>
      <c r="BS365" s="41" t="str">
        <f>IF(ISBLANK('Paste Full'!CE365),"",'Paste Full'!CE365)</f>
        <v/>
      </c>
      <c r="BT365" s="41" t="str">
        <f>IF(ISBLANK('Paste Full'!CF365),"",'Paste Full'!CF365)</f>
        <v/>
      </c>
      <c r="BU365" s="41" t="str">
        <f>IF(ISBLANK('Paste Full'!CG365),"",'Paste Full'!CG365)</f>
        <v/>
      </c>
      <c r="BV365" s="41" t="str">
        <f>IF(ISBLANK('Paste Full'!CH365),"",'Paste Full'!CH365)</f>
        <v/>
      </c>
    </row>
    <row r="366" spans="66:74" x14ac:dyDescent="0.3">
      <c r="BN366" s="41" t="str">
        <f>IF(ISBLANK('Paste Full'!BZ366),"",'Paste Full'!BZ366)</f>
        <v/>
      </c>
      <c r="BO366" s="41" t="str">
        <f>IF(ISBLANK('Paste Full'!CA366),"",'Paste Full'!CA366)</f>
        <v/>
      </c>
      <c r="BP366" s="41" t="str">
        <f>IF(ISBLANK('Paste Full'!CB366),"",'Paste Full'!CB366)</f>
        <v/>
      </c>
      <c r="BQ366" s="41" t="str">
        <f>IF(ISBLANK('Paste Full'!CC366),"",'Paste Full'!CC366)</f>
        <v/>
      </c>
      <c r="BR366" s="41" t="str">
        <f>IF(ISBLANK('Paste Full'!CD366),"",'Paste Full'!CD366)</f>
        <v/>
      </c>
      <c r="BS366" s="41" t="str">
        <f>IF(ISBLANK('Paste Full'!CE366),"",'Paste Full'!CE366)</f>
        <v/>
      </c>
      <c r="BT366" s="41" t="str">
        <f>IF(ISBLANK('Paste Full'!CF366),"",'Paste Full'!CF366)</f>
        <v/>
      </c>
      <c r="BU366" s="41" t="str">
        <f>IF(ISBLANK('Paste Full'!CG366),"",'Paste Full'!CG366)</f>
        <v/>
      </c>
      <c r="BV366" s="41" t="str">
        <f>IF(ISBLANK('Paste Full'!CH366),"",'Paste Full'!CH366)</f>
        <v/>
      </c>
    </row>
    <row r="367" spans="66:74" x14ac:dyDescent="0.3">
      <c r="BN367" s="41" t="str">
        <f>IF(ISBLANK('Paste Full'!BZ367),"",'Paste Full'!BZ367)</f>
        <v/>
      </c>
      <c r="BO367" s="41" t="str">
        <f>IF(ISBLANK('Paste Full'!CA367),"",'Paste Full'!CA367)</f>
        <v/>
      </c>
      <c r="BP367" s="41" t="str">
        <f>IF(ISBLANK('Paste Full'!CB367),"",'Paste Full'!CB367)</f>
        <v/>
      </c>
      <c r="BQ367" s="41" t="str">
        <f>IF(ISBLANK('Paste Full'!CC367),"",'Paste Full'!CC367)</f>
        <v/>
      </c>
      <c r="BR367" s="41" t="str">
        <f>IF(ISBLANK('Paste Full'!CD367),"",'Paste Full'!CD367)</f>
        <v/>
      </c>
      <c r="BS367" s="41" t="str">
        <f>IF(ISBLANK('Paste Full'!CE367),"",'Paste Full'!CE367)</f>
        <v/>
      </c>
      <c r="BT367" s="41" t="str">
        <f>IF(ISBLANK('Paste Full'!CF367),"",'Paste Full'!CF367)</f>
        <v/>
      </c>
      <c r="BU367" s="41" t="str">
        <f>IF(ISBLANK('Paste Full'!CG367),"",'Paste Full'!CG367)</f>
        <v/>
      </c>
      <c r="BV367" s="41" t="str">
        <f>IF(ISBLANK('Paste Full'!CH367),"",'Paste Full'!CH367)</f>
        <v/>
      </c>
    </row>
    <row r="368" spans="66:74" x14ac:dyDescent="0.3">
      <c r="BN368" s="41" t="str">
        <f>IF(ISBLANK('Paste Full'!BZ368),"",'Paste Full'!BZ368)</f>
        <v/>
      </c>
      <c r="BO368" s="41" t="str">
        <f>IF(ISBLANK('Paste Full'!CA368),"",'Paste Full'!CA368)</f>
        <v/>
      </c>
      <c r="BP368" s="41" t="str">
        <f>IF(ISBLANK('Paste Full'!CB368),"",'Paste Full'!CB368)</f>
        <v/>
      </c>
      <c r="BQ368" s="41" t="str">
        <f>IF(ISBLANK('Paste Full'!CC368),"",'Paste Full'!CC368)</f>
        <v/>
      </c>
      <c r="BR368" s="41" t="str">
        <f>IF(ISBLANK('Paste Full'!CD368),"",'Paste Full'!CD368)</f>
        <v/>
      </c>
      <c r="BS368" s="41" t="str">
        <f>IF(ISBLANK('Paste Full'!CE368),"",'Paste Full'!CE368)</f>
        <v/>
      </c>
      <c r="BT368" s="41" t="str">
        <f>IF(ISBLANK('Paste Full'!CF368),"",'Paste Full'!CF368)</f>
        <v/>
      </c>
      <c r="BU368" s="41" t="str">
        <f>IF(ISBLANK('Paste Full'!CG368),"",'Paste Full'!CG368)</f>
        <v/>
      </c>
      <c r="BV368" s="41" t="str">
        <f>IF(ISBLANK('Paste Full'!CH368),"",'Paste Full'!CH368)</f>
        <v/>
      </c>
    </row>
    <row r="369" spans="66:74" x14ac:dyDescent="0.3">
      <c r="BN369" s="41" t="str">
        <f>IF(ISBLANK('Paste Full'!BZ369),"",'Paste Full'!BZ369)</f>
        <v/>
      </c>
      <c r="BO369" s="41" t="str">
        <f>IF(ISBLANK('Paste Full'!CA369),"",'Paste Full'!CA369)</f>
        <v/>
      </c>
      <c r="BP369" s="41" t="str">
        <f>IF(ISBLANK('Paste Full'!CB369),"",'Paste Full'!CB369)</f>
        <v/>
      </c>
      <c r="BQ369" s="41" t="str">
        <f>IF(ISBLANK('Paste Full'!CC369),"",'Paste Full'!CC369)</f>
        <v/>
      </c>
      <c r="BR369" s="41" t="str">
        <f>IF(ISBLANK('Paste Full'!CD369),"",'Paste Full'!CD369)</f>
        <v/>
      </c>
      <c r="BS369" s="41" t="str">
        <f>IF(ISBLANK('Paste Full'!CE369),"",'Paste Full'!CE369)</f>
        <v/>
      </c>
      <c r="BT369" s="41" t="str">
        <f>IF(ISBLANK('Paste Full'!CF369),"",'Paste Full'!CF369)</f>
        <v/>
      </c>
      <c r="BU369" s="41" t="str">
        <f>IF(ISBLANK('Paste Full'!CG369),"",'Paste Full'!CG369)</f>
        <v/>
      </c>
      <c r="BV369" s="41" t="str">
        <f>IF(ISBLANK('Paste Full'!CH369),"",'Paste Full'!CH369)</f>
        <v/>
      </c>
    </row>
    <row r="370" spans="66:74" x14ac:dyDescent="0.3">
      <c r="BN370" s="41" t="str">
        <f>IF(ISBLANK('Paste Full'!BZ370),"",'Paste Full'!BZ370)</f>
        <v/>
      </c>
      <c r="BO370" s="41" t="str">
        <f>IF(ISBLANK('Paste Full'!CA370),"",'Paste Full'!CA370)</f>
        <v/>
      </c>
      <c r="BP370" s="41" t="str">
        <f>IF(ISBLANK('Paste Full'!CB370),"",'Paste Full'!CB370)</f>
        <v/>
      </c>
      <c r="BQ370" s="41" t="str">
        <f>IF(ISBLANK('Paste Full'!CC370),"",'Paste Full'!CC370)</f>
        <v/>
      </c>
      <c r="BR370" s="41" t="str">
        <f>IF(ISBLANK('Paste Full'!CD370),"",'Paste Full'!CD370)</f>
        <v/>
      </c>
      <c r="BS370" s="41" t="str">
        <f>IF(ISBLANK('Paste Full'!CE370),"",'Paste Full'!CE370)</f>
        <v/>
      </c>
      <c r="BT370" s="41" t="str">
        <f>IF(ISBLANK('Paste Full'!CF370),"",'Paste Full'!CF370)</f>
        <v/>
      </c>
      <c r="BU370" s="41" t="str">
        <f>IF(ISBLANK('Paste Full'!CG370),"",'Paste Full'!CG370)</f>
        <v/>
      </c>
      <c r="BV370" s="41" t="str">
        <f>IF(ISBLANK('Paste Full'!CH370),"",'Paste Full'!CH370)</f>
        <v/>
      </c>
    </row>
    <row r="371" spans="66:74" x14ac:dyDescent="0.3">
      <c r="BN371" s="41" t="str">
        <f>IF(ISBLANK('Paste Full'!BZ371),"",'Paste Full'!BZ371)</f>
        <v/>
      </c>
      <c r="BO371" s="41" t="str">
        <f>IF(ISBLANK('Paste Full'!CA371),"",'Paste Full'!CA371)</f>
        <v/>
      </c>
      <c r="BP371" s="41" t="str">
        <f>IF(ISBLANK('Paste Full'!CB371),"",'Paste Full'!CB371)</f>
        <v/>
      </c>
      <c r="BQ371" s="41" t="str">
        <f>IF(ISBLANK('Paste Full'!CC371),"",'Paste Full'!CC371)</f>
        <v/>
      </c>
      <c r="BR371" s="41" t="str">
        <f>IF(ISBLANK('Paste Full'!CD371),"",'Paste Full'!CD371)</f>
        <v/>
      </c>
      <c r="BS371" s="41" t="str">
        <f>IF(ISBLANK('Paste Full'!CE371),"",'Paste Full'!CE371)</f>
        <v/>
      </c>
      <c r="BT371" s="41" t="str">
        <f>IF(ISBLANK('Paste Full'!CF371),"",'Paste Full'!CF371)</f>
        <v/>
      </c>
      <c r="BU371" s="41" t="str">
        <f>IF(ISBLANK('Paste Full'!CG371),"",'Paste Full'!CG371)</f>
        <v/>
      </c>
      <c r="BV371" s="41" t="str">
        <f>IF(ISBLANK('Paste Full'!CH371),"",'Paste Full'!CH371)</f>
        <v/>
      </c>
    </row>
    <row r="372" spans="66:74" x14ac:dyDescent="0.3">
      <c r="BN372" s="41" t="str">
        <f>IF(ISBLANK('Paste Full'!BZ372),"",'Paste Full'!BZ372)</f>
        <v/>
      </c>
      <c r="BO372" s="41" t="str">
        <f>IF(ISBLANK('Paste Full'!CA372),"",'Paste Full'!CA372)</f>
        <v/>
      </c>
      <c r="BP372" s="41" t="str">
        <f>IF(ISBLANK('Paste Full'!CB372),"",'Paste Full'!CB372)</f>
        <v/>
      </c>
      <c r="BQ372" s="41" t="str">
        <f>IF(ISBLANK('Paste Full'!CC372),"",'Paste Full'!CC372)</f>
        <v/>
      </c>
      <c r="BR372" s="41" t="str">
        <f>IF(ISBLANK('Paste Full'!CD372),"",'Paste Full'!CD372)</f>
        <v/>
      </c>
      <c r="BS372" s="41" t="str">
        <f>IF(ISBLANK('Paste Full'!CE372),"",'Paste Full'!CE372)</f>
        <v/>
      </c>
      <c r="BT372" s="41" t="str">
        <f>IF(ISBLANK('Paste Full'!CF372),"",'Paste Full'!CF372)</f>
        <v/>
      </c>
      <c r="BU372" s="41" t="str">
        <f>IF(ISBLANK('Paste Full'!CG372),"",'Paste Full'!CG372)</f>
        <v/>
      </c>
      <c r="BV372" s="41" t="str">
        <f>IF(ISBLANK('Paste Full'!CH372),"",'Paste Full'!CH372)</f>
        <v/>
      </c>
    </row>
    <row r="373" spans="66:74" x14ac:dyDescent="0.3">
      <c r="BN373" s="41" t="str">
        <f>IF(ISBLANK('Paste Full'!BZ373),"",'Paste Full'!BZ373)</f>
        <v/>
      </c>
      <c r="BO373" s="41" t="str">
        <f>IF(ISBLANK('Paste Full'!CA373),"",'Paste Full'!CA373)</f>
        <v/>
      </c>
      <c r="BP373" s="41" t="str">
        <f>IF(ISBLANK('Paste Full'!CB373),"",'Paste Full'!CB373)</f>
        <v/>
      </c>
      <c r="BQ373" s="41" t="str">
        <f>IF(ISBLANK('Paste Full'!CC373),"",'Paste Full'!CC373)</f>
        <v/>
      </c>
      <c r="BR373" s="41" t="str">
        <f>IF(ISBLANK('Paste Full'!CD373),"",'Paste Full'!CD373)</f>
        <v/>
      </c>
      <c r="BS373" s="41" t="str">
        <f>IF(ISBLANK('Paste Full'!CE373),"",'Paste Full'!CE373)</f>
        <v/>
      </c>
      <c r="BT373" s="41" t="str">
        <f>IF(ISBLANK('Paste Full'!CF373),"",'Paste Full'!CF373)</f>
        <v/>
      </c>
      <c r="BU373" s="41" t="str">
        <f>IF(ISBLANK('Paste Full'!CG373),"",'Paste Full'!CG373)</f>
        <v/>
      </c>
      <c r="BV373" s="41" t="str">
        <f>IF(ISBLANK('Paste Full'!CH373),"",'Paste Full'!CH373)</f>
        <v/>
      </c>
    </row>
    <row r="374" spans="66:74" x14ac:dyDescent="0.3">
      <c r="BN374" s="41" t="str">
        <f>IF(ISBLANK('Paste Full'!BZ374),"",'Paste Full'!BZ374)</f>
        <v/>
      </c>
      <c r="BO374" s="41" t="str">
        <f>IF(ISBLANK('Paste Full'!CA374),"",'Paste Full'!CA374)</f>
        <v/>
      </c>
      <c r="BP374" s="41" t="str">
        <f>IF(ISBLANK('Paste Full'!CB374),"",'Paste Full'!CB374)</f>
        <v/>
      </c>
      <c r="BQ374" s="41" t="str">
        <f>IF(ISBLANK('Paste Full'!CC374),"",'Paste Full'!CC374)</f>
        <v/>
      </c>
      <c r="BR374" s="41" t="str">
        <f>IF(ISBLANK('Paste Full'!CD374),"",'Paste Full'!CD374)</f>
        <v/>
      </c>
      <c r="BS374" s="41" t="str">
        <f>IF(ISBLANK('Paste Full'!CE374),"",'Paste Full'!CE374)</f>
        <v/>
      </c>
      <c r="BT374" s="41" t="str">
        <f>IF(ISBLANK('Paste Full'!CF374),"",'Paste Full'!CF374)</f>
        <v/>
      </c>
      <c r="BU374" s="41" t="str">
        <f>IF(ISBLANK('Paste Full'!CG374),"",'Paste Full'!CG374)</f>
        <v/>
      </c>
      <c r="BV374" s="41" t="str">
        <f>IF(ISBLANK('Paste Full'!CH374),"",'Paste Full'!CH374)</f>
        <v/>
      </c>
    </row>
    <row r="375" spans="66:74" x14ac:dyDescent="0.3">
      <c r="BN375" s="41" t="str">
        <f>IF(ISBLANK('Paste Full'!BZ375),"",'Paste Full'!BZ375)</f>
        <v/>
      </c>
      <c r="BO375" s="41" t="str">
        <f>IF(ISBLANK('Paste Full'!CA375),"",'Paste Full'!CA375)</f>
        <v/>
      </c>
      <c r="BP375" s="41" t="str">
        <f>IF(ISBLANK('Paste Full'!CB375),"",'Paste Full'!CB375)</f>
        <v/>
      </c>
      <c r="BQ375" s="41" t="str">
        <f>IF(ISBLANK('Paste Full'!CC375),"",'Paste Full'!CC375)</f>
        <v/>
      </c>
      <c r="BR375" s="41" t="str">
        <f>IF(ISBLANK('Paste Full'!CD375),"",'Paste Full'!CD375)</f>
        <v/>
      </c>
      <c r="BS375" s="41" t="str">
        <f>IF(ISBLANK('Paste Full'!CE375),"",'Paste Full'!CE375)</f>
        <v/>
      </c>
      <c r="BT375" s="41" t="str">
        <f>IF(ISBLANK('Paste Full'!CF375),"",'Paste Full'!CF375)</f>
        <v/>
      </c>
      <c r="BU375" s="41" t="str">
        <f>IF(ISBLANK('Paste Full'!CG375),"",'Paste Full'!CG375)</f>
        <v/>
      </c>
      <c r="BV375" s="41" t="str">
        <f>IF(ISBLANK('Paste Full'!CH375),"",'Paste Full'!CH375)</f>
        <v/>
      </c>
    </row>
    <row r="376" spans="66:74" x14ac:dyDescent="0.3">
      <c r="BN376" s="41" t="str">
        <f>IF(ISBLANK('Paste Full'!BZ376),"",'Paste Full'!BZ376)</f>
        <v/>
      </c>
      <c r="BO376" s="41" t="str">
        <f>IF(ISBLANK('Paste Full'!CA376),"",'Paste Full'!CA376)</f>
        <v/>
      </c>
      <c r="BP376" s="41" t="str">
        <f>IF(ISBLANK('Paste Full'!CB376),"",'Paste Full'!CB376)</f>
        <v/>
      </c>
      <c r="BQ376" s="41" t="str">
        <f>IF(ISBLANK('Paste Full'!CC376),"",'Paste Full'!CC376)</f>
        <v/>
      </c>
      <c r="BR376" s="41" t="str">
        <f>IF(ISBLANK('Paste Full'!CD376),"",'Paste Full'!CD376)</f>
        <v/>
      </c>
      <c r="BS376" s="41" t="str">
        <f>IF(ISBLANK('Paste Full'!CE376),"",'Paste Full'!CE376)</f>
        <v/>
      </c>
      <c r="BT376" s="41" t="str">
        <f>IF(ISBLANK('Paste Full'!CF376),"",'Paste Full'!CF376)</f>
        <v/>
      </c>
      <c r="BU376" s="41" t="str">
        <f>IF(ISBLANK('Paste Full'!CG376),"",'Paste Full'!CG376)</f>
        <v/>
      </c>
      <c r="BV376" s="41" t="str">
        <f>IF(ISBLANK('Paste Full'!CH376),"",'Paste Full'!CH376)</f>
        <v/>
      </c>
    </row>
    <row r="377" spans="66:74" x14ac:dyDescent="0.3">
      <c r="BN377" s="41" t="str">
        <f>IF(ISBLANK('Paste Full'!BZ377),"",'Paste Full'!BZ377)</f>
        <v/>
      </c>
      <c r="BO377" s="41" t="str">
        <f>IF(ISBLANK('Paste Full'!CA377),"",'Paste Full'!CA377)</f>
        <v/>
      </c>
      <c r="BP377" s="41" t="str">
        <f>IF(ISBLANK('Paste Full'!CB377),"",'Paste Full'!CB377)</f>
        <v/>
      </c>
      <c r="BQ377" s="41" t="str">
        <f>IF(ISBLANK('Paste Full'!CC377),"",'Paste Full'!CC377)</f>
        <v/>
      </c>
      <c r="BR377" s="41" t="str">
        <f>IF(ISBLANK('Paste Full'!CD377),"",'Paste Full'!CD377)</f>
        <v/>
      </c>
      <c r="BS377" s="41" t="str">
        <f>IF(ISBLANK('Paste Full'!CE377),"",'Paste Full'!CE377)</f>
        <v/>
      </c>
      <c r="BT377" s="41" t="str">
        <f>IF(ISBLANK('Paste Full'!CF377),"",'Paste Full'!CF377)</f>
        <v/>
      </c>
      <c r="BU377" s="41" t="str">
        <f>IF(ISBLANK('Paste Full'!CG377),"",'Paste Full'!CG377)</f>
        <v/>
      </c>
      <c r="BV377" s="41" t="str">
        <f>IF(ISBLANK('Paste Full'!CH377),"",'Paste Full'!CH377)</f>
        <v/>
      </c>
    </row>
    <row r="378" spans="66:74" x14ac:dyDescent="0.3">
      <c r="BN378" s="41" t="str">
        <f>IF(ISBLANK('Paste Full'!BZ378),"",'Paste Full'!BZ378)</f>
        <v/>
      </c>
      <c r="BO378" s="41" t="str">
        <f>IF(ISBLANK('Paste Full'!CA378),"",'Paste Full'!CA378)</f>
        <v/>
      </c>
      <c r="BP378" s="41" t="str">
        <f>IF(ISBLANK('Paste Full'!CB378),"",'Paste Full'!CB378)</f>
        <v/>
      </c>
      <c r="BQ378" s="41" t="str">
        <f>IF(ISBLANK('Paste Full'!CC378),"",'Paste Full'!CC378)</f>
        <v/>
      </c>
      <c r="BR378" s="41" t="str">
        <f>IF(ISBLANK('Paste Full'!CD378),"",'Paste Full'!CD378)</f>
        <v/>
      </c>
      <c r="BS378" s="41" t="str">
        <f>IF(ISBLANK('Paste Full'!CE378),"",'Paste Full'!CE378)</f>
        <v/>
      </c>
      <c r="BT378" s="41" t="str">
        <f>IF(ISBLANK('Paste Full'!CF378),"",'Paste Full'!CF378)</f>
        <v/>
      </c>
      <c r="BU378" s="41" t="str">
        <f>IF(ISBLANK('Paste Full'!CG378),"",'Paste Full'!CG378)</f>
        <v/>
      </c>
      <c r="BV378" s="41" t="str">
        <f>IF(ISBLANK('Paste Full'!CH378),"",'Paste Full'!CH378)</f>
        <v/>
      </c>
    </row>
    <row r="379" spans="66:74" x14ac:dyDescent="0.3">
      <c r="BN379" s="41" t="str">
        <f>IF(ISBLANK('Paste Full'!BZ379),"",'Paste Full'!BZ379)</f>
        <v/>
      </c>
      <c r="BO379" s="41" t="str">
        <f>IF(ISBLANK('Paste Full'!CA379),"",'Paste Full'!CA379)</f>
        <v/>
      </c>
      <c r="BP379" s="41" t="str">
        <f>IF(ISBLANK('Paste Full'!CB379),"",'Paste Full'!CB379)</f>
        <v/>
      </c>
      <c r="BQ379" s="41" t="str">
        <f>IF(ISBLANK('Paste Full'!CC379),"",'Paste Full'!CC379)</f>
        <v/>
      </c>
      <c r="BR379" s="41" t="str">
        <f>IF(ISBLANK('Paste Full'!CD379),"",'Paste Full'!CD379)</f>
        <v/>
      </c>
      <c r="BS379" s="41" t="str">
        <f>IF(ISBLANK('Paste Full'!CE379),"",'Paste Full'!CE379)</f>
        <v/>
      </c>
      <c r="BT379" s="41" t="str">
        <f>IF(ISBLANK('Paste Full'!CF379),"",'Paste Full'!CF379)</f>
        <v/>
      </c>
      <c r="BU379" s="41" t="str">
        <f>IF(ISBLANK('Paste Full'!CG379),"",'Paste Full'!CG379)</f>
        <v/>
      </c>
      <c r="BV379" s="41" t="str">
        <f>IF(ISBLANK('Paste Full'!CH379),"",'Paste Full'!CH379)</f>
        <v/>
      </c>
    </row>
    <row r="380" spans="66:74" x14ac:dyDescent="0.3">
      <c r="BN380" s="41" t="str">
        <f>IF(ISBLANK('Paste Full'!BZ380),"",'Paste Full'!BZ380)</f>
        <v/>
      </c>
      <c r="BO380" s="41" t="str">
        <f>IF(ISBLANK('Paste Full'!CA380),"",'Paste Full'!CA380)</f>
        <v/>
      </c>
      <c r="BP380" s="41" t="str">
        <f>IF(ISBLANK('Paste Full'!CB380),"",'Paste Full'!CB380)</f>
        <v/>
      </c>
      <c r="BQ380" s="41" t="str">
        <f>IF(ISBLANK('Paste Full'!CC380),"",'Paste Full'!CC380)</f>
        <v/>
      </c>
      <c r="BR380" s="41" t="str">
        <f>IF(ISBLANK('Paste Full'!CD380),"",'Paste Full'!CD380)</f>
        <v/>
      </c>
      <c r="BS380" s="41" t="str">
        <f>IF(ISBLANK('Paste Full'!CE380),"",'Paste Full'!CE380)</f>
        <v/>
      </c>
      <c r="BT380" s="41" t="str">
        <f>IF(ISBLANK('Paste Full'!CF380),"",'Paste Full'!CF380)</f>
        <v/>
      </c>
      <c r="BU380" s="41" t="str">
        <f>IF(ISBLANK('Paste Full'!CG380),"",'Paste Full'!CG380)</f>
        <v/>
      </c>
      <c r="BV380" s="41" t="str">
        <f>IF(ISBLANK('Paste Full'!CH380),"",'Paste Full'!CH380)</f>
        <v/>
      </c>
    </row>
    <row r="381" spans="66:74" x14ac:dyDescent="0.3">
      <c r="BN381" s="41" t="str">
        <f>IF(ISBLANK('Paste Full'!BZ381),"",'Paste Full'!BZ381)</f>
        <v/>
      </c>
      <c r="BO381" s="41" t="str">
        <f>IF(ISBLANK('Paste Full'!CA381),"",'Paste Full'!CA381)</f>
        <v/>
      </c>
      <c r="BP381" s="41" t="str">
        <f>IF(ISBLANK('Paste Full'!CB381),"",'Paste Full'!CB381)</f>
        <v/>
      </c>
      <c r="BQ381" s="41" t="str">
        <f>IF(ISBLANK('Paste Full'!CC381),"",'Paste Full'!CC381)</f>
        <v/>
      </c>
      <c r="BR381" s="41" t="str">
        <f>IF(ISBLANK('Paste Full'!CD381),"",'Paste Full'!CD381)</f>
        <v/>
      </c>
      <c r="BS381" s="41" t="str">
        <f>IF(ISBLANK('Paste Full'!CE381),"",'Paste Full'!CE381)</f>
        <v/>
      </c>
      <c r="BT381" s="41" t="str">
        <f>IF(ISBLANK('Paste Full'!CF381),"",'Paste Full'!CF381)</f>
        <v/>
      </c>
      <c r="BU381" s="41" t="str">
        <f>IF(ISBLANK('Paste Full'!CG381),"",'Paste Full'!CG381)</f>
        <v/>
      </c>
      <c r="BV381" s="41" t="str">
        <f>IF(ISBLANK('Paste Full'!CH381),"",'Paste Full'!CH381)</f>
        <v/>
      </c>
    </row>
    <row r="382" spans="66:74" x14ac:dyDescent="0.3">
      <c r="BN382" s="41" t="str">
        <f>IF(ISBLANK('Paste Full'!BZ382),"",'Paste Full'!BZ382)</f>
        <v/>
      </c>
      <c r="BO382" s="41" t="str">
        <f>IF(ISBLANK('Paste Full'!CA382),"",'Paste Full'!CA382)</f>
        <v/>
      </c>
      <c r="BP382" s="41" t="str">
        <f>IF(ISBLANK('Paste Full'!CB382),"",'Paste Full'!CB382)</f>
        <v/>
      </c>
      <c r="BQ382" s="41" t="str">
        <f>IF(ISBLANK('Paste Full'!CC382),"",'Paste Full'!CC382)</f>
        <v/>
      </c>
      <c r="BR382" s="41" t="str">
        <f>IF(ISBLANK('Paste Full'!CD382),"",'Paste Full'!CD382)</f>
        <v/>
      </c>
      <c r="BS382" s="41" t="str">
        <f>IF(ISBLANK('Paste Full'!CE382),"",'Paste Full'!CE382)</f>
        <v/>
      </c>
      <c r="BT382" s="41" t="str">
        <f>IF(ISBLANK('Paste Full'!CF382),"",'Paste Full'!CF382)</f>
        <v/>
      </c>
      <c r="BU382" s="41" t="str">
        <f>IF(ISBLANK('Paste Full'!CG382),"",'Paste Full'!CG382)</f>
        <v/>
      </c>
      <c r="BV382" s="41" t="str">
        <f>IF(ISBLANK('Paste Full'!CH382),"",'Paste Full'!CH382)</f>
        <v/>
      </c>
    </row>
    <row r="383" spans="66:74" x14ac:dyDescent="0.3">
      <c r="BN383" s="41" t="str">
        <f>IF(ISBLANK('Paste Full'!BZ383),"",'Paste Full'!BZ383)</f>
        <v/>
      </c>
      <c r="BO383" s="41" t="str">
        <f>IF(ISBLANK('Paste Full'!CA383),"",'Paste Full'!CA383)</f>
        <v/>
      </c>
      <c r="BP383" s="41" t="str">
        <f>IF(ISBLANK('Paste Full'!CB383),"",'Paste Full'!CB383)</f>
        <v/>
      </c>
      <c r="BQ383" s="41" t="str">
        <f>IF(ISBLANK('Paste Full'!CC383),"",'Paste Full'!CC383)</f>
        <v/>
      </c>
      <c r="BR383" s="41" t="str">
        <f>IF(ISBLANK('Paste Full'!CD383),"",'Paste Full'!CD383)</f>
        <v/>
      </c>
      <c r="BS383" s="41" t="str">
        <f>IF(ISBLANK('Paste Full'!CE383),"",'Paste Full'!CE383)</f>
        <v/>
      </c>
      <c r="BT383" s="41" t="str">
        <f>IF(ISBLANK('Paste Full'!CF383),"",'Paste Full'!CF383)</f>
        <v/>
      </c>
      <c r="BU383" s="41" t="str">
        <f>IF(ISBLANK('Paste Full'!CG383),"",'Paste Full'!CG383)</f>
        <v/>
      </c>
      <c r="BV383" s="41" t="str">
        <f>IF(ISBLANK('Paste Full'!CH383),"",'Paste Full'!CH383)</f>
        <v/>
      </c>
    </row>
    <row r="384" spans="66:74" x14ac:dyDescent="0.3">
      <c r="BN384" s="41" t="str">
        <f>IF(ISBLANK('Paste Full'!BZ384),"",'Paste Full'!BZ384)</f>
        <v/>
      </c>
      <c r="BO384" s="41" t="str">
        <f>IF(ISBLANK('Paste Full'!CA384),"",'Paste Full'!CA384)</f>
        <v/>
      </c>
      <c r="BP384" s="41" t="str">
        <f>IF(ISBLANK('Paste Full'!CB384),"",'Paste Full'!CB384)</f>
        <v/>
      </c>
      <c r="BQ384" s="41" t="str">
        <f>IF(ISBLANK('Paste Full'!CC384),"",'Paste Full'!CC384)</f>
        <v/>
      </c>
      <c r="BR384" s="41" t="str">
        <f>IF(ISBLANK('Paste Full'!CD384),"",'Paste Full'!CD384)</f>
        <v/>
      </c>
      <c r="BS384" s="41" t="str">
        <f>IF(ISBLANK('Paste Full'!CE384),"",'Paste Full'!CE384)</f>
        <v/>
      </c>
      <c r="BT384" s="41" t="str">
        <f>IF(ISBLANK('Paste Full'!CF384),"",'Paste Full'!CF384)</f>
        <v/>
      </c>
      <c r="BU384" s="41" t="str">
        <f>IF(ISBLANK('Paste Full'!CG384),"",'Paste Full'!CG384)</f>
        <v/>
      </c>
      <c r="BV384" s="41" t="str">
        <f>IF(ISBLANK('Paste Full'!CH384),"",'Paste Full'!CH384)</f>
        <v/>
      </c>
    </row>
    <row r="385" spans="66:74" x14ac:dyDescent="0.3">
      <c r="BN385" s="41" t="str">
        <f>IF(ISBLANK('Paste Full'!BZ385),"",'Paste Full'!BZ385)</f>
        <v/>
      </c>
      <c r="BO385" s="41" t="str">
        <f>IF(ISBLANK('Paste Full'!CA385),"",'Paste Full'!CA385)</f>
        <v/>
      </c>
      <c r="BP385" s="41" t="str">
        <f>IF(ISBLANK('Paste Full'!CB385),"",'Paste Full'!CB385)</f>
        <v/>
      </c>
      <c r="BQ385" s="41" t="str">
        <f>IF(ISBLANK('Paste Full'!CC385),"",'Paste Full'!CC385)</f>
        <v/>
      </c>
      <c r="BR385" s="41" t="str">
        <f>IF(ISBLANK('Paste Full'!CD385),"",'Paste Full'!CD385)</f>
        <v/>
      </c>
      <c r="BS385" s="41" t="str">
        <f>IF(ISBLANK('Paste Full'!CE385),"",'Paste Full'!CE385)</f>
        <v/>
      </c>
      <c r="BT385" s="41" t="str">
        <f>IF(ISBLANK('Paste Full'!CF385),"",'Paste Full'!CF385)</f>
        <v/>
      </c>
      <c r="BU385" s="41" t="str">
        <f>IF(ISBLANK('Paste Full'!CG385),"",'Paste Full'!CG385)</f>
        <v/>
      </c>
      <c r="BV385" s="41" t="str">
        <f>IF(ISBLANK('Paste Full'!CH385),"",'Paste Full'!CH385)</f>
        <v/>
      </c>
    </row>
    <row r="386" spans="66:74" x14ac:dyDescent="0.3">
      <c r="BN386" s="41" t="str">
        <f>IF(ISBLANK('Paste Full'!BZ386),"",'Paste Full'!BZ386)</f>
        <v/>
      </c>
      <c r="BO386" s="41" t="str">
        <f>IF(ISBLANK('Paste Full'!CA386),"",'Paste Full'!CA386)</f>
        <v/>
      </c>
      <c r="BP386" s="41" t="str">
        <f>IF(ISBLANK('Paste Full'!CB386),"",'Paste Full'!CB386)</f>
        <v/>
      </c>
      <c r="BQ386" s="41" t="str">
        <f>IF(ISBLANK('Paste Full'!CC386),"",'Paste Full'!CC386)</f>
        <v/>
      </c>
      <c r="BR386" s="41" t="str">
        <f>IF(ISBLANK('Paste Full'!CD386),"",'Paste Full'!CD386)</f>
        <v/>
      </c>
      <c r="BS386" s="41" t="str">
        <f>IF(ISBLANK('Paste Full'!CE386),"",'Paste Full'!CE386)</f>
        <v/>
      </c>
      <c r="BT386" s="41" t="str">
        <f>IF(ISBLANK('Paste Full'!CF386),"",'Paste Full'!CF386)</f>
        <v/>
      </c>
      <c r="BU386" s="41" t="str">
        <f>IF(ISBLANK('Paste Full'!CG386),"",'Paste Full'!CG386)</f>
        <v/>
      </c>
      <c r="BV386" s="41" t="str">
        <f>IF(ISBLANK('Paste Full'!CH386),"",'Paste Full'!CH386)</f>
        <v/>
      </c>
    </row>
    <row r="387" spans="66:74" x14ac:dyDescent="0.3">
      <c r="BN387" s="41" t="str">
        <f>IF(ISBLANK('Paste Full'!BZ387),"",'Paste Full'!BZ387)</f>
        <v/>
      </c>
      <c r="BO387" s="41" t="str">
        <f>IF(ISBLANK('Paste Full'!CA387),"",'Paste Full'!CA387)</f>
        <v/>
      </c>
      <c r="BP387" s="41" t="str">
        <f>IF(ISBLANK('Paste Full'!CB387),"",'Paste Full'!CB387)</f>
        <v/>
      </c>
      <c r="BQ387" s="41" t="str">
        <f>IF(ISBLANK('Paste Full'!CC387),"",'Paste Full'!CC387)</f>
        <v/>
      </c>
      <c r="BR387" s="41" t="str">
        <f>IF(ISBLANK('Paste Full'!CD387),"",'Paste Full'!CD387)</f>
        <v/>
      </c>
      <c r="BS387" s="41" t="str">
        <f>IF(ISBLANK('Paste Full'!CE387),"",'Paste Full'!CE387)</f>
        <v/>
      </c>
      <c r="BT387" s="41" t="str">
        <f>IF(ISBLANK('Paste Full'!CF387),"",'Paste Full'!CF387)</f>
        <v/>
      </c>
      <c r="BU387" s="41" t="str">
        <f>IF(ISBLANK('Paste Full'!CG387),"",'Paste Full'!CG387)</f>
        <v/>
      </c>
      <c r="BV387" s="41" t="str">
        <f>IF(ISBLANK('Paste Full'!CH387),"",'Paste Full'!CH387)</f>
        <v/>
      </c>
    </row>
    <row r="388" spans="66:74" x14ac:dyDescent="0.3">
      <c r="BN388" s="41" t="str">
        <f>IF(ISBLANK('Paste Full'!BZ388),"",'Paste Full'!BZ388)</f>
        <v/>
      </c>
      <c r="BO388" s="41" t="str">
        <f>IF(ISBLANK('Paste Full'!CA388),"",'Paste Full'!CA388)</f>
        <v/>
      </c>
      <c r="BP388" s="41" t="str">
        <f>IF(ISBLANK('Paste Full'!CB388),"",'Paste Full'!CB388)</f>
        <v/>
      </c>
      <c r="BQ388" s="41" t="str">
        <f>IF(ISBLANK('Paste Full'!CC388),"",'Paste Full'!CC388)</f>
        <v/>
      </c>
      <c r="BR388" s="41" t="str">
        <f>IF(ISBLANK('Paste Full'!CD388),"",'Paste Full'!CD388)</f>
        <v/>
      </c>
      <c r="BS388" s="41" t="str">
        <f>IF(ISBLANK('Paste Full'!CE388),"",'Paste Full'!CE388)</f>
        <v/>
      </c>
      <c r="BT388" s="41" t="str">
        <f>IF(ISBLANK('Paste Full'!CF388),"",'Paste Full'!CF388)</f>
        <v/>
      </c>
      <c r="BU388" s="41" t="str">
        <f>IF(ISBLANK('Paste Full'!CG388),"",'Paste Full'!CG388)</f>
        <v/>
      </c>
      <c r="BV388" s="41" t="str">
        <f>IF(ISBLANK('Paste Full'!CH388),"",'Paste Full'!CH388)</f>
        <v/>
      </c>
    </row>
    <row r="389" spans="66:74" x14ac:dyDescent="0.3">
      <c r="BN389" s="41" t="str">
        <f>IF(ISBLANK('Paste Full'!BZ389),"",'Paste Full'!BZ389)</f>
        <v/>
      </c>
      <c r="BO389" s="41" t="str">
        <f>IF(ISBLANK('Paste Full'!CA389),"",'Paste Full'!CA389)</f>
        <v/>
      </c>
      <c r="BP389" s="41" t="str">
        <f>IF(ISBLANK('Paste Full'!CB389),"",'Paste Full'!CB389)</f>
        <v/>
      </c>
      <c r="BQ389" s="41" t="str">
        <f>IF(ISBLANK('Paste Full'!CC389),"",'Paste Full'!CC389)</f>
        <v/>
      </c>
      <c r="BR389" s="41" t="str">
        <f>IF(ISBLANK('Paste Full'!CD389),"",'Paste Full'!CD389)</f>
        <v/>
      </c>
      <c r="BS389" s="41" t="str">
        <f>IF(ISBLANK('Paste Full'!CE389),"",'Paste Full'!CE389)</f>
        <v/>
      </c>
      <c r="BT389" s="41" t="str">
        <f>IF(ISBLANK('Paste Full'!CF389),"",'Paste Full'!CF389)</f>
        <v/>
      </c>
      <c r="BU389" s="41" t="str">
        <f>IF(ISBLANK('Paste Full'!CG389),"",'Paste Full'!CG389)</f>
        <v/>
      </c>
      <c r="BV389" s="41" t="str">
        <f>IF(ISBLANK('Paste Full'!CH389),"",'Paste Full'!CH389)</f>
        <v/>
      </c>
    </row>
    <row r="390" spans="66:74" x14ac:dyDescent="0.3">
      <c r="BN390" s="41" t="str">
        <f>IF(ISBLANK('Paste Full'!BZ390),"",'Paste Full'!BZ390)</f>
        <v/>
      </c>
      <c r="BO390" s="41" t="str">
        <f>IF(ISBLANK('Paste Full'!CA390),"",'Paste Full'!CA390)</f>
        <v/>
      </c>
      <c r="BP390" s="41" t="str">
        <f>IF(ISBLANK('Paste Full'!CB390),"",'Paste Full'!CB390)</f>
        <v/>
      </c>
      <c r="BQ390" s="41" t="str">
        <f>IF(ISBLANK('Paste Full'!CC390),"",'Paste Full'!CC390)</f>
        <v/>
      </c>
      <c r="BR390" s="41" t="str">
        <f>IF(ISBLANK('Paste Full'!CD390),"",'Paste Full'!CD390)</f>
        <v/>
      </c>
      <c r="BS390" s="41" t="str">
        <f>IF(ISBLANK('Paste Full'!CE390),"",'Paste Full'!CE390)</f>
        <v/>
      </c>
      <c r="BT390" s="41" t="str">
        <f>IF(ISBLANK('Paste Full'!CF390),"",'Paste Full'!CF390)</f>
        <v/>
      </c>
      <c r="BU390" s="41" t="str">
        <f>IF(ISBLANK('Paste Full'!CG390),"",'Paste Full'!CG390)</f>
        <v/>
      </c>
      <c r="BV390" s="41" t="str">
        <f>IF(ISBLANK('Paste Full'!CH390),"",'Paste Full'!CH390)</f>
        <v/>
      </c>
    </row>
    <row r="391" spans="66:74" x14ac:dyDescent="0.3">
      <c r="BN391" s="41" t="str">
        <f>IF(ISBLANK('Paste Full'!BZ391),"",'Paste Full'!BZ391)</f>
        <v/>
      </c>
      <c r="BO391" s="41" t="str">
        <f>IF(ISBLANK('Paste Full'!CA391),"",'Paste Full'!CA391)</f>
        <v/>
      </c>
      <c r="BP391" s="41" t="str">
        <f>IF(ISBLANK('Paste Full'!CB391),"",'Paste Full'!CB391)</f>
        <v/>
      </c>
      <c r="BQ391" s="41" t="str">
        <f>IF(ISBLANK('Paste Full'!CC391),"",'Paste Full'!CC391)</f>
        <v/>
      </c>
      <c r="BR391" s="41" t="str">
        <f>IF(ISBLANK('Paste Full'!CD391),"",'Paste Full'!CD391)</f>
        <v/>
      </c>
      <c r="BS391" s="41" t="str">
        <f>IF(ISBLANK('Paste Full'!CE391),"",'Paste Full'!CE391)</f>
        <v/>
      </c>
      <c r="BT391" s="41" t="str">
        <f>IF(ISBLANK('Paste Full'!CF391),"",'Paste Full'!CF391)</f>
        <v/>
      </c>
      <c r="BU391" s="41" t="str">
        <f>IF(ISBLANK('Paste Full'!CG391),"",'Paste Full'!CG391)</f>
        <v/>
      </c>
      <c r="BV391" s="41" t="str">
        <f>IF(ISBLANK('Paste Full'!CH391),"",'Paste Full'!CH391)</f>
        <v/>
      </c>
    </row>
    <row r="392" spans="66:74" x14ac:dyDescent="0.3">
      <c r="BN392" s="41" t="str">
        <f>IF(ISBLANK('Paste Full'!BZ392),"",'Paste Full'!BZ392)</f>
        <v/>
      </c>
      <c r="BO392" s="41" t="str">
        <f>IF(ISBLANK('Paste Full'!CA392),"",'Paste Full'!CA392)</f>
        <v/>
      </c>
      <c r="BP392" s="41" t="str">
        <f>IF(ISBLANK('Paste Full'!CB392),"",'Paste Full'!CB392)</f>
        <v/>
      </c>
      <c r="BQ392" s="41" t="str">
        <f>IF(ISBLANK('Paste Full'!CC392),"",'Paste Full'!CC392)</f>
        <v/>
      </c>
      <c r="BR392" s="41" t="str">
        <f>IF(ISBLANK('Paste Full'!CD392),"",'Paste Full'!CD392)</f>
        <v/>
      </c>
      <c r="BS392" s="41" t="str">
        <f>IF(ISBLANK('Paste Full'!CE392),"",'Paste Full'!CE392)</f>
        <v/>
      </c>
      <c r="BT392" s="41" t="str">
        <f>IF(ISBLANK('Paste Full'!CF392),"",'Paste Full'!CF392)</f>
        <v/>
      </c>
      <c r="BU392" s="41" t="str">
        <f>IF(ISBLANK('Paste Full'!CG392),"",'Paste Full'!CG392)</f>
        <v/>
      </c>
      <c r="BV392" s="41" t="str">
        <f>IF(ISBLANK('Paste Full'!CH392),"",'Paste Full'!CH392)</f>
        <v/>
      </c>
    </row>
    <row r="393" spans="66:74" x14ac:dyDescent="0.3">
      <c r="BN393" s="41" t="str">
        <f>IF(ISBLANK('Paste Full'!BZ393),"",'Paste Full'!BZ393)</f>
        <v/>
      </c>
      <c r="BO393" s="41" t="str">
        <f>IF(ISBLANK('Paste Full'!CA393),"",'Paste Full'!CA393)</f>
        <v/>
      </c>
      <c r="BP393" s="41" t="str">
        <f>IF(ISBLANK('Paste Full'!CB393),"",'Paste Full'!CB393)</f>
        <v/>
      </c>
      <c r="BQ393" s="41" t="str">
        <f>IF(ISBLANK('Paste Full'!CC393),"",'Paste Full'!CC393)</f>
        <v/>
      </c>
      <c r="BR393" s="41" t="str">
        <f>IF(ISBLANK('Paste Full'!CD393),"",'Paste Full'!CD393)</f>
        <v/>
      </c>
      <c r="BS393" s="41" t="str">
        <f>IF(ISBLANK('Paste Full'!CE393),"",'Paste Full'!CE393)</f>
        <v/>
      </c>
      <c r="BT393" s="41" t="str">
        <f>IF(ISBLANK('Paste Full'!CF393),"",'Paste Full'!CF393)</f>
        <v/>
      </c>
      <c r="BU393" s="41" t="str">
        <f>IF(ISBLANK('Paste Full'!CG393),"",'Paste Full'!CG393)</f>
        <v/>
      </c>
      <c r="BV393" s="41" t="str">
        <f>IF(ISBLANK('Paste Full'!CH393),"",'Paste Full'!CH393)</f>
        <v/>
      </c>
    </row>
    <row r="394" spans="66:74" x14ac:dyDescent="0.3">
      <c r="BN394" s="41" t="str">
        <f>IF(ISBLANK('Paste Full'!BZ394),"",'Paste Full'!BZ394)</f>
        <v/>
      </c>
      <c r="BO394" s="41" t="str">
        <f>IF(ISBLANK('Paste Full'!CA394),"",'Paste Full'!CA394)</f>
        <v/>
      </c>
      <c r="BP394" s="41" t="str">
        <f>IF(ISBLANK('Paste Full'!CB394),"",'Paste Full'!CB394)</f>
        <v/>
      </c>
      <c r="BQ394" s="41" t="str">
        <f>IF(ISBLANK('Paste Full'!CC394),"",'Paste Full'!CC394)</f>
        <v/>
      </c>
      <c r="BR394" s="41" t="str">
        <f>IF(ISBLANK('Paste Full'!CD394),"",'Paste Full'!CD394)</f>
        <v/>
      </c>
      <c r="BS394" s="41" t="str">
        <f>IF(ISBLANK('Paste Full'!CE394),"",'Paste Full'!CE394)</f>
        <v/>
      </c>
      <c r="BT394" s="41" t="str">
        <f>IF(ISBLANK('Paste Full'!CF394),"",'Paste Full'!CF394)</f>
        <v/>
      </c>
      <c r="BU394" s="41" t="str">
        <f>IF(ISBLANK('Paste Full'!CG394),"",'Paste Full'!CG394)</f>
        <v/>
      </c>
      <c r="BV394" s="41" t="str">
        <f>IF(ISBLANK('Paste Full'!CH394),"",'Paste Full'!CH394)</f>
        <v/>
      </c>
    </row>
    <row r="395" spans="66:74" x14ac:dyDescent="0.3">
      <c r="BN395" s="41" t="str">
        <f>IF(ISBLANK('Paste Full'!BZ395),"",'Paste Full'!BZ395)</f>
        <v/>
      </c>
      <c r="BO395" s="41" t="str">
        <f>IF(ISBLANK('Paste Full'!CA395),"",'Paste Full'!CA395)</f>
        <v/>
      </c>
      <c r="BP395" s="41" t="str">
        <f>IF(ISBLANK('Paste Full'!CB395),"",'Paste Full'!CB395)</f>
        <v/>
      </c>
      <c r="BQ395" s="41" t="str">
        <f>IF(ISBLANK('Paste Full'!CC395),"",'Paste Full'!CC395)</f>
        <v/>
      </c>
      <c r="BR395" s="41" t="str">
        <f>IF(ISBLANK('Paste Full'!CD395),"",'Paste Full'!CD395)</f>
        <v/>
      </c>
      <c r="BS395" s="41" t="str">
        <f>IF(ISBLANK('Paste Full'!CE395),"",'Paste Full'!CE395)</f>
        <v/>
      </c>
      <c r="BT395" s="41" t="str">
        <f>IF(ISBLANK('Paste Full'!CF395),"",'Paste Full'!CF395)</f>
        <v/>
      </c>
      <c r="BU395" s="41" t="str">
        <f>IF(ISBLANK('Paste Full'!CG395),"",'Paste Full'!CG395)</f>
        <v/>
      </c>
      <c r="BV395" s="41" t="str">
        <f>IF(ISBLANK('Paste Full'!CH395),"",'Paste Full'!CH395)</f>
        <v/>
      </c>
    </row>
    <row r="396" spans="66:74" x14ac:dyDescent="0.3">
      <c r="BN396" s="41" t="str">
        <f>IF(ISBLANK('Paste Full'!BZ396),"",'Paste Full'!BZ396)</f>
        <v/>
      </c>
      <c r="BO396" s="41" t="str">
        <f>IF(ISBLANK('Paste Full'!CA396),"",'Paste Full'!CA396)</f>
        <v/>
      </c>
      <c r="BP396" s="41" t="str">
        <f>IF(ISBLANK('Paste Full'!CB396),"",'Paste Full'!CB396)</f>
        <v/>
      </c>
      <c r="BQ396" s="41" t="str">
        <f>IF(ISBLANK('Paste Full'!CC396),"",'Paste Full'!CC396)</f>
        <v/>
      </c>
      <c r="BR396" s="41" t="str">
        <f>IF(ISBLANK('Paste Full'!CD396),"",'Paste Full'!CD396)</f>
        <v/>
      </c>
      <c r="BS396" s="41" t="str">
        <f>IF(ISBLANK('Paste Full'!CE396),"",'Paste Full'!CE396)</f>
        <v/>
      </c>
      <c r="BT396" s="41" t="str">
        <f>IF(ISBLANK('Paste Full'!CF396),"",'Paste Full'!CF396)</f>
        <v/>
      </c>
      <c r="BU396" s="41" t="str">
        <f>IF(ISBLANK('Paste Full'!CG396),"",'Paste Full'!CG396)</f>
        <v/>
      </c>
      <c r="BV396" s="41" t="str">
        <f>IF(ISBLANK('Paste Full'!CH396),"",'Paste Full'!CH396)</f>
        <v/>
      </c>
    </row>
    <row r="397" spans="66:74" x14ac:dyDescent="0.3">
      <c r="BN397" s="41" t="str">
        <f>IF(ISBLANK('Paste Full'!BZ397),"",'Paste Full'!BZ397)</f>
        <v/>
      </c>
      <c r="BO397" s="41" t="str">
        <f>IF(ISBLANK('Paste Full'!CA397),"",'Paste Full'!CA397)</f>
        <v/>
      </c>
      <c r="BP397" s="41" t="str">
        <f>IF(ISBLANK('Paste Full'!CB397),"",'Paste Full'!CB397)</f>
        <v/>
      </c>
      <c r="BQ397" s="41" t="str">
        <f>IF(ISBLANK('Paste Full'!CC397),"",'Paste Full'!CC397)</f>
        <v/>
      </c>
      <c r="BR397" s="41" t="str">
        <f>IF(ISBLANK('Paste Full'!CD397),"",'Paste Full'!CD397)</f>
        <v/>
      </c>
      <c r="BS397" s="41" t="str">
        <f>IF(ISBLANK('Paste Full'!CE397),"",'Paste Full'!CE397)</f>
        <v/>
      </c>
      <c r="BT397" s="41" t="str">
        <f>IF(ISBLANK('Paste Full'!CF397),"",'Paste Full'!CF397)</f>
        <v/>
      </c>
      <c r="BU397" s="41" t="str">
        <f>IF(ISBLANK('Paste Full'!CG397),"",'Paste Full'!CG397)</f>
        <v/>
      </c>
      <c r="BV397" s="41" t="str">
        <f>IF(ISBLANK('Paste Full'!CH397),"",'Paste Full'!CH397)</f>
        <v/>
      </c>
    </row>
    <row r="398" spans="66:74" x14ac:dyDescent="0.3">
      <c r="BN398" s="41" t="str">
        <f>IF(ISBLANK('Paste Full'!BZ398),"",'Paste Full'!BZ398)</f>
        <v/>
      </c>
      <c r="BO398" s="41" t="str">
        <f>IF(ISBLANK('Paste Full'!CA398),"",'Paste Full'!CA398)</f>
        <v/>
      </c>
      <c r="BP398" s="41" t="str">
        <f>IF(ISBLANK('Paste Full'!CB398),"",'Paste Full'!CB398)</f>
        <v/>
      </c>
      <c r="BQ398" s="41" t="str">
        <f>IF(ISBLANK('Paste Full'!CC398),"",'Paste Full'!CC398)</f>
        <v/>
      </c>
      <c r="BR398" s="41" t="str">
        <f>IF(ISBLANK('Paste Full'!CD398),"",'Paste Full'!CD398)</f>
        <v/>
      </c>
      <c r="BS398" s="41" t="str">
        <f>IF(ISBLANK('Paste Full'!CE398),"",'Paste Full'!CE398)</f>
        <v/>
      </c>
      <c r="BT398" s="41" t="str">
        <f>IF(ISBLANK('Paste Full'!CF398),"",'Paste Full'!CF398)</f>
        <v/>
      </c>
      <c r="BU398" s="41" t="str">
        <f>IF(ISBLANK('Paste Full'!CG398),"",'Paste Full'!CG398)</f>
        <v/>
      </c>
      <c r="BV398" s="41" t="str">
        <f>IF(ISBLANK('Paste Full'!CH398),"",'Paste Full'!CH398)</f>
        <v/>
      </c>
    </row>
    <row r="399" spans="66:74" x14ac:dyDescent="0.3">
      <c r="BN399" s="41" t="str">
        <f>IF(ISBLANK('Paste Full'!BZ399),"",'Paste Full'!BZ399)</f>
        <v/>
      </c>
      <c r="BO399" s="41" t="str">
        <f>IF(ISBLANK('Paste Full'!CA399),"",'Paste Full'!CA399)</f>
        <v/>
      </c>
      <c r="BP399" s="41" t="str">
        <f>IF(ISBLANK('Paste Full'!CB399),"",'Paste Full'!CB399)</f>
        <v/>
      </c>
      <c r="BQ399" s="41" t="str">
        <f>IF(ISBLANK('Paste Full'!CC399),"",'Paste Full'!CC399)</f>
        <v/>
      </c>
      <c r="BR399" s="41" t="str">
        <f>IF(ISBLANK('Paste Full'!CD399),"",'Paste Full'!CD399)</f>
        <v/>
      </c>
      <c r="BS399" s="41" t="str">
        <f>IF(ISBLANK('Paste Full'!CE399),"",'Paste Full'!CE399)</f>
        <v/>
      </c>
      <c r="BT399" s="41" t="str">
        <f>IF(ISBLANK('Paste Full'!CF399),"",'Paste Full'!CF399)</f>
        <v/>
      </c>
      <c r="BU399" s="41" t="str">
        <f>IF(ISBLANK('Paste Full'!CG399),"",'Paste Full'!CG399)</f>
        <v/>
      </c>
      <c r="BV399" s="41" t="str">
        <f>IF(ISBLANK('Paste Full'!CH399),"",'Paste Full'!CH399)</f>
        <v/>
      </c>
    </row>
    <row r="400" spans="66:74" x14ac:dyDescent="0.3">
      <c r="BN400" s="41" t="str">
        <f>IF(ISBLANK('Paste Full'!BZ400),"",'Paste Full'!BZ400)</f>
        <v/>
      </c>
      <c r="BO400" s="41" t="str">
        <f>IF(ISBLANK('Paste Full'!CA400),"",'Paste Full'!CA400)</f>
        <v/>
      </c>
      <c r="BP400" s="41" t="str">
        <f>IF(ISBLANK('Paste Full'!CB400),"",'Paste Full'!CB400)</f>
        <v/>
      </c>
      <c r="BQ400" s="41" t="str">
        <f>IF(ISBLANK('Paste Full'!CC400),"",'Paste Full'!CC400)</f>
        <v/>
      </c>
      <c r="BR400" s="41" t="str">
        <f>IF(ISBLANK('Paste Full'!CD400),"",'Paste Full'!CD400)</f>
        <v/>
      </c>
      <c r="BS400" s="41" t="str">
        <f>IF(ISBLANK('Paste Full'!CE400),"",'Paste Full'!CE400)</f>
        <v/>
      </c>
      <c r="BT400" s="41" t="str">
        <f>IF(ISBLANK('Paste Full'!CF400),"",'Paste Full'!CF400)</f>
        <v/>
      </c>
      <c r="BU400" s="41" t="str">
        <f>IF(ISBLANK('Paste Full'!CG400),"",'Paste Full'!CG400)</f>
        <v/>
      </c>
      <c r="BV400" s="41" t="str">
        <f>IF(ISBLANK('Paste Full'!CH400),"",'Paste Full'!CH400)</f>
        <v/>
      </c>
    </row>
    <row r="401" spans="66:74" x14ac:dyDescent="0.3">
      <c r="BN401" s="41" t="str">
        <f>IF(ISBLANK('Paste Full'!BZ401),"",'Paste Full'!BZ401)</f>
        <v/>
      </c>
      <c r="BO401" s="41" t="str">
        <f>IF(ISBLANK('Paste Full'!CA401),"",'Paste Full'!CA401)</f>
        <v/>
      </c>
      <c r="BP401" s="41" t="str">
        <f>IF(ISBLANK('Paste Full'!CB401),"",'Paste Full'!CB401)</f>
        <v/>
      </c>
      <c r="BQ401" s="41" t="str">
        <f>IF(ISBLANK('Paste Full'!CC401),"",'Paste Full'!CC401)</f>
        <v/>
      </c>
      <c r="BR401" s="41" t="str">
        <f>IF(ISBLANK('Paste Full'!CD401),"",'Paste Full'!CD401)</f>
        <v/>
      </c>
      <c r="BS401" s="41" t="str">
        <f>IF(ISBLANK('Paste Full'!CE401),"",'Paste Full'!CE401)</f>
        <v/>
      </c>
      <c r="BT401" s="41" t="str">
        <f>IF(ISBLANK('Paste Full'!CF401),"",'Paste Full'!CF401)</f>
        <v/>
      </c>
      <c r="BU401" s="41" t="str">
        <f>IF(ISBLANK('Paste Full'!CG401),"",'Paste Full'!CG401)</f>
        <v/>
      </c>
      <c r="BV401" s="41" t="str">
        <f>IF(ISBLANK('Paste Full'!CH401),"",'Paste Full'!CH401)</f>
        <v/>
      </c>
    </row>
    <row r="402" spans="66:74" x14ac:dyDescent="0.3">
      <c r="BN402" s="41" t="str">
        <f>IF(ISBLANK('Paste Full'!BZ402),"",'Paste Full'!BZ402)</f>
        <v/>
      </c>
      <c r="BO402" s="41" t="str">
        <f>IF(ISBLANK('Paste Full'!CA402),"",'Paste Full'!CA402)</f>
        <v/>
      </c>
      <c r="BP402" s="41" t="str">
        <f>IF(ISBLANK('Paste Full'!CB402),"",'Paste Full'!CB402)</f>
        <v/>
      </c>
      <c r="BQ402" s="41" t="str">
        <f>IF(ISBLANK('Paste Full'!CC402),"",'Paste Full'!CC402)</f>
        <v/>
      </c>
      <c r="BR402" s="41" t="str">
        <f>IF(ISBLANK('Paste Full'!CD402),"",'Paste Full'!CD402)</f>
        <v/>
      </c>
      <c r="BS402" s="41" t="str">
        <f>IF(ISBLANK('Paste Full'!CE402),"",'Paste Full'!CE402)</f>
        <v/>
      </c>
      <c r="BT402" s="41" t="str">
        <f>IF(ISBLANK('Paste Full'!CF402),"",'Paste Full'!CF402)</f>
        <v/>
      </c>
      <c r="BU402" s="41" t="str">
        <f>IF(ISBLANK('Paste Full'!CG402),"",'Paste Full'!CG402)</f>
        <v/>
      </c>
      <c r="BV402" s="41" t="str">
        <f>IF(ISBLANK('Paste Full'!CH402),"",'Paste Full'!CH402)</f>
        <v/>
      </c>
    </row>
    <row r="403" spans="66:74" x14ac:dyDescent="0.3">
      <c r="BN403" s="41" t="str">
        <f>IF(ISBLANK('Paste Full'!BZ403),"",'Paste Full'!BZ403)</f>
        <v/>
      </c>
      <c r="BO403" s="41" t="str">
        <f>IF(ISBLANK('Paste Full'!CA403),"",'Paste Full'!CA403)</f>
        <v/>
      </c>
      <c r="BP403" s="41" t="str">
        <f>IF(ISBLANK('Paste Full'!CB403),"",'Paste Full'!CB403)</f>
        <v/>
      </c>
      <c r="BQ403" s="41" t="str">
        <f>IF(ISBLANK('Paste Full'!CC403),"",'Paste Full'!CC403)</f>
        <v/>
      </c>
      <c r="BR403" s="41" t="str">
        <f>IF(ISBLANK('Paste Full'!CD403),"",'Paste Full'!CD403)</f>
        <v/>
      </c>
      <c r="BS403" s="41" t="str">
        <f>IF(ISBLANK('Paste Full'!CE403),"",'Paste Full'!CE403)</f>
        <v/>
      </c>
      <c r="BT403" s="41" t="str">
        <f>IF(ISBLANK('Paste Full'!CF403),"",'Paste Full'!CF403)</f>
        <v/>
      </c>
      <c r="BU403" s="41" t="str">
        <f>IF(ISBLANK('Paste Full'!CG403),"",'Paste Full'!CG403)</f>
        <v/>
      </c>
      <c r="BV403" s="41" t="str">
        <f>IF(ISBLANK('Paste Full'!CH403),"",'Paste Full'!CH403)</f>
        <v/>
      </c>
    </row>
    <row r="404" spans="66:74" x14ac:dyDescent="0.3">
      <c r="BN404" s="41" t="str">
        <f>IF(ISBLANK('Paste Full'!BZ404),"",'Paste Full'!BZ404)</f>
        <v/>
      </c>
      <c r="BO404" s="41" t="str">
        <f>IF(ISBLANK('Paste Full'!CA404),"",'Paste Full'!CA404)</f>
        <v/>
      </c>
      <c r="BP404" s="41" t="str">
        <f>IF(ISBLANK('Paste Full'!CB404),"",'Paste Full'!CB404)</f>
        <v/>
      </c>
      <c r="BQ404" s="41" t="str">
        <f>IF(ISBLANK('Paste Full'!CC404),"",'Paste Full'!CC404)</f>
        <v/>
      </c>
      <c r="BR404" s="41" t="str">
        <f>IF(ISBLANK('Paste Full'!CD404),"",'Paste Full'!CD404)</f>
        <v/>
      </c>
      <c r="BS404" s="41" t="str">
        <f>IF(ISBLANK('Paste Full'!CE404),"",'Paste Full'!CE404)</f>
        <v/>
      </c>
      <c r="BT404" s="41" t="str">
        <f>IF(ISBLANK('Paste Full'!CF404),"",'Paste Full'!CF404)</f>
        <v/>
      </c>
      <c r="BU404" s="41" t="str">
        <f>IF(ISBLANK('Paste Full'!CG404),"",'Paste Full'!CG404)</f>
        <v/>
      </c>
      <c r="BV404" s="41" t="str">
        <f>IF(ISBLANK('Paste Full'!CH404),"",'Paste Full'!CH404)</f>
        <v/>
      </c>
    </row>
    <row r="405" spans="66:74" x14ac:dyDescent="0.3">
      <c r="BN405" s="41" t="str">
        <f>IF(ISBLANK('Paste Full'!BZ405),"",'Paste Full'!BZ405)</f>
        <v/>
      </c>
      <c r="BO405" s="41" t="str">
        <f>IF(ISBLANK('Paste Full'!CA405),"",'Paste Full'!CA405)</f>
        <v/>
      </c>
      <c r="BP405" s="41" t="str">
        <f>IF(ISBLANK('Paste Full'!CB405),"",'Paste Full'!CB405)</f>
        <v/>
      </c>
      <c r="BQ405" s="41" t="str">
        <f>IF(ISBLANK('Paste Full'!CC405),"",'Paste Full'!CC405)</f>
        <v/>
      </c>
      <c r="BR405" s="41" t="str">
        <f>IF(ISBLANK('Paste Full'!CD405),"",'Paste Full'!CD405)</f>
        <v/>
      </c>
      <c r="BS405" s="41" t="str">
        <f>IF(ISBLANK('Paste Full'!CE405),"",'Paste Full'!CE405)</f>
        <v/>
      </c>
      <c r="BT405" s="41" t="str">
        <f>IF(ISBLANK('Paste Full'!CF405),"",'Paste Full'!CF405)</f>
        <v/>
      </c>
      <c r="BU405" s="41" t="str">
        <f>IF(ISBLANK('Paste Full'!CG405),"",'Paste Full'!CG405)</f>
        <v/>
      </c>
      <c r="BV405" s="41" t="str">
        <f>IF(ISBLANK('Paste Full'!CH405),"",'Paste Full'!CH405)</f>
        <v/>
      </c>
    </row>
    <row r="406" spans="66:74" x14ac:dyDescent="0.3">
      <c r="BN406" s="41" t="str">
        <f>IF(ISBLANK('Paste Full'!BZ406),"",'Paste Full'!BZ406)</f>
        <v/>
      </c>
      <c r="BO406" s="41" t="str">
        <f>IF(ISBLANK('Paste Full'!CA406),"",'Paste Full'!CA406)</f>
        <v/>
      </c>
      <c r="BP406" s="41" t="str">
        <f>IF(ISBLANK('Paste Full'!CB406),"",'Paste Full'!CB406)</f>
        <v/>
      </c>
      <c r="BQ406" s="41" t="str">
        <f>IF(ISBLANK('Paste Full'!CC406),"",'Paste Full'!CC406)</f>
        <v/>
      </c>
      <c r="BR406" s="41" t="str">
        <f>IF(ISBLANK('Paste Full'!CD406),"",'Paste Full'!CD406)</f>
        <v/>
      </c>
      <c r="BS406" s="41" t="str">
        <f>IF(ISBLANK('Paste Full'!CE406),"",'Paste Full'!CE406)</f>
        <v/>
      </c>
      <c r="BT406" s="41" t="str">
        <f>IF(ISBLANK('Paste Full'!CF406),"",'Paste Full'!CF406)</f>
        <v/>
      </c>
      <c r="BU406" s="41" t="str">
        <f>IF(ISBLANK('Paste Full'!CG406),"",'Paste Full'!CG406)</f>
        <v/>
      </c>
      <c r="BV406" s="41" t="str">
        <f>IF(ISBLANK('Paste Full'!CH406),"",'Paste Full'!CH406)</f>
        <v/>
      </c>
    </row>
    <row r="407" spans="66:74" x14ac:dyDescent="0.3">
      <c r="BN407" s="41" t="str">
        <f>IF(ISBLANK('Paste Full'!BZ407),"",'Paste Full'!BZ407)</f>
        <v/>
      </c>
      <c r="BO407" s="41" t="str">
        <f>IF(ISBLANK('Paste Full'!CA407),"",'Paste Full'!CA407)</f>
        <v/>
      </c>
      <c r="BP407" s="41" t="str">
        <f>IF(ISBLANK('Paste Full'!CB407),"",'Paste Full'!CB407)</f>
        <v/>
      </c>
      <c r="BQ407" s="41" t="str">
        <f>IF(ISBLANK('Paste Full'!CC407),"",'Paste Full'!CC407)</f>
        <v/>
      </c>
      <c r="BR407" s="41" t="str">
        <f>IF(ISBLANK('Paste Full'!CD407),"",'Paste Full'!CD407)</f>
        <v/>
      </c>
      <c r="BS407" s="41" t="str">
        <f>IF(ISBLANK('Paste Full'!CE407),"",'Paste Full'!CE407)</f>
        <v/>
      </c>
      <c r="BT407" s="41" t="str">
        <f>IF(ISBLANK('Paste Full'!CF407),"",'Paste Full'!CF407)</f>
        <v/>
      </c>
      <c r="BU407" s="41" t="str">
        <f>IF(ISBLANK('Paste Full'!CG407),"",'Paste Full'!CG407)</f>
        <v/>
      </c>
      <c r="BV407" s="41" t="str">
        <f>IF(ISBLANK('Paste Full'!CH407),"",'Paste Full'!CH407)</f>
        <v/>
      </c>
    </row>
    <row r="408" spans="66:74" x14ac:dyDescent="0.3">
      <c r="BN408" s="41" t="str">
        <f>IF(ISBLANK('Paste Full'!BZ408),"",'Paste Full'!BZ408)</f>
        <v/>
      </c>
      <c r="BO408" s="41" t="str">
        <f>IF(ISBLANK('Paste Full'!CA408),"",'Paste Full'!CA408)</f>
        <v/>
      </c>
      <c r="BP408" s="41" t="str">
        <f>IF(ISBLANK('Paste Full'!CB408),"",'Paste Full'!CB408)</f>
        <v/>
      </c>
      <c r="BQ408" s="41" t="str">
        <f>IF(ISBLANK('Paste Full'!CC408),"",'Paste Full'!CC408)</f>
        <v/>
      </c>
      <c r="BR408" s="41" t="str">
        <f>IF(ISBLANK('Paste Full'!CD408),"",'Paste Full'!CD408)</f>
        <v/>
      </c>
      <c r="BS408" s="41" t="str">
        <f>IF(ISBLANK('Paste Full'!CE408),"",'Paste Full'!CE408)</f>
        <v/>
      </c>
      <c r="BT408" s="41" t="str">
        <f>IF(ISBLANK('Paste Full'!CF408),"",'Paste Full'!CF408)</f>
        <v/>
      </c>
      <c r="BU408" s="41" t="str">
        <f>IF(ISBLANK('Paste Full'!CG408),"",'Paste Full'!CG408)</f>
        <v/>
      </c>
      <c r="BV408" s="41" t="str">
        <f>IF(ISBLANK('Paste Full'!CH408),"",'Paste Full'!CH408)</f>
        <v/>
      </c>
    </row>
    <row r="409" spans="66:74" x14ac:dyDescent="0.3">
      <c r="BN409" s="41" t="str">
        <f>IF(ISBLANK('Paste Full'!BZ409),"",'Paste Full'!BZ409)</f>
        <v/>
      </c>
      <c r="BO409" s="41" t="str">
        <f>IF(ISBLANK('Paste Full'!CA409),"",'Paste Full'!CA409)</f>
        <v/>
      </c>
      <c r="BP409" s="41" t="str">
        <f>IF(ISBLANK('Paste Full'!CB409),"",'Paste Full'!CB409)</f>
        <v/>
      </c>
      <c r="BQ409" s="41" t="str">
        <f>IF(ISBLANK('Paste Full'!CC409),"",'Paste Full'!CC409)</f>
        <v/>
      </c>
      <c r="BR409" s="41" t="str">
        <f>IF(ISBLANK('Paste Full'!CD409),"",'Paste Full'!CD409)</f>
        <v/>
      </c>
      <c r="BS409" s="41" t="str">
        <f>IF(ISBLANK('Paste Full'!CE409),"",'Paste Full'!CE409)</f>
        <v/>
      </c>
      <c r="BT409" s="41" t="str">
        <f>IF(ISBLANK('Paste Full'!CF409),"",'Paste Full'!CF409)</f>
        <v/>
      </c>
      <c r="BU409" s="41" t="str">
        <f>IF(ISBLANK('Paste Full'!CG409),"",'Paste Full'!CG409)</f>
        <v/>
      </c>
      <c r="BV409" s="41" t="str">
        <f>IF(ISBLANK('Paste Full'!CH409),"",'Paste Full'!CH409)</f>
        <v/>
      </c>
    </row>
    <row r="410" spans="66:74" x14ac:dyDescent="0.3">
      <c r="BN410" s="41" t="str">
        <f>IF(ISBLANK('Paste Full'!BZ410),"",'Paste Full'!BZ410)</f>
        <v/>
      </c>
      <c r="BO410" s="41" t="str">
        <f>IF(ISBLANK('Paste Full'!CA410),"",'Paste Full'!CA410)</f>
        <v/>
      </c>
      <c r="BP410" s="41" t="str">
        <f>IF(ISBLANK('Paste Full'!CB410),"",'Paste Full'!CB410)</f>
        <v/>
      </c>
      <c r="BQ410" s="41" t="str">
        <f>IF(ISBLANK('Paste Full'!CC410),"",'Paste Full'!CC410)</f>
        <v/>
      </c>
      <c r="BR410" s="41" t="str">
        <f>IF(ISBLANK('Paste Full'!CD410),"",'Paste Full'!CD410)</f>
        <v/>
      </c>
      <c r="BS410" s="41" t="str">
        <f>IF(ISBLANK('Paste Full'!CE410),"",'Paste Full'!CE410)</f>
        <v/>
      </c>
      <c r="BT410" s="41" t="str">
        <f>IF(ISBLANK('Paste Full'!CF410),"",'Paste Full'!CF410)</f>
        <v/>
      </c>
      <c r="BU410" s="41" t="str">
        <f>IF(ISBLANK('Paste Full'!CG410),"",'Paste Full'!CG410)</f>
        <v/>
      </c>
      <c r="BV410" s="41" t="str">
        <f>IF(ISBLANK('Paste Full'!CH410),"",'Paste Full'!CH410)</f>
        <v/>
      </c>
    </row>
    <row r="411" spans="66:74" x14ac:dyDescent="0.3">
      <c r="BN411" s="41" t="str">
        <f>IF(ISBLANK('Paste Full'!BZ411),"",'Paste Full'!BZ411)</f>
        <v/>
      </c>
      <c r="BO411" s="41" t="str">
        <f>IF(ISBLANK('Paste Full'!CA411),"",'Paste Full'!CA411)</f>
        <v/>
      </c>
      <c r="BP411" s="41" t="str">
        <f>IF(ISBLANK('Paste Full'!CB411),"",'Paste Full'!CB411)</f>
        <v/>
      </c>
      <c r="BQ411" s="41" t="str">
        <f>IF(ISBLANK('Paste Full'!CC411),"",'Paste Full'!CC411)</f>
        <v/>
      </c>
      <c r="BR411" s="41" t="str">
        <f>IF(ISBLANK('Paste Full'!CD411),"",'Paste Full'!CD411)</f>
        <v/>
      </c>
      <c r="BS411" s="41" t="str">
        <f>IF(ISBLANK('Paste Full'!CE411),"",'Paste Full'!CE411)</f>
        <v/>
      </c>
      <c r="BT411" s="41" t="str">
        <f>IF(ISBLANK('Paste Full'!CF411),"",'Paste Full'!CF411)</f>
        <v/>
      </c>
      <c r="BU411" s="41" t="str">
        <f>IF(ISBLANK('Paste Full'!CG411),"",'Paste Full'!CG411)</f>
        <v/>
      </c>
      <c r="BV411" s="41" t="str">
        <f>IF(ISBLANK('Paste Full'!CH411),"",'Paste Full'!CH411)</f>
        <v/>
      </c>
    </row>
    <row r="412" spans="66:74" x14ac:dyDescent="0.3">
      <c r="BN412" s="41" t="str">
        <f>IF(ISBLANK('Paste Full'!BZ412),"",'Paste Full'!BZ412)</f>
        <v/>
      </c>
      <c r="BO412" s="41" t="str">
        <f>IF(ISBLANK('Paste Full'!CA412),"",'Paste Full'!CA412)</f>
        <v/>
      </c>
      <c r="BP412" s="41" t="str">
        <f>IF(ISBLANK('Paste Full'!CB412),"",'Paste Full'!CB412)</f>
        <v/>
      </c>
      <c r="BQ412" s="41" t="str">
        <f>IF(ISBLANK('Paste Full'!CC412),"",'Paste Full'!CC412)</f>
        <v/>
      </c>
      <c r="BR412" s="41" t="str">
        <f>IF(ISBLANK('Paste Full'!CD412),"",'Paste Full'!CD412)</f>
        <v/>
      </c>
      <c r="BS412" s="41" t="str">
        <f>IF(ISBLANK('Paste Full'!CE412),"",'Paste Full'!CE412)</f>
        <v/>
      </c>
      <c r="BT412" s="41" t="str">
        <f>IF(ISBLANK('Paste Full'!CF412),"",'Paste Full'!CF412)</f>
        <v/>
      </c>
      <c r="BU412" s="41" t="str">
        <f>IF(ISBLANK('Paste Full'!CG412),"",'Paste Full'!CG412)</f>
        <v/>
      </c>
      <c r="BV412" s="41" t="str">
        <f>IF(ISBLANK('Paste Full'!CH412),"",'Paste Full'!CH412)</f>
        <v/>
      </c>
    </row>
    <row r="413" spans="66:74" x14ac:dyDescent="0.3">
      <c r="BN413" s="41" t="str">
        <f>IF(ISBLANK('Paste Full'!BZ413),"",'Paste Full'!BZ413)</f>
        <v/>
      </c>
      <c r="BO413" s="41" t="str">
        <f>IF(ISBLANK('Paste Full'!CA413),"",'Paste Full'!CA413)</f>
        <v/>
      </c>
      <c r="BP413" s="41" t="str">
        <f>IF(ISBLANK('Paste Full'!CB413),"",'Paste Full'!CB413)</f>
        <v/>
      </c>
      <c r="BQ413" s="41" t="str">
        <f>IF(ISBLANK('Paste Full'!CC413),"",'Paste Full'!CC413)</f>
        <v/>
      </c>
      <c r="BR413" s="41" t="str">
        <f>IF(ISBLANK('Paste Full'!CD413),"",'Paste Full'!CD413)</f>
        <v/>
      </c>
      <c r="BS413" s="41" t="str">
        <f>IF(ISBLANK('Paste Full'!CE413),"",'Paste Full'!CE413)</f>
        <v/>
      </c>
      <c r="BT413" s="41" t="str">
        <f>IF(ISBLANK('Paste Full'!CF413),"",'Paste Full'!CF413)</f>
        <v/>
      </c>
      <c r="BU413" s="41" t="str">
        <f>IF(ISBLANK('Paste Full'!CG413),"",'Paste Full'!CG413)</f>
        <v/>
      </c>
      <c r="BV413" s="41" t="str">
        <f>IF(ISBLANK('Paste Full'!CH413),"",'Paste Full'!CH413)</f>
        <v/>
      </c>
    </row>
    <row r="414" spans="66:74" x14ac:dyDescent="0.3">
      <c r="BN414" s="41" t="str">
        <f>IF(ISBLANK('Paste Full'!BZ414),"",'Paste Full'!BZ414)</f>
        <v/>
      </c>
      <c r="BO414" s="41" t="str">
        <f>IF(ISBLANK('Paste Full'!CA414),"",'Paste Full'!CA414)</f>
        <v/>
      </c>
      <c r="BP414" s="41" t="str">
        <f>IF(ISBLANK('Paste Full'!CB414),"",'Paste Full'!CB414)</f>
        <v/>
      </c>
      <c r="BQ414" s="41" t="str">
        <f>IF(ISBLANK('Paste Full'!CC414),"",'Paste Full'!CC414)</f>
        <v/>
      </c>
      <c r="BR414" s="41" t="str">
        <f>IF(ISBLANK('Paste Full'!CD414),"",'Paste Full'!CD414)</f>
        <v/>
      </c>
      <c r="BS414" s="41" t="str">
        <f>IF(ISBLANK('Paste Full'!CE414),"",'Paste Full'!CE414)</f>
        <v/>
      </c>
      <c r="BT414" s="41" t="str">
        <f>IF(ISBLANK('Paste Full'!CF414),"",'Paste Full'!CF414)</f>
        <v/>
      </c>
      <c r="BU414" s="41" t="str">
        <f>IF(ISBLANK('Paste Full'!CG414),"",'Paste Full'!CG414)</f>
        <v/>
      </c>
      <c r="BV414" s="41" t="str">
        <f>IF(ISBLANK('Paste Full'!CH414),"",'Paste Full'!CH414)</f>
        <v/>
      </c>
    </row>
    <row r="415" spans="66:74" x14ac:dyDescent="0.3">
      <c r="BN415" s="41" t="str">
        <f>IF(ISBLANK('Paste Full'!BZ415),"",'Paste Full'!BZ415)</f>
        <v/>
      </c>
      <c r="BO415" s="41" t="str">
        <f>IF(ISBLANK('Paste Full'!CA415),"",'Paste Full'!CA415)</f>
        <v/>
      </c>
      <c r="BP415" s="41" t="str">
        <f>IF(ISBLANK('Paste Full'!CB415),"",'Paste Full'!CB415)</f>
        <v/>
      </c>
      <c r="BQ415" s="41" t="str">
        <f>IF(ISBLANK('Paste Full'!CC415),"",'Paste Full'!CC415)</f>
        <v/>
      </c>
      <c r="BR415" s="41" t="str">
        <f>IF(ISBLANK('Paste Full'!CD415),"",'Paste Full'!CD415)</f>
        <v/>
      </c>
      <c r="BS415" s="41" t="str">
        <f>IF(ISBLANK('Paste Full'!CE415),"",'Paste Full'!CE415)</f>
        <v/>
      </c>
      <c r="BT415" s="41" t="str">
        <f>IF(ISBLANK('Paste Full'!CF415),"",'Paste Full'!CF415)</f>
        <v/>
      </c>
      <c r="BU415" s="41" t="str">
        <f>IF(ISBLANK('Paste Full'!CG415),"",'Paste Full'!CG415)</f>
        <v/>
      </c>
      <c r="BV415" s="41" t="str">
        <f>IF(ISBLANK('Paste Full'!CH415),"",'Paste Full'!CH415)</f>
        <v/>
      </c>
    </row>
    <row r="416" spans="66:74" x14ac:dyDescent="0.3">
      <c r="BN416" s="41" t="str">
        <f>IF(ISBLANK('Paste Full'!BZ416),"",'Paste Full'!BZ416)</f>
        <v/>
      </c>
      <c r="BO416" s="41" t="str">
        <f>IF(ISBLANK('Paste Full'!CA416),"",'Paste Full'!CA416)</f>
        <v/>
      </c>
      <c r="BP416" s="41" t="str">
        <f>IF(ISBLANK('Paste Full'!CB416),"",'Paste Full'!CB416)</f>
        <v/>
      </c>
      <c r="BQ416" s="41" t="str">
        <f>IF(ISBLANK('Paste Full'!CC416),"",'Paste Full'!CC416)</f>
        <v/>
      </c>
      <c r="BR416" s="41" t="str">
        <f>IF(ISBLANK('Paste Full'!CD416),"",'Paste Full'!CD416)</f>
        <v/>
      </c>
      <c r="BS416" s="41" t="str">
        <f>IF(ISBLANK('Paste Full'!CE416),"",'Paste Full'!CE416)</f>
        <v/>
      </c>
      <c r="BT416" s="41" t="str">
        <f>IF(ISBLANK('Paste Full'!CF416),"",'Paste Full'!CF416)</f>
        <v/>
      </c>
      <c r="BU416" s="41" t="str">
        <f>IF(ISBLANK('Paste Full'!CG416),"",'Paste Full'!CG416)</f>
        <v/>
      </c>
      <c r="BV416" s="41" t="str">
        <f>IF(ISBLANK('Paste Full'!CH416),"",'Paste Full'!CH416)</f>
        <v/>
      </c>
    </row>
    <row r="417" spans="66:74" x14ac:dyDescent="0.3">
      <c r="BN417" s="41" t="str">
        <f>IF(ISBLANK('Paste Full'!BZ417),"",'Paste Full'!BZ417)</f>
        <v/>
      </c>
      <c r="BO417" s="41" t="str">
        <f>IF(ISBLANK('Paste Full'!CA417),"",'Paste Full'!CA417)</f>
        <v/>
      </c>
      <c r="BP417" s="41" t="str">
        <f>IF(ISBLANK('Paste Full'!CB417),"",'Paste Full'!CB417)</f>
        <v/>
      </c>
      <c r="BQ417" s="41" t="str">
        <f>IF(ISBLANK('Paste Full'!CC417),"",'Paste Full'!CC417)</f>
        <v/>
      </c>
      <c r="BR417" s="41" t="str">
        <f>IF(ISBLANK('Paste Full'!CD417),"",'Paste Full'!CD417)</f>
        <v/>
      </c>
      <c r="BS417" s="41" t="str">
        <f>IF(ISBLANK('Paste Full'!CE417),"",'Paste Full'!CE417)</f>
        <v/>
      </c>
      <c r="BT417" s="41" t="str">
        <f>IF(ISBLANK('Paste Full'!CF417),"",'Paste Full'!CF417)</f>
        <v/>
      </c>
      <c r="BU417" s="41" t="str">
        <f>IF(ISBLANK('Paste Full'!CG417),"",'Paste Full'!CG417)</f>
        <v/>
      </c>
      <c r="BV417" s="41" t="str">
        <f>IF(ISBLANK('Paste Full'!CH417),"",'Paste Full'!CH417)</f>
        <v/>
      </c>
    </row>
    <row r="418" spans="66:74" x14ac:dyDescent="0.3">
      <c r="BN418" s="41" t="str">
        <f>IF(ISBLANK('Paste Full'!BZ418),"",'Paste Full'!BZ418)</f>
        <v/>
      </c>
      <c r="BO418" s="41" t="str">
        <f>IF(ISBLANK('Paste Full'!CA418),"",'Paste Full'!CA418)</f>
        <v/>
      </c>
      <c r="BP418" s="41" t="str">
        <f>IF(ISBLANK('Paste Full'!CB418),"",'Paste Full'!CB418)</f>
        <v/>
      </c>
      <c r="BQ418" s="41" t="str">
        <f>IF(ISBLANK('Paste Full'!CC418),"",'Paste Full'!CC418)</f>
        <v/>
      </c>
      <c r="BR418" s="41" t="str">
        <f>IF(ISBLANK('Paste Full'!CD418),"",'Paste Full'!CD418)</f>
        <v/>
      </c>
      <c r="BS418" s="41" t="str">
        <f>IF(ISBLANK('Paste Full'!CE418),"",'Paste Full'!CE418)</f>
        <v/>
      </c>
      <c r="BT418" s="41" t="str">
        <f>IF(ISBLANK('Paste Full'!CF418),"",'Paste Full'!CF418)</f>
        <v/>
      </c>
      <c r="BU418" s="41" t="str">
        <f>IF(ISBLANK('Paste Full'!CG418),"",'Paste Full'!CG418)</f>
        <v/>
      </c>
      <c r="BV418" s="41" t="str">
        <f>IF(ISBLANK('Paste Full'!CH418),"",'Paste Full'!CH418)</f>
        <v/>
      </c>
    </row>
    <row r="419" spans="66:74" x14ac:dyDescent="0.3">
      <c r="BN419" s="41" t="str">
        <f>IF(ISBLANK('Paste Full'!BZ419),"",'Paste Full'!BZ419)</f>
        <v/>
      </c>
      <c r="BO419" s="41" t="str">
        <f>IF(ISBLANK('Paste Full'!CA419),"",'Paste Full'!CA419)</f>
        <v/>
      </c>
      <c r="BP419" s="41" t="str">
        <f>IF(ISBLANK('Paste Full'!CB419),"",'Paste Full'!CB419)</f>
        <v/>
      </c>
      <c r="BQ419" s="41" t="str">
        <f>IF(ISBLANK('Paste Full'!CC419),"",'Paste Full'!CC419)</f>
        <v/>
      </c>
      <c r="BR419" s="41" t="str">
        <f>IF(ISBLANK('Paste Full'!CD419),"",'Paste Full'!CD419)</f>
        <v/>
      </c>
      <c r="BS419" s="41" t="str">
        <f>IF(ISBLANK('Paste Full'!CE419),"",'Paste Full'!CE419)</f>
        <v/>
      </c>
      <c r="BT419" s="41" t="str">
        <f>IF(ISBLANK('Paste Full'!CF419),"",'Paste Full'!CF419)</f>
        <v/>
      </c>
      <c r="BU419" s="41" t="str">
        <f>IF(ISBLANK('Paste Full'!CG419),"",'Paste Full'!CG419)</f>
        <v/>
      </c>
      <c r="BV419" s="41" t="str">
        <f>IF(ISBLANK('Paste Full'!CH419),"",'Paste Full'!CH419)</f>
        <v/>
      </c>
    </row>
    <row r="420" spans="66:74" x14ac:dyDescent="0.3">
      <c r="BN420" s="41" t="str">
        <f>IF(ISBLANK('Paste Full'!BZ420),"",'Paste Full'!BZ420)</f>
        <v/>
      </c>
      <c r="BO420" s="41" t="str">
        <f>IF(ISBLANK('Paste Full'!CA420),"",'Paste Full'!CA420)</f>
        <v/>
      </c>
      <c r="BP420" s="41" t="str">
        <f>IF(ISBLANK('Paste Full'!CB420),"",'Paste Full'!CB420)</f>
        <v/>
      </c>
      <c r="BQ420" s="41" t="str">
        <f>IF(ISBLANK('Paste Full'!CC420),"",'Paste Full'!CC420)</f>
        <v/>
      </c>
      <c r="BR420" s="41" t="str">
        <f>IF(ISBLANK('Paste Full'!CD420),"",'Paste Full'!CD420)</f>
        <v/>
      </c>
      <c r="BS420" s="41" t="str">
        <f>IF(ISBLANK('Paste Full'!CE420),"",'Paste Full'!CE420)</f>
        <v/>
      </c>
      <c r="BT420" s="41" t="str">
        <f>IF(ISBLANK('Paste Full'!CF420),"",'Paste Full'!CF420)</f>
        <v/>
      </c>
      <c r="BU420" s="41" t="str">
        <f>IF(ISBLANK('Paste Full'!CG420),"",'Paste Full'!CG420)</f>
        <v/>
      </c>
      <c r="BV420" s="41" t="str">
        <f>IF(ISBLANK('Paste Full'!CH420),"",'Paste Full'!CH420)</f>
        <v/>
      </c>
    </row>
    <row r="421" spans="66:74" x14ac:dyDescent="0.3">
      <c r="BN421" s="41" t="str">
        <f>IF(ISBLANK('Paste Full'!BZ421),"",'Paste Full'!BZ421)</f>
        <v/>
      </c>
      <c r="BO421" s="41" t="str">
        <f>IF(ISBLANK('Paste Full'!CA421),"",'Paste Full'!CA421)</f>
        <v/>
      </c>
      <c r="BP421" s="41" t="str">
        <f>IF(ISBLANK('Paste Full'!CB421),"",'Paste Full'!CB421)</f>
        <v/>
      </c>
      <c r="BQ421" s="41" t="str">
        <f>IF(ISBLANK('Paste Full'!CC421),"",'Paste Full'!CC421)</f>
        <v/>
      </c>
      <c r="BR421" s="41" t="str">
        <f>IF(ISBLANK('Paste Full'!CD421),"",'Paste Full'!CD421)</f>
        <v/>
      </c>
      <c r="BS421" s="41" t="str">
        <f>IF(ISBLANK('Paste Full'!CE421),"",'Paste Full'!CE421)</f>
        <v/>
      </c>
      <c r="BT421" s="41" t="str">
        <f>IF(ISBLANK('Paste Full'!CF421),"",'Paste Full'!CF421)</f>
        <v/>
      </c>
      <c r="BU421" s="41" t="str">
        <f>IF(ISBLANK('Paste Full'!CG421),"",'Paste Full'!CG421)</f>
        <v/>
      </c>
      <c r="BV421" s="41" t="str">
        <f>IF(ISBLANK('Paste Full'!CH421),"",'Paste Full'!CH421)</f>
        <v/>
      </c>
    </row>
    <row r="422" spans="66:74" x14ac:dyDescent="0.3">
      <c r="BN422" s="41" t="str">
        <f>IF(ISBLANK('Paste Full'!BZ422),"",'Paste Full'!BZ422)</f>
        <v/>
      </c>
      <c r="BO422" s="41" t="str">
        <f>IF(ISBLANK('Paste Full'!CA422),"",'Paste Full'!CA422)</f>
        <v/>
      </c>
      <c r="BP422" s="41" t="str">
        <f>IF(ISBLANK('Paste Full'!CB422),"",'Paste Full'!CB422)</f>
        <v/>
      </c>
      <c r="BQ422" s="41" t="str">
        <f>IF(ISBLANK('Paste Full'!CC422),"",'Paste Full'!CC422)</f>
        <v/>
      </c>
      <c r="BR422" s="41" t="str">
        <f>IF(ISBLANK('Paste Full'!CD422),"",'Paste Full'!CD422)</f>
        <v/>
      </c>
      <c r="BS422" s="41" t="str">
        <f>IF(ISBLANK('Paste Full'!CE422),"",'Paste Full'!CE422)</f>
        <v/>
      </c>
      <c r="BT422" s="41" t="str">
        <f>IF(ISBLANK('Paste Full'!CF422),"",'Paste Full'!CF422)</f>
        <v/>
      </c>
      <c r="BU422" s="41" t="str">
        <f>IF(ISBLANK('Paste Full'!CG422),"",'Paste Full'!CG422)</f>
        <v/>
      </c>
      <c r="BV422" s="41" t="str">
        <f>IF(ISBLANK('Paste Full'!CH422),"",'Paste Full'!CH422)</f>
        <v/>
      </c>
    </row>
    <row r="423" spans="66:74" x14ac:dyDescent="0.3">
      <c r="BN423" s="41" t="str">
        <f>IF(ISBLANK('Paste Full'!BZ423),"",'Paste Full'!BZ423)</f>
        <v/>
      </c>
      <c r="BO423" s="41" t="str">
        <f>IF(ISBLANK('Paste Full'!CA423),"",'Paste Full'!CA423)</f>
        <v/>
      </c>
      <c r="BP423" s="41" t="str">
        <f>IF(ISBLANK('Paste Full'!CB423),"",'Paste Full'!CB423)</f>
        <v/>
      </c>
      <c r="BQ423" s="41" t="str">
        <f>IF(ISBLANK('Paste Full'!CC423),"",'Paste Full'!CC423)</f>
        <v/>
      </c>
      <c r="BR423" s="41" t="str">
        <f>IF(ISBLANK('Paste Full'!CD423),"",'Paste Full'!CD423)</f>
        <v/>
      </c>
      <c r="BS423" s="41" t="str">
        <f>IF(ISBLANK('Paste Full'!CE423),"",'Paste Full'!CE423)</f>
        <v/>
      </c>
      <c r="BT423" s="41" t="str">
        <f>IF(ISBLANK('Paste Full'!CF423),"",'Paste Full'!CF423)</f>
        <v/>
      </c>
      <c r="BU423" s="41" t="str">
        <f>IF(ISBLANK('Paste Full'!CG423),"",'Paste Full'!CG423)</f>
        <v/>
      </c>
      <c r="BV423" s="41" t="str">
        <f>IF(ISBLANK('Paste Full'!CH423),"",'Paste Full'!CH423)</f>
        <v/>
      </c>
    </row>
    <row r="424" spans="66:74" x14ac:dyDescent="0.3">
      <c r="BN424" s="41" t="str">
        <f>IF(ISBLANK('Paste Full'!BZ424),"",'Paste Full'!BZ424)</f>
        <v/>
      </c>
      <c r="BO424" s="41" t="str">
        <f>IF(ISBLANK('Paste Full'!CA424),"",'Paste Full'!CA424)</f>
        <v/>
      </c>
      <c r="BP424" s="41" t="str">
        <f>IF(ISBLANK('Paste Full'!CB424),"",'Paste Full'!CB424)</f>
        <v/>
      </c>
      <c r="BQ424" s="41" t="str">
        <f>IF(ISBLANK('Paste Full'!CC424),"",'Paste Full'!CC424)</f>
        <v/>
      </c>
      <c r="BR424" s="41" t="str">
        <f>IF(ISBLANK('Paste Full'!CD424),"",'Paste Full'!CD424)</f>
        <v/>
      </c>
      <c r="BS424" s="41" t="str">
        <f>IF(ISBLANK('Paste Full'!CE424),"",'Paste Full'!CE424)</f>
        <v/>
      </c>
      <c r="BT424" s="41" t="str">
        <f>IF(ISBLANK('Paste Full'!CF424),"",'Paste Full'!CF424)</f>
        <v/>
      </c>
      <c r="BU424" s="41" t="str">
        <f>IF(ISBLANK('Paste Full'!CG424),"",'Paste Full'!CG424)</f>
        <v/>
      </c>
      <c r="BV424" s="41" t="str">
        <f>IF(ISBLANK('Paste Full'!CH424),"",'Paste Full'!CH424)</f>
        <v/>
      </c>
    </row>
    <row r="425" spans="66:74" x14ac:dyDescent="0.3">
      <c r="BN425" s="41" t="str">
        <f>IF(ISBLANK('Paste Full'!BZ425),"",'Paste Full'!BZ425)</f>
        <v/>
      </c>
      <c r="BO425" s="41" t="str">
        <f>IF(ISBLANK('Paste Full'!CA425),"",'Paste Full'!CA425)</f>
        <v/>
      </c>
      <c r="BP425" s="41" t="str">
        <f>IF(ISBLANK('Paste Full'!CB425),"",'Paste Full'!CB425)</f>
        <v/>
      </c>
      <c r="BQ425" s="41" t="str">
        <f>IF(ISBLANK('Paste Full'!CC425),"",'Paste Full'!CC425)</f>
        <v/>
      </c>
      <c r="BR425" s="41" t="str">
        <f>IF(ISBLANK('Paste Full'!CD425),"",'Paste Full'!CD425)</f>
        <v/>
      </c>
      <c r="BS425" s="41" t="str">
        <f>IF(ISBLANK('Paste Full'!CE425),"",'Paste Full'!CE425)</f>
        <v/>
      </c>
      <c r="BT425" s="41" t="str">
        <f>IF(ISBLANK('Paste Full'!CF425),"",'Paste Full'!CF425)</f>
        <v/>
      </c>
      <c r="BU425" s="41" t="str">
        <f>IF(ISBLANK('Paste Full'!CG425),"",'Paste Full'!CG425)</f>
        <v/>
      </c>
      <c r="BV425" s="41" t="str">
        <f>IF(ISBLANK('Paste Full'!CH425),"",'Paste Full'!CH425)</f>
        <v/>
      </c>
    </row>
    <row r="426" spans="66:74" x14ac:dyDescent="0.3">
      <c r="BN426" s="41" t="str">
        <f>IF(ISBLANK('Paste Full'!BZ426),"",'Paste Full'!BZ426)</f>
        <v/>
      </c>
      <c r="BO426" s="41" t="str">
        <f>IF(ISBLANK('Paste Full'!CA426),"",'Paste Full'!CA426)</f>
        <v/>
      </c>
      <c r="BP426" s="41" t="str">
        <f>IF(ISBLANK('Paste Full'!CB426),"",'Paste Full'!CB426)</f>
        <v/>
      </c>
      <c r="BQ426" s="41" t="str">
        <f>IF(ISBLANK('Paste Full'!CC426),"",'Paste Full'!CC426)</f>
        <v/>
      </c>
      <c r="BR426" s="41" t="str">
        <f>IF(ISBLANK('Paste Full'!CD426),"",'Paste Full'!CD426)</f>
        <v/>
      </c>
      <c r="BS426" s="41" t="str">
        <f>IF(ISBLANK('Paste Full'!CE426),"",'Paste Full'!CE426)</f>
        <v/>
      </c>
      <c r="BT426" s="41" t="str">
        <f>IF(ISBLANK('Paste Full'!CF426),"",'Paste Full'!CF426)</f>
        <v/>
      </c>
      <c r="BU426" s="41" t="str">
        <f>IF(ISBLANK('Paste Full'!CG426),"",'Paste Full'!CG426)</f>
        <v/>
      </c>
      <c r="BV426" s="41" t="str">
        <f>IF(ISBLANK('Paste Full'!CH426),"",'Paste Full'!CH426)</f>
        <v/>
      </c>
    </row>
    <row r="427" spans="66:74" x14ac:dyDescent="0.3">
      <c r="BN427" s="41" t="str">
        <f>IF(ISBLANK('Paste Full'!BZ427),"",'Paste Full'!BZ427)</f>
        <v/>
      </c>
      <c r="BO427" s="41" t="str">
        <f>IF(ISBLANK('Paste Full'!CA427),"",'Paste Full'!CA427)</f>
        <v/>
      </c>
      <c r="BP427" s="41" t="str">
        <f>IF(ISBLANK('Paste Full'!CB427),"",'Paste Full'!CB427)</f>
        <v/>
      </c>
      <c r="BQ427" s="41" t="str">
        <f>IF(ISBLANK('Paste Full'!CC427),"",'Paste Full'!CC427)</f>
        <v/>
      </c>
      <c r="BR427" s="41" t="str">
        <f>IF(ISBLANK('Paste Full'!CD427),"",'Paste Full'!CD427)</f>
        <v/>
      </c>
      <c r="BS427" s="41" t="str">
        <f>IF(ISBLANK('Paste Full'!CE427),"",'Paste Full'!CE427)</f>
        <v/>
      </c>
      <c r="BT427" s="41" t="str">
        <f>IF(ISBLANK('Paste Full'!CF427),"",'Paste Full'!CF427)</f>
        <v/>
      </c>
      <c r="BU427" s="41" t="str">
        <f>IF(ISBLANK('Paste Full'!CG427),"",'Paste Full'!CG427)</f>
        <v/>
      </c>
      <c r="BV427" s="41" t="str">
        <f>IF(ISBLANK('Paste Full'!CH427),"",'Paste Full'!CH427)</f>
        <v/>
      </c>
    </row>
    <row r="428" spans="66:74" x14ac:dyDescent="0.3">
      <c r="BN428" s="41" t="str">
        <f>IF(ISBLANK('Paste Full'!BZ428),"",'Paste Full'!BZ428)</f>
        <v/>
      </c>
      <c r="BO428" s="41" t="str">
        <f>IF(ISBLANK('Paste Full'!CA428),"",'Paste Full'!CA428)</f>
        <v/>
      </c>
      <c r="BP428" s="41" t="str">
        <f>IF(ISBLANK('Paste Full'!CB428),"",'Paste Full'!CB428)</f>
        <v/>
      </c>
      <c r="BQ428" s="41" t="str">
        <f>IF(ISBLANK('Paste Full'!CC428),"",'Paste Full'!CC428)</f>
        <v/>
      </c>
      <c r="BR428" s="41" t="str">
        <f>IF(ISBLANK('Paste Full'!CD428),"",'Paste Full'!CD428)</f>
        <v/>
      </c>
      <c r="BS428" s="41" t="str">
        <f>IF(ISBLANK('Paste Full'!CE428),"",'Paste Full'!CE428)</f>
        <v/>
      </c>
      <c r="BT428" s="41" t="str">
        <f>IF(ISBLANK('Paste Full'!CF428),"",'Paste Full'!CF428)</f>
        <v/>
      </c>
      <c r="BU428" s="41" t="str">
        <f>IF(ISBLANK('Paste Full'!CG428),"",'Paste Full'!CG428)</f>
        <v/>
      </c>
      <c r="BV428" s="41" t="str">
        <f>IF(ISBLANK('Paste Full'!CH428),"",'Paste Full'!CH428)</f>
        <v/>
      </c>
    </row>
    <row r="429" spans="66:74" x14ac:dyDescent="0.3">
      <c r="BN429" s="41" t="str">
        <f>IF(ISBLANK('Paste Full'!BZ429),"",'Paste Full'!BZ429)</f>
        <v/>
      </c>
      <c r="BO429" s="41" t="str">
        <f>IF(ISBLANK('Paste Full'!CA429),"",'Paste Full'!CA429)</f>
        <v/>
      </c>
      <c r="BP429" s="41" t="str">
        <f>IF(ISBLANK('Paste Full'!CB429),"",'Paste Full'!CB429)</f>
        <v/>
      </c>
      <c r="BQ429" s="41" t="str">
        <f>IF(ISBLANK('Paste Full'!CC429),"",'Paste Full'!CC429)</f>
        <v/>
      </c>
      <c r="BR429" s="41" t="str">
        <f>IF(ISBLANK('Paste Full'!CD429),"",'Paste Full'!CD429)</f>
        <v/>
      </c>
      <c r="BS429" s="41" t="str">
        <f>IF(ISBLANK('Paste Full'!CE429),"",'Paste Full'!CE429)</f>
        <v/>
      </c>
      <c r="BT429" s="41" t="str">
        <f>IF(ISBLANK('Paste Full'!CF429),"",'Paste Full'!CF429)</f>
        <v/>
      </c>
      <c r="BU429" s="41" t="str">
        <f>IF(ISBLANK('Paste Full'!CG429),"",'Paste Full'!CG429)</f>
        <v/>
      </c>
      <c r="BV429" s="41" t="str">
        <f>IF(ISBLANK('Paste Full'!CH429),"",'Paste Full'!CH429)</f>
        <v/>
      </c>
    </row>
    <row r="430" spans="66:74" x14ac:dyDescent="0.3">
      <c r="BN430" s="41" t="str">
        <f>IF(ISBLANK('Paste Full'!BZ430),"",'Paste Full'!BZ430)</f>
        <v/>
      </c>
      <c r="BO430" s="41" t="str">
        <f>IF(ISBLANK('Paste Full'!CA430),"",'Paste Full'!CA430)</f>
        <v/>
      </c>
      <c r="BP430" s="41" t="str">
        <f>IF(ISBLANK('Paste Full'!CB430),"",'Paste Full'!CB430)</f>
        <v/>
      </c>
      <c r="BQ430" s="41" t="str">
        <f>IF(ISBLANK('Paste Full'!CC430),"",'Paste Full'!CC430)</f>
        <v/>
      </c>
      <c r="BR430" s="41" t="str">
        <f>IF(ISBLANK('Paste Full'!CD430),"",'Paste Full'!CD430)</f>
        <v/>
      </c>
      <c r="BS430" s="41" t="str">
        <f>IF(ISBLANK('Paste Full'!CE430),"",'Paste Full'!CE430)</f>
        <v/>
      </c>
      <c r="BT430" s="41" t="str">
        <f>IF(ISBLANK('Paste Full'!CF430),"",'Paste Full'!CF430)</f>
        <v/>
      </c>
      <c r="BU430" s="41" t="str">
        <f>IF(ISBLANK('Paste Full'!CG430),"",'Paste Full'!CG430)</f>
        <v/>
      </c>
      <c r="BV430" s="41" t="str">
        <f>IF(ISBLANK('Paste Full'!CH430),"",'Paste Full'!CH430)</f>
        <v/>
      </c>
    </row>
    <row r="431" spans="66:74" x14ac:dyDescent="0.3">
      <c r="BN431" s="41" t="str">
        <f>IF(ISBLANK('Paste Full'!BZ431),"",'Paste Full'!BZ431)</f>
        <v/>
      </c>
      <c r="BO431" s="41" t="str">
        <f>IF(ISBLANK('Paste Full'!CA431),"",'Paste Full'!CA431)</f>
        <v/>
      </c>
      <c r="BP431" s="41" t="str">
        <f>IF(ISBLANK('Paste Full'!CB431),"",'Paste Full'!CB431)</f>
        <v/>
      </c>
      <c r="BQ431" s="41" t="str">
        <f>IF(ISBLANK('Paste Full'!CC431),"",'Paste Full'!CC431)</f>
        <v/>
      </c>
      <c r="BR431" s="41" t="str">
        <f>IF(ISBLANK('Paste Full'!CD431),"",'Paste Full'!CD431)</f>
        <v/>
      </c>
      <c r="BS431" s="41" t="str">
        <f>IF(ISBLANK('Paste Full'!CE431),"",'Paste Full'!CE431)</f>
        <v/>
      </c>
      <c r="BT431" s="41" t="str">
        <f>IF(ISBLANK('Paste Full'!CF431),"",'Paste Full'!CF431)</f>
        <v/>
      </c>
      <c r="BU431" s="41" t="str">
        <f>IF(ISBLANK('Paste Full'!CG431),"",'Paste Full'!CG431)</f>
        <v/>
      </c>
      <c r="BV431" s="41" t="str">
        <f>IF(ISBLANK('Paste Full'!CH431),"",'Paste Full'!CH431)</f>
        <v/>
      </c>
    </row>
    <row r="432" spans="66:74" x14ac:dyDescent="0.3">
      <c r="BN432" s="41" t="str">
        <f>IF(ISBLANK('Paste Full'!BZ432),"",'Paste Full'!BZ432)</f>
        <v/>
      </c>
      <c r="BO432" s="41" t="str">
        <f>IF(ISBLANK('Paste Full'!CA432),"",'Paste Full'!CA432)</f>
        <v/>
      </c>
      <c r="BP432" s="41" t="str">
        <f>IF(ISBLANK('Paste Full'!CB432),"",'Paste Full'!CB432)</f>
        <v/>
      </c>
      <c r="BQ432" s="41" t="str">
        <f>IF(ISBLANK('Paste Full'!CC432),"",'Paste Full'!CC432)</f>
        <v/>
      </c>
      <c r="BR432" s="41" t="str">
        <f>IF(ISBLANK('Paste Full'!CD432),"",'Paste Full'!CD432)</f>
        <v/>
      </c>
      <c r="BS432" s="41" t="str">
        <f>IF(ISBLANK('Paste Full'!CE432),"",'Paste Full'!CE432)</f>
        <v/>
      </c>
      <c r="BT432" s="41" t="str">
        <f>IF(ISBLANK('Paste Full'!CF432),"",'Paste Full'!CF432)</f>
        <v/>
      </c>
      <c r="BU432" s="41" t="str">
        <f>IF(ISBLANK('Paste Full'!CG432),"",'Paste Full'!CG432)</f>
        <v/>
      </c>
      <c r="BV432" s="41" t="str">
        <f>IF(ISBLANK('Paste Full'!CH432),"",'Paste Full'!CH432)</f>
        <v/>
      </c>
    </row>
    <row r="433" spans="66:74" x14ac:dyDescent="0.3">
      <c r="BN433" s="41" t="str">
        <f>IF(ISBLANK('Paste Full'!BZ433),"",'Paste Full'!BZ433)</f>
        <v/>
      </c>
      <c r="BO433" s="41" t="str">
        <f>IF(ISBLANK('Paste Full'!CA433),"",'Paste Full'!CA433)</f>
        <v/>
      </c>
      <c r="BP433" s="41" t="str">
        <f>IF(ISBLANK('Paste Full'!CB433),"",'Paste Full'!CB433)</f>
        <v/>
      </c>
      <c r="BQ433" s="41" t="str">
        <f>IF(ISBLANK('Paste Full'!CC433),"",'Paste Full'!CC433)</f>
        <v/>
      </c>
      <c r="BR433" s="41" t="str">
        <f>IF(ISBLANK('Paste Full'!CD433),"",'Paste Full'!CD433)</f>
        <v/>
      </c>
      <c r="BS433" s="41" t="str">
        <f>IF(ISBLANK('Paste Full'!CE433),"",'Paste Full'!CE433)</f>
        <v/>
      </c>
      <c r="BT433" s="41" t="str">
        <f>IF(ISBLANK('Paste Full'!CF433),"",'Paste Full'!CF433)</f>
        <v/>
      </c>
      <c r="BU433" s="41" t="str">
        <f>IF(ISBLANK('Paste Full'!CG433),"",'Paste Full'!CG433)</f>
        <v/>
      </c>
      <c r="BV433" s="41" t="str">
        <f>IF(ISBLANK('Paste Full'!CH433),"",'Paste Full'!CH433)</f>
        <v/>
      </c>
    </row>
    <row r="434" spans="66:74" x14ac:dyDescent="0.3">
      <c r="BN434" s="41" t="str">
        <f>IF(ISBLANK('Paste Full'!BZ434),"",'Paste Full'!BZ434)</f>
        <v/>
      </c>
      <c r="BO434" s="41" t="str">
        <f>IF(ISBLANK('Paste Full'!CA434),"",'Paste Full'!CA434)</f>
        <v/>
      </c>
      <c r="BP434" s="41" t="str">
        <f>IF(ISBLANK('Paste Full'!CB434),"",'Paste Full'!CB434)</f>
        <v/>
      </c>
      <c r="BQ434" s="41" t="str">
        <f>IF(ISBLANK('Paste Full'!CC434),"",'Paste Full'!CC434)</f>
        <v/>
      </c>
      <c r="BR434" s="41" t="str">
        <f>IF(ISBLANK('Paste Full'!CD434),"",'Paste Full'!CD434)</f>
        <v/>
      </c>
      <c r="BS434" s="41" t="str">
        <f>IF(ISBLANK('Paste Full'!CE434),"",'Paste Full'!CE434)</f>
        <v/>
      </c>
      <c r="BT434" s="41" t="str">
        <f>IF(ISBLANK('Paste Full'!CF434),"",'Paste Full'!CF434)</f>
        <v/>
      </c>
      <c r="BU434" s="41" t="str">
        <f>IF(ISBLANK('Paste Full'!CG434),"",'Paste Full'!CG434)</f>
        <v/>
      </c>
      <c r="BV434" s="41" t="str">
        <f>IF(ISBLANK('Paste Full'!CH434),"",'Paste Full'!CH434)</f>
        <v/>
      </c>
    </row>
    <row r="435" spans="66:74" x14ac:dyDescent="0.3">
      <c r="BN435" s="41" t="str">
        <f>IF(ISBLANK('Paste Full'!BZ435),"",'Paste Full'!BZ435)</f>
        <v/>
      </c>
      <c r="BO435" s="41" t="str">
        <f>IF(ISBLANK('Paste Full'!CA435),"",'Paste Full'!CA435)</f>
        <v/>
      </c>
      <c r="BP435" s="41" t="str">
        <f>IF(ISBLANK('Paste Full'!CB435),"",'Paste Full'!CB435)</f>
        <v/>
      </c>
      <c r="BQ435" s="41" t="str">
        <f>IF(ISBLANK('Paste Full'!CC435),"",'Paste Full'!CC435)</f>
        <v/>
      </c>
      <c r="BR435" s="41" t="str">
        <f>IF(ISBLANK('Paste Full'!CD435),"",'Paste Full'!CD435)</f>
        <v/>
      </c>
      <c r="BS435" s="41" t="str">
        <f>IF(ISBLANK('Paste Full'!CE435),"",'Paste Full'!CE435)</f>
        <v/>
      </c>
      <c r="BT435" s="41" t="str">
        <f>IF(ISBLANK('Paste Full'!CF435),"",'Paste Full'!CF435)</f>
        <v/>
      </c>
      <c r="BU435" s="41" t="str">
        <f>IF(ISBLANK('Paste Full'!CG435),"",'Paste Full'!CG435)</f>
        <v/>
      </c>
      <c r="BV435" s="41" t="str">
        <f>IF(ISBLANK('Paste Full'!CH435),"",'Paste Full'!CH435)</f>
        <v/>
      </c>
    </row>
    <row r="436" spans="66:74" x14ac:dyDescent="0.3">
      <c r="BN436" s="41" t="str">
        <f>IF(ISBLANK('Paste Full'!BZ436),"",'Paste Full'!BZ436)</f>
        <v/>
      </c>
      <c r="BO436" s="41" t="str">
        <f>IF(ISBLANK('Paste Full'!CA436),"",'Paste Full'!CA436)</f>
        <v/>
      </c>
      <c r="BP436" s="41" t="str">
        <f>IF(ISBLANK('Paste Full'!CB436),"",'Paste Full'!CB436)</f>
        <v/>
      </c>
      <c r="BQ436" s="41" t="str">
        <f>IF(ISBLANK('Paste Full'!CC436),"",'Paste Full'!CC436)</f>
        <v/>
      </c>
      <c r="BR436" s="41" t="str">
        <f>IF(ISBLANK('Paste Full'!CD436),"",'Paste Full'!CD436)</f>
        <v/>
      </c>
      <c r="BS436" s="41" t="str">
        <f>IF(ISBLANK('Paste Full'!CE436),"",'Paste Full'!CE436)</f>
        <v/>
      </c>
      <c r="BT436" s="41" t="str">
        <f>IF(ISBLANK('Paste Full'!CF436),"",'Paste Full'!CF436)</f>
        <v/>
      </c>
      <c r="BU436" s="41" t="str">
        <f>IF(ISBLANK('Paste Full'!CG436),"",'Paste Full'!CG436)</f>
        <v/>
      </c>
      <c r="BV436" s="41" t="str">
        <f>IF(ISBLANK('Paste Full'!CH436),"",'Paste Full'!CH436)</f>
        <v/>
      </c>
    </row>
    <row r="437" spans="66:74" x14ac:dyDescent="0.3">
      <c r="BN437" s="41" t="str">
        <f>IF(ISBLANK('Paste Full'!BZ437),"",'Paste Full'!BZ437)</f>
        <v/>
      </c>
      <c r="BO437" s="41" t="str">
        <f>IF(ISBLANK('Paste Full'!CA437),"",'Paste Full'!CA437)</f>
        <v/>
      </c>
      <c r="BP437" s="41" t="str">
        <f>IF(ISBLANK('Paste Full'!CB437),"",'Paste Full'!CB437)</f>
        <v/>
      </c>
      <c r="BQ437" s="41" t="str">
        <f>IF(ISBLANK('Paste Full'!CC437),"",'Paste Full'!CC437)</f>
        <v/>
      </c>
      <c r="BR437" s="41" t="str">
        <f>IF(ISBLANK('Paste Full'!CD437),"",'Paste Full'!CD437)</f>
        <v/>
      </c>
      <c r="BS437" s="41" t="str">
        <f>IF(ISBLANK('Paste Full'!CE437),"",'Paste Full'!CE437)</f>
        <v/>
      </c>
      <c r="BT437" s="41" t="str">
        <f>IF(ISBLANK('Paste Full'!CF437),"",'Paste Full'!CF437)</f>
        <v/>
      </c>
      <c r="BU437" s="41" t="str">
        <f>IF(ISBLANK('Paste Full'!CG437),"",'Paste Full'!CG437)</f>
        <v/>
      </c>
      <c r="BV437" s="41" t="str">
        <f>IF(ISBLANK('Paste Full'!CH437),"",'Paste Full'!CH437)</f>
        <v/>
      </c>
    </row>
    <row r="438" spans="66:74" x14ac:dyDescent="0.3">
      <c r="BN438" s="41" t="str">
        <f>IF(ISBLANK('Paste Full'!BZ438),"",'Paste Full'!BZ438)</f>
        <v/>
      </c>
      <c r="BO438" s="41" t="str">
        <f>IF(ISBLANK('Paste Full'!CA438),"",'Paste Full'!CA438)</f>
        <v/>
      </c>
      <c r="BP438" s="41" t="str">
        <f>IF(ISBLANK('Paste Full'!CB438),"",'Paste Full'!CB438)</f>
        <v/>
      </c>
      <c r="BQ438" s="41" t="str">
        <f>IF(ISBLANK('Paste Full'!CC438),"",'Paste Full'!CC438)</f>
        <v/>
      </c>
      <c r="BR438" s="41" t="str">
        <f>IF(ISBLANK('Paste Full'!CD438),"",'Paste Full'!CD438)</f>
        <v/>
      </c>
      <c r="BS438" s="41" t="str">
        <f>IF(ISBLANK('Paste Full'!CE438),"",'Paste Full'!CE438)</f>
        <v/>
      </c>
      <c r="BT438" s="41" t="str">
        <f>IF(ISBLANK('Paste Full'!CF438),"",'Paste Full'!CF438)</f>
        <v/>
      </c>
      <c r="BU438" s="41" t="str">
        <f>IF(ISBLANK('Paste Full'!CG438),"",'Paste Full'!CG438)</f>
        <v/>
      </c>
      <c r="BV438" s="41" t="str">
        <f>IF(ISBLANK('Paste Full'!CH438),"",'Paste Full'!CH438)</f>
        <v/>
      </c>
    </row>
    <row r="439" spans="66:74" x14ac:dyDescent="0.3">
      <c r="BN439" s="41" t="str">
        <f>IF(ISBLANK('Paste Full'!BZ439),"",'Paste Full'!BZ439)</f>
        <v/>
      </c>
      <c r="BO439" s="41" t="str">
        <f>IF(ISBLANK('Paste Full'!CA439),"",'Paste Full'!CA439)</f>
        <v/>
      </c>
      <c r="BP439" s="41" t="str">
        <f>IF(ISBLANK('Paste Full'!CB439),"",'Paste Full'!CB439)</f>
        <v/>
      </c>
      <c r="BQ439" s="41" t="str">
        <f>IF(ISBLANK('Paste Full'!CC439),"",'Paste Full'!CC439)</f>
        <v/>
      </c>
      <c r="BR439" s="41" t="str">
        <f>IF(ISBLANK('Paste Full'!CD439),"",'Paste Full'!CD439)</f>
        <v/>
      </c>
      <c r="BS439" s="41" t="str">
        <f>IF(ISBLANK('Paste Full'!CE439),"",'Paste Full'!CE439)</f>
        <v/>
      </c>
      <c r="BT439" s="41" t="str">
        <f>IF(ISBLANK('Paste Full'!CF439),"",'Paste Full'!CF439)</f>
        <v/>
      </c>
      <c r="BU439" s="41" t="str">
        <f>IF(ISBLANK('Paste Full'!CG439),"",'Paste Full'!CG439)</f>
        <v/>
      </c>
      <c r="BV439" s="41" t="str">
        <f>IF(ISBLANK('Paste Full'!CH439),"",'Paste Full'!CH439)</f>
        <v/>
      </c>
    </row>
    <row r="440" spans="66:74" x14ac:dyDescent="0.3">
      <c r="BN440" s="41" t="str">
        <f>IF(ISBLANK('Paste Full'!BZ440),"",'Paste Full'!BZ440)</f>
        <v/>
      </c>
      <c r="BO440" s="41" t="str">
        <f>IF(ISBLANK('Paste Full'!CA440),"",'Paste Full'!CA440)</f>
        <v/>
      </c>
      <c r="BP440" s="41" t="str">
        <f>IF(ISBLANK('Paste Full'!CB440),"",'Paste Full'!CB440)</f>
        <v/>
      </c>
      <c r="BQ440" s="41" t="str">
        <f>IF(ISBLANK('Paste Full'!CC440),"",'Paste Full'!CC440)</f>
        <v/>
      </c>
      <c r="BR440" s="41" t="str">
        <f>IF(ISBLANK('Paste Full'!CD440),"",'Paste Full'!CD440)</f>
        <v/>
      </c>
      <c r="BS440" s="41" t="str">
        <f>IF(ISBLANK('Paste Full'!CE440),"",'Paste Full'!CE440)</f>
        <v/>
      </c>
      <c r="BT440" s="41" t="str">
        <f>IF(ISBLANK('Paste Full'!CF440),"",'Paste Full'!CF440)</f>
        <v/>
      </c>
      <c r="BU440" s="41" t="str">
        <f>IF(ISBLANK('Paste Full'!CG440),"",'Paste Full'!CG440)</f>
        <v/>
      </c>
      <c r="BV440" s="41" t="str">
        <f>IF(ISBLANK('Paste Full'!CH440),"",'Paste Full'!CH440)</f>
        <v/>
      </c>
    </row>
    <row r="441" spans="66:74" x14ac:dyDescent="0.3">
      <c r="BN441" s="41" t="str">
        <f>IF(ISBLANK('Paste Full'!BZ441),"",'Paste Full'!BZ441)</f>
        <v/>
      </c>
      <c r="BO441" s="41" t="str">
        <f>IF(ISBLANK('Paste Full'!CA441),"",'Paste Full'!CA441)</f>
        <v/>
      </c>
      <c r="BP441" s="41" t="str">
        <f>IF(ISBLANK('Paste Full'!CB441),"",'Paste Full'!CB441)</f>
        <v/>
      </c>
      <c r="BQ441" s="41" t="str">
        <f>IF(ISBLANK('Paste Full'!CC441),"",'Paste Full'!CC441)</f>
        <v/>
      </c>
      <c r="BR441" s="41" t="str">
        <f>IF(ISBLANK('Paste Full'!CD441),"",'Paste Full'!CD441)</f>
        <v/>
      </c>
      <c r="BS441" s="41" t="str">
        <f>IF(ISBLANK('Paste Full'!CE441),"",'Paste Full'!CE441)</f>
        <v/>
      </c>
      <c r="BT441" s="41" t="str">
        <f>IF(ISBLANK('Paste Full'!CF441),"",'Paste Full'!CF441)</f>
        <v/>
      </c>
      <c r="BU441" s="41" t="str">
        <f>IF(ISBLANK('Paste Full'!CG441),"",'Paste Full'!CG441)</f>
        <v/>
      </c>
      <c r="BV441" s="41" t="str">
        <f>IF(ISBLANK('Paste Full'!CH441),"",'Paste Full'!CH441)</f>
        <v/>
      </c>
    </row>
    <row r="442" spans="66:74" x14ac:dyDescent="0.3">
      <c r="BN442" s="41" t="str">
        <f>IF(ISBLANK('Paste Full'!BZ442),"",'Paste Full'!BZ442)</f>
        <v/>
      </c>
      <c r="BO442" s="41" t="str">
        <f>IF(ISBLANK('Paste Full'!CA442),"",'Paste Full'!CA442)</f>
        <v/>
      </c>
      <c r="BP442" s="41" t="str">
        <f>IF(ISBLANK('Paste Full'!CB442),"",'Paste Full'!CB442)</f>
        <v/>
      </c>
      <c r="BQ442" s="41" t="str">
        <f>IF(ISBLANK('Paste Full'!CC442),"",'Paste Full'!CC442)</f>
        <v/>
      </c>
      <c r="BR442" s="41" t="str">
        <f>IF(ISBLANK('Paste Full'!CD442),"",'Paste Full'!CD442)</f>
        <v/>
      </c>
      <c r="BS442" s="41" t="str">
        <f>IF(ISBLANK('Paste Full'!CE442),"",'Paste Full'!CE442)</f>
        <v/>
      </c>
      <c r="BT442" s="41" t="str">
        <f>IF(ISBLANK('Paste Full'!CF442),"",'Paste Full'!CF442)</f>
        <v/>
      </c>
      <c r="BU442" s="41" t="str">
        <f>IF(ISBLANK('Paste Full'!CG442),"",'Paste Full'!CG442)</f>
        <v/>
      </c>
      <c r="BV442" s="41" t="str">
        <f>IF(ISBLANK('Paste Full'!CH442),"",'Paste Full'!CH442)</f>
        <v/>
      </c>
    </row>
    <row r="443" spans="66:74" x14ac:dyDescent="0.3">
      <c r="BN443" s="41" t="str">
        <f>IF(ISBLANK('Paste Full'!BZ443),"",'Paste Full'!BZ443)</f>
        <v/>
      </c>
      <c r="BO443" s="41" t="str">
        <f>IF(ISBLANK('Paste Full'!CA443),"",'Paste Full'!CA443)</f>
        <v/>
      </c>
      <c r="BP443" s="41" t="str">
        <f>IF(ISBLANK('Paste Full'!CB443),"",'Paste Full'!CB443)</f>
        <v/>
      </c>
      <c r="BQ443" s="41" t="str">
        <f>IF(ISBLANK('Paste Full'!CC443),"",'Paste Full'!CC443)</f>
        <v/>
      </c>
      <c r="BR443" s="41" t="str">
        <f>IF(ISBLANK('Paste Full'!CD443),"",'Paste Full'!CD443)</f>
        <v/>
      </c>
      <c r="BS443" s="41" t="str">
        <f>IF(ISBLANK('Paste Full'!CE443),"",'Paste Full'!CE443)</f>
        <v/>
      </c>
      <c r="BT443" s="41" t="str">
        <f>IF(ISBLANK('Paste Full'!CF443),"",'Paste Full'!CF443)</f>
        <v/>
      </c>
      <c r="BU443" s="41" t="str">
        <f>IF(ISBLANK('Paste Full'!CG443),"",'Paste Full'!CG443)</f>
        <v/>
      </c>
      <c r="BV443" s="41" t="str">
        <f>IF(ISBLANK('Paste Full'!CH443),"",'Paste Full'!CH443)</f>
        <v/>
      </c>
    </row>
    <row r="444" spans="66:74" x14ac:dyDescent="0.3">
      <c r="BN444" s="41" t="str">
        <f>IF(ISBLANK('Paste Full'!BZ444),"",'Paste Full'!BZ444)</f>
        <v/>
      </c>
      <c r="BO444" s="41" t="str">
        <f>IF(ISBLANK('Paste Full'!CA444),"",'Paste Full'!CA444)</f>
        <v/>
      </c>
      <c r="BP444" s="41" t="str">
        <f>IF(ISBLANK('Paste Full'!CB444),"",'Paste Full'!CB444)</f>
        <v/>
      </c>
      <c r="BQ444" s="41" t="str">
        <f>IF(ISBLANK('Paste Full'!CC444),"",'Paste Full'!CC444)</f>
        <v/>
      </c>
      <c r="BR444" s="41" t="str">
        <f>IF(ISBLANK('Paste Full'!CD444),"",'Paste Full'!CD444)</f>
        <v/>
      </c>
      <c r="BS444" s="41" t="str">
        <f>IF(ISBLANK('Paste Full'!CE444),"",'Paste Full'!CE444)</f>
        <v/>
      </c>
      <c r="BT444" s="41" t="str">
        <f>IF(ISBLANK('Paste Full'!CF444),"",'Paste Full'!CF444)</f>
        <v/>
      </c>
      <c r="BU444" s="41" t="str">
        <f>IF(ISBLANK('Paste Full'!CG444),"",'Paste Full'!CG444)</f>
        <v/>
      </c>
      <c r="BV444" s="41" t="str">
        <f>IF(ISBLANK('Paste Full'!CH444),"",'Paste Full'!CH444)</f>
        <v/>
      </c>
    </row>
    <row r="445" spans="66:74" x14ac:dyDescent="0.3">
      <c r="BN445" s="41" t="str">
        <f>IF(ISBLANK('Paste Full'!BZ445),"",'Paste Full'!BZ445)</f>
        <v/>
      </c>
      <c r="BO445" s="41" t="str">
        <f>IF(ISBLANK('Paste Full'!CA445),"",'Paste Full'!CA445)</f>
        <v/>
      </c>
      <c r="BP445" s="41" t="str">
        <f>IF(ISBLANK('Paste Full'!CB445),"",'Paste Full'!CB445)</f>
        <v/>
      </c>
      <c r="BQ445" s="41" t="str">
        <f>IF(ISBLANK('Paste Full'!CC445),"",'Paste Full'!CC445)</f>
        <v/>
      </c>
      <c r="BR445" s="41" t="str">
        <f>IF(ISBLANK('Paste Full'!CD445),"",'Paste Full'!CD445)</f>
        <v/>
      </c>
      <c r="BS445" s="41" t="str">
        <f>IF(ISBLANK('Paste Full'!CE445),"",'Paste Full'!CE445)</f>
        <v/>
      </c>
      <c r="BT445" s="41" t="str">
        <f>IF(ISBLANK('Paste Full'!CF445),"",'Paste Full'!CF445)</f>
        <v/>
      </c>
      <c r="BU445" s="41" t="str">
        <f>IF(ISBLANK('Paste Full'!CG445),"",'Paste Full'!CG445)</f>
        <v/>
      </c>
      <c r="BV445" s="41" t="str">
        <f>IF(ISBLANK('Paste Full'!CH445),"",'Paste Full'!CH445)</f>
        <v/>
      </c>
    </row>
    <row r="446" spans="66:74" x14ac:dyDescent="0.3">
      <c r="BN446" s="41" t="str">
        <f>IF(ISBLANK('Paste Full'!BZ446),"",'Paste Full'!BZ446)</f>
        <v/>
      </c>
      <c r="BO446" s="41" t="str">
        <f>IF(ISBLANK('Paste Full'!CA446),"",'Paste Full'!CA446)</f>
        <v/>
      </c>
      <c r="BP446" s="41" t="str">
        <f>IF(ISBLANK('Paste Full'!CB446),"",'Paste Full'!CB446)</f>
        <v/>
      </c>
      <c r="BQ446" s="41" t="str">
        <f>IF(ISBLANK('Paste Full'!CC446),"",'Paste Full'!CC446)</f>
        <v/>
      </c>
      <c r="BR446" s="41" t="str">
        <f>IF(ISBLANK('Paste Full'!CD446),"",'Paste Full'!CD446)</f>
        <v/>
      </c>
      <c r="BS446" s="41" t="str">
        <f>IF(ISBLANK('Paste Full'!CE446),"",'Paste Full'!CE446)</f>
        <v/>
      </c>
      <c r="BT446" s="41" t="str">
        <f>IF(ISBLANK('Paste Full'!CF446),"",'Paste Full'!CF446)</f>
        <v/>
      </c>
      <c r="BU446" s="41" t="str">
        <f>IF(ISBLANK('Paste Full'!CG446),"",'Paste Full'!CG446)</f>
        <v/>
      </c>
      <c r="BV446" s="41" t="str">
        <f>IF(ISBLANK('Paste Full'!CH446),"",'Paste Full'!CH446)</f>
        <v/>
      </c>
    </row>
    <row r="447" spans="66:74" x14ac:dyDescent="0.3">
      <c r="BN447" s="41" t="str">
        <f>IF(ISBLANK('Paste Full'!BZ447),"",'Paste Full'!BZ447)</f>
        <v/>
      </c>
      <c r="BO447" s="41" t="str">
        <f>IF(ISBLANK('Paste Full'!CA447),"",'Paste Full'!CA447)</f>
        <v/>
      </c>
      <c r="BP447" s="41" t="str">
        <f>IF(ISBLANK('Paste Full'!CB447),"",'Paste Full'!CB447)</f>
        <v/>
      </c>
      <c r="BQ447" s="41" t="str">
        <f>IF(ISBLANK('Paste Full'!CC447),"",'Paste Full'!CC447)</f>
        <v/>
      </c>
      <c r="BR447" s="41" t="str">
        <f>IF(ISBLANK('Paste Full'!CD447),"",'Paste Full'!CD447)</f>
        <v/>
      </c>
      <c r="BS447" s="41" t="str">
        <f>IF(ISBLANK('Paste Full'!CE447),"",'Paste Full'!CE447)</f>
        <v/>
      </c>
      <c r="BT447" s="41" t="str">
        <f>IF(ISBLANK('Paste Full'!CF447),"",'Paste Full'!CF447)</f>
        <v/>
      </c>
      <c r="BU447" s="41" t="str">
        <f>IF(ISBLANK('Paste Full'!CG447),"",'Paste Full'!CG447)</f>
        <v/>
      </c>
      <c r="BV447" s="41" t="str">
        <f>IF(ISBLANK('Paste Full'!CH447),"",'Paste Full'!CH447)</f>
        <v/>
      </c>
    </row>
    <row r="448" spans="66:74" x14ac:dyDescent="0.3">
      <c r="BN448" s="41" t="str">
        <f>IF(ISBLANK('Paste Full'!BZ448),"",'Paste Full'!BZ448)</f>
        <v/>
      </c>
      <c r="BO448" s="41" t="str">
        <f>IF(ISBLANK('Paste Full'!CA448),"",'Paste Full'!CA448)</f>
        <v/>
      </c>
      <c r="BP448" s="41" t="str">
        <f>IF(ISBLANK('Paste Full'!CB448),"",'Paste Full'!CB448)</f>
        <v/>
      </c>
      <c r="BQ448" s="41" t="str">
        <f>IF(ISBLANK('Paste Full'!CC448),"",'Paste Full'!CC448)</f>
        <v/>
      </c>
      <c r="BR448" s="41" t="str">
        <f>IF(ISBLANK('Paste Full'!CD448),"",'Paste Full'!CD448)</f>
        <v/>
      </c>
      <c r="BS448" s="41" t="str">
        <f>IF(ISBLANK('Paste Full'!CE448),"",'Paste Full'!CE448)</f>
        <v/>
      </c>
      <c r="BT448" s="41" t="str">
        <f>IF(ISBLANK('Paste Full'!CF448),"",'Paste Full'!CF448)</f>
        <v/>
      </c>
      <c r="BU448" s="41" t="str">
        <f>IF(ISBLANK('Paste Full'!CG448),"",'Paste Full'!CG448)</f>
        <v/>
      </c>
      <c r="BV448" s="41" t="str">
        <f>IF(ISBLANK('Paste Full'!CH448),"",'Paste Full'!CH448)</f>
        <v/>
      </c>
    </row>
    <row r="449" spans="66:74" x14ac:dyDescent="0.3">
      <c r="BN449" s="41" t="str">
        <f>IF(ISBLANK('Paste Full'!BZ449),"",'Paste Full'!BZ449)</f>
        <v/>
      </c>
      <c r="BO449" s="41" t="str">
        <f>IF(ISBLANK('Paste Full'!CA449),"",'Paste Full'!CA449)</f>
        <v/>
      </c>
      <c r="BP449" s="41" t="str">
        <f>IF(ISBLANK('Paste Full'!CB449),"",'Paste Full'!CB449)</f>
        <v/>
      </c>
      <c r="BQ449" s="41" t="str">
        <f>IF(ISBLANK('Paste Full'!CC449),"",'Paste Full'!CC449)</f>
        <v/>
      </c>
      <c r="BR449" s="41" t="str">
        <f>IF(ISBLANK('Paste Full'!CD449),"",'Paste Full'!CD449)</f>
        <v/>
      </c>
      <c r="BS449" s="41" t="str">
        <f>IF(ISBLANK('Paste Full'!CE449),"",'Paste Full'!CE449)</f>
        <v/>
      </c>
      <c r="BT449" s="41" t="str">
        <f>IF(ISBLANK('Paste Full'!CF449),"",'Paste Full'!CF449)</f>
        <v/>
      </c>
      <c r="BU449" s="41" t="str">
        <f>IF(ISBLANK('Paste Full'!CG449),"",'Paste Full'!CG449)</f>
        <v/>
      </c>
      <c r="BV449" s="41" t="str">
        <f>IF(ISBLANK('Paste Full'!CH449),"",'Paste Full'!CH449)</f>
        <v/>
      </c>
    </row>
    <row r="450" spans="66:74" x14ac:dyDescent="0.3">
      <c r="BN450" s="41" t="str">
        <f>IF(ISBLANK('Paste Full'!BZ450),"",'Paste Full'!BZ450)</f>
        <v/>
      </c>
      <c r="BO450" s="41" t="str">
        <f>IF(ISBLANK('Paste Full'!CA450),"",'Paste Full'!CA450)</f>
        <v/>
      </c>
      <c r="BP450" s="41" t="str">
        <f>IF(ISBLANK('Paste Full'!CB450),"",'Paste Full'!CB450)</f>
        <v/>
      </c>
      <c r="BQ450" s="41" t="str">
        <f>IF(ISBLANK('Paste Full'!CC450),"",'Paste Full'!CC450)</f>
        <v/>
      </c>
      <c r="BR450" s="41" t="str">
        <f>IF(ISBLANK('Paste Full'!CD450),"",'Paste Full'!CD450)</f>
        <v/>
      </c>
      <c r="BS450" s="41" t="str">
        <f>IF(ISBLANK('Paste Full'!CE450),"",'Paste Full'!CE450)</f>
        <v/>
      </c>
      <c r="BT450" s="41" t="str">
        <f>IF(ISBLANK('Paste Full'!CF450),"",'Paste Full'!CF450)</f>
        <v/>
      </c>
      <c r="BU450" s="41" t="str">
        <f>IF(ISBLANK('Paste Full'!CG450),"",'Paste Full'!CG450)</f>
        <v/>
      </c>
      <c r="BV450" s="41" t="str">
        <f>IF(ISBLANK('Paste Full'!CH450),"",'Paste Full'!CH450)</f>
        <v/>
      </c>
    </row>
    <row r="451" spans="66:74" x14ac:dyDescent="0.3">
      <c r="BN451" s="41" t="str">
        <f>IF(ISBLANK('Paste Full'!BZ451),"",'Paste Full'!BZ451)</f>
        <v/>
      </c>
      <c r="BO451" s="41" t="str">
        <f>IF(ISBLANK('Paste Full'!CA451),"",'Paste Full'!CA451)</f>
        <v/>
      </c>
      <c r="BP451" s="41" t="str">
        <f>IF(ISBLANK('Paste Full'!CB451),"",'Paste Full'!CB451)</f>
        <v/>
      </c>
      <c r="BQ451" s="41" t="str">
        <f>IF(ISBLANK('Paste Full'!CC451),"",'Paste Full'!CC451)</f>
        <v/>
      </c>
      <c r="BR451" s="41" t="str">
        <f>IF(ISBLANK('Paste Full'!CD451),"",'Paste Full'!CD451)</f>
        <v/>
      </c>
      <c r="BS451" s="41" t="str">
        <f>IF(ISBLANK('Paste Full'!CE451),"",'Paste Full'!CE451)</f>
        <v/>
      </c>
      <c r="BT451" s="41" t="str">
        <f>IF(ISBLANK('Paste Full'!CF451),"",'Paste Full'!CF451)</f>
        <v/>
      </c>
      <c r="BU451" s="41" t="str">
        <f>IF(ISBLANK('Paste Full'!CG451),"",'Paste Full'!CG451)</f>
        <v/>
      </c>
      <c r="BV451" s="41" t="str">
        <f>IF(ISBLANK('Paste Full'!CH451),"",'Paste Full'!CH451)</f>
        <v/>
      </c>
    </row>
    <row r="452" spans="66:74" x14ac:dyDescent="0.3">
      <c r="BN452" s="41" t="str">
        <f>IF(ISBLANK('Paste Full'!BZ452),"",'Paste Full'!BZ452)</f>
        <v/>
      </c>
      <c r="BO452" s="41" t="str">
        <f>IF(ISBLANK('Paste Full'!CA452),"",'Paste Full'!CA452)</f>
        <v/>
      </c>
      <c r="BP452" s="41" t="str">
        <f>IF(ISBLANK('Paste Full'!CB452),"",'Paste Full'!CB452)</f>
        <v/>
      </c>
      <c r="BQ452" s="41" t="str">
        <f>IF(ISBLANK('Paste Full'!CC452),"",'Paste Full'!CC452)</f>
        <v/>
      </c>
      <c r="BR452" s="41" t="str">
        <f>IF(ISBLANK('Paste Full'!CD452),"",'Paste Full'!CD452)</f>
        <v/>
      </c>
      <c r="BS452" s="41" t="str">
        <f>IF(ISBLANK('Paste Full'!CE452),"",'Paste Full'!CE452)</f>
        <v/>
      </c>
      <c r="BT452" s="41" t="str">
        <f>IF(ISBLANK('Paste Full'!CF452),"",'Paste Full'!CF452)</f>
        <v/>
      </c>
      <c r="BU452" s="41" t="str">
        <f>IF(ISBLANK('Paste Full'!CG452),"",'Paste Full'!CG452)</f>
        <v/>
      </c>
      <c r="BV452" s="41" t="str">
        <f>IF(ISBLANK('Paste Full'!CH452),"",'Paste Full'!CH452)</f>
        <v/>
      </c>
    </row>
    <row r="453" spans="66:74" x14ac:dyDescent="0.3">
      <c r="BN453" s="41" t="str">
        <f>IF(ISBLANK('Paste Full'!BZ453),"",'Paste Full'!BZ453)</f>
        <v/>
      </c>
      <c r="BO453" s="41" t="str">
        <f>IF(ISBLANK('Paste Full'!CA453),"",'Paste Full'!CA453)</f>
        <v/>
      </c>
      <c r="BP453" s="41" t="str">
        <f>IF(ISBLANK('Paste Full'!CB453),"",'Paste Full'!CB453)</f>
        <v/>
      </c>
      <c r="BQ453" s="41" t="str">
        <f>IF(ISBLANK('Paste Full'!CC453),"",'Paste Full'!CC453)</f>
        <v/>
      </c>
      <c r="BR453" s="41" t="str">
        <f>IF(ISBLANK('Paste Full'!CD453),"",'Paste Full'!CD453)</f>
        <v/>
      </c>
      <c r="BS453" s="41" t="str">
        <f>IF(ISBLANK('Paste Full'!CE453),"",'Paste Full'!CE453)</f>
        <v/>
      </c>
      <c r="BT453" s="41" t="str">
        <f>IF(ISBLANK('Paste Full'!CF453),"",'Paste Full'!CF453)</f>
        <v/>
      </c>
      <c r="BU453" s="41" t="str">
        <f>IF(ISBLANK('Paste Full'!CG453),"",'Paste Full'!CG453)</f>
        <v/>
      </c>
      <c r="BV453" s="41" t="str">
        <f>IF(ISBLANK('Paste Full'!CH453),"",'Paste Full'!CH453)</f>
        <v/>
      </c>
    </row>
    <row r="454" spans="66:74" x14ac:dyDescent="0.3">
      <c r="BN454" s="41" t="str">
        <f>IF(ISBLANK('Paste Full'!BZ454),"",'Paste Full'!BZ454)</f>
        <v/>
      </c>
      <c r="BO454" s="41" t="str">
        <f>IF(ISBLANK('Paste Full'!CA454),"",'Paste Full'!CA454)</f>
        <v/>
      </c>
      <c r="BP454" s="41" t="str">
        <f>IF(ISBLANK('Paste Full'!CB454),"",'Paste Full'!CB454)</f>
        <v/>
      </c>
      <c r="BQ454" s="41" t="str">
        <f>IF(ISBLANK('Paste Full'!CC454),"",'Paste Full'!CC454)</f>
        <v/>
      </c>
      <c r="BR454" s="41" t="str">
        <f>IF(ISBLANK('Paste Full'!CD454),"",'Paste Full'!CD454)</f>
        <v/>
      </c>
      <c r="BS454" s="41" t="str">
        <f>IF(ISBLANK('Paste Full'!CE454),"",'Paste Full'!CE454)</f>
        <v/>
      </c>
      <c r="BT454" s="41" t="str">
        <f>IF(ISBLANK('Paste Full'!CF454),"",'Paste Full'!CF454)</f>
        <v/>
      </c>
      <c r="BU454" s="41" t="str">
        <f>IF(ISBLANK('Paste Full'!CG454),"",'Paste Full'!CG454)</f>
        <v/>
      </c>
      <c r="BV454" s="41" t="str">
        <f>IF(ISBLANK('Paste Full'!CH454),"",'Paste Full'!CH454)</f>
        <v/>
      </c>
    </row>
    <row r="455" spans="66:74" x14ac:dyDescent="0.3">
      <c r="BN455" s="41" t="str">
        <f>IF(ISBLANK('Paste Full'!BZ455),"",'Paste Full'!BZ455)</f>
        <v/>
      </c>
      <c r="BO455" s="41" t="str">
        <f>IF(ISBLANK('Paste Full'!CA455),"",'Paste Full'!CA455)</f>
        <v/>
      </c>
      <c r="BP455" s="41" t="str">
        <f>IF(ISBLANK('Paste Full'!CB455),"",'Paste Full'!CB455)</f>
        <v/>
      </c>
      <c r="BQ455" s="41" t="str">
        <f>IF(ISBLANK('Paste Full'!CC455),"",'Paste Full'!CC455)</f>
        <v/>
      </c>
      <c r="BR455" s="41" t="str">
        <f>IF(ISBLANK('Paste Full'!CD455),"",'Paste Full'!CD455)</f>
        <v/>
      </c>
      <c r="BS455" s="41" t="str">
        <f>IF(ISBLANK('Paste Full'!CE455),"",'Paste Full'!CE455)</f>
        <v/>
      </c>
      <c r="BT455" s="41" t="str">
        <f>IF(ISBLANK('Paste Full'!CF455),"",'Paste Full'!CF455)</f>
        <v/>
      </c>
      <c r="BU455" s="41" t="str">
        <f>IF(ISBLANK('Paste Full'!CG455),"",'Paste Full'!CG455)</f>
        <v/>
      </c>
      <c r="BV455" s="41" t="str">
        <f>IF(ISBLANK('Paste Full'!CH455),"",'Paste Full'!CH455)</f>
        <v/>
      </c>
    </row>
    <row r="456" spans="66:74" x14ac:dyDescent="0.3">
      <c r="BN456" s="41" t="str">
        <f>IF(ISBLANK('Paste Full'!BZ456),"",'Paste Full'!BZ456)</f>
        <v/>
      </c>
      <c r="BO456" s="41" t="str">
        <f>IF(ISBLANK('Paste Full'!CA456),"",'Paste Full'!CA456)</f>
        <v/>
      </c>
      <c r="BP456" s="41" t="str">
        <f>IF(ISBLANK('Paste Full'!CB456),"",'Paste Full'!CB456)</f>
        <v/>
      </c>
      <c r="BQ456" s="41" t="str">
        <f>IF(ISBLANK('Paste Full'!CC456),"",'Paste Full'!CC456)</f>
        <v/>
      </c>
      <c r="BR456" s="41" t="str">
        <f>IF(ISBLANK('Paste Full'!CD456),"",'Paste Full'!CD456)</f>
        <v/>
      </c>
      <c r="BS456" s="41" t="str">
        <f>IF(ISBLANK('Paste Full'!CE456),"",'Paste Full'!CE456)</f>
        <v/>
      </c>
      <c r="BT456" s="41" t="str">
        <f>IF(ISBLANK('Paste Full'!CF456),"",'Paste Full'!CF456)</f>
        <v/>
      </c>
      <c r="BU456" s="41" t="str">
        <f>IF(ISBLANK('Paste Full'!CG456),"",'Paste Full'!CG456)</f>
        <v/>
      </c>
      <c r="BV456" s="41" t="str">
        <f>IF(ISBLANK('Paste Full'!CH456),"",'Paste Full'!CH456)</f>
        <v/>
      </c>
    </row>
    <row r="457" spans="66:74" x14ac:dyDescent="0.3">
      <c r="BN457" s="41" t="str">
        <f>IF(ISBLANK('Paste Full'!BZ457),"",'Paste Full'!BZ457)</f>
        <v/>
      </c>
      <c r="BO457" s="41" t="str">
        <f>IF(ISBLANK('Paste Full'!CA457),"",'Paste Full'!CA457)</f>
        <v/>
      </c>
      <c r="BP457" s="41" t="str">
        <f>IF(ISBLANK('Paste Full'!CB457),"",'Paste Full'!CB457)</f>
        <v/>
      </c>
      <c r="BQ457" s="41" t="str">
        <f>IF(ISBLANK('Paste Full'!CC457),"",'Paste Full'!CC457)</f>
        <v/>
      </c>
      <c r="BR457" s="41" t="str">
        <f>IF(ISBLANK('Paste Full'!CD457),"",'Paste Full'!CD457)</f>
        <v/>
      </c>
      <c r="BS457" s="41" t="str">
        <f>IF(ISBLANK('Paste Full'!CE457),"",'Paste Full'!CE457)</f>
        <v/>
      </c>
      <c r="BT457" s="41" t="str">
        <f>IF(ISBLANK('Paste Full'!CF457),"",'Paste Full'!CF457)</f>
        <v/>
      </c>
      <c r="BU457" s="41" t="str">
        <f>IF(ISBLANK('Paste Full'!CG457),"",'Paste Full'!CG457)</f>
        <v/>
      </c>
      <c r="BV457" s="41" t="str">
        <f>IF(ISBLANK('Paste Full'!CH457),"",'Paste Full'!CH457)</f>
        <v/>
      </c>
    </row>
    <row r="458" spans="66:74" x14ac:dyDescent="0.3">
      <c r="BN458" s="41" t="str">
        <f>IF(ISBLANK('Paste Full'!BZ458),"",'Paste Full'!BZ458)</f>
        <v/>
      </c>
      <c r="BO458" s="41" t="str">
        <f>IF(ISBLANK('Paste Full'!CA458),"",'Paste Full'!CA458)</f>
        <v/>
      </c>
      <c r="BP458" s="41" t="str">
        <f>IF(ISBLANK('Paste Full'!CB458),"",'Paste Full'!CB458)</f>
        <v/>
      </c>
      <c r="BQ458" s="41" t="str">
        <f>IF(ISBLANK('Paste Full'!CC458),"",'Paste Full'!CC458)</f>
        <v/>
      </c>
      <c r="BR458" s="41" t="str">
        <f>IF(ISBLANK('Paste Full'!CD458),"",'Paste Full'!CD458)</f>
        <v/>
      </c>
      <c r="BS458" s="41" t="str">
        <f>IF(ISBLANK('Paste Full'!CE458),"",'Paste Full'!CE458)</f>
        <v/>
      </c>
      <c r="BT458" s="41" t="str">
        <f>IF(ISBLANK('Paste Full'!CF458),"",'Paste Full'!CF458)</f>
        <v/>
      </c>
      <c r="BU458" s="41" t="str">
        <f>IF(ISBLANK('Paste Full'!CG458),"",'Paste Full'!CG458)</f>
        <v/>
      </c>
      <c r="BV458" s="41" t="str">
        <f>IF(ISBLANK('Paste Full'!CH458),"",'Paste Full'!CH458)</f>
        <v/>
      </c>
    </row>
    <row r="459" spans="66:74" x14ac:dyDescent="0.3">
      <c r="BN459" s="41" t="str">
        <f>IF(ISBLANK('Paste Full'!BZ459),"",'Paste Full'!BZ459)</f>
        <v/>
      </c>
      <c r="BO459" s="41" t="str">
        <f>IF(ISBLANK('Paste Full'!CA459),"",'Paste Full'!CA459)</f>
        <v/>
      </c>
      <c r="BP459" s="41" t="str">
        <f>IF(ISBLANK('Paste Full'!CB459),"",'Paste Full'!CB459)</f>
        <v/>
      </c>
      <c r="BQ459" s="41" t="str">
        <f>IF(ISBLANK('Paste Full'!CC459),"",'Paste Full'!CC459)</f>
        <v/>
      </c>
      <c r="BR459" s="41" t="str">
        <f>IF(ISBLANK('Paste Full'!CD459),"",'Paste Full'!CD459)</f>
        <v/>
      </c>
      <c r="BS459" s="41" t="str">
        <f>IF(ISBLANK('Paste Full'!CE459),"",'Paste Full'!CE459)</f>
        <v/>
      </c>
      <c r="BT459" s="41" t="str">
        <f>IF(ISBLANK('Paste Full'!CF459),"",'Paste Full'!CF459)</f>
        <v/>
      </c>
      <c r="BU459" s="41" t="str">
        <f>IF(ISBLANK('Paste Full'!CG459),"",'Paste Full'!CG459)</f>
        <v/>
      </c>
      <c r="BV459" s="41" t="str">
        <f>IF(ISBLANK('Paste Full'!CH459),"",'Paste Full'!CH459)</f>
        <v/>
      </c>
    </row>
    <row r="460" spans="66:74" x14ac:dyDescent="0.3">
      <c r="BN460" s="41" t="str">
        <f>IF(ISBLANK('Paste Full'!BZ460),"",'Paste Full'!BZ460)</f>
        <v/>
      </c>
      <c r="BO460" s="41" t="str">
        <f>IF(ISBLANK('Paste Full'!CA460),"",'Paste Full'!CA460)</f>
        <v/>
      </c>
      <c r="BP460" s="41" t="str">
        <f>IF(ISBLANK('Paste Full'!CB460),"",'Paste Full'!CB460)</f>
        <v/>
      </c>
      <c r="BQ460" s="41" t="str">
        <f>IF(ISBLANK('Paste Full'!CC460),"",'Paste Full'!CC460)</f>
        <v/>
      </c>
      <c r="BR460" s="41" t="str">
        <f>IF(ISBLANK('Paste Full'!CD460),"",'Paste Full'!CD460)</f>
        <v/>
      </c>
      <c r="BS460" s="41" t="str">
        <f>IF(ISBLANK('Paste Full'!CE460),"",'Paste Full'!CE460)</f>
        <v/>
      </c>
      <c r="BT460" s="41" t="str">
        <f>IF(ISBLANK('Paste Full'!CF460),"",'Paste Full'!CF460)</f>
        <v/>
      </c>
      <c r="BU460" s="41" t="str">
        <f>IF(ISBLANK('Paste Full'!CG460),"",'Paste Full'!CG460)</f>
        <v/>
      </c>
      <c r="BV460" s="41" t="str">
        <f>IF(ISBLANK('Paste Full'!CH460),"",'Paste Full'!CH460)</f>
        <v/>
      </c>
    </row>
    <row r="461" spans="66:74" x14ac:dyDescent="0.3">
      <c r="BN461" s="41" t="str">
        <f>IF(ISBLANK('Paste Full'!BZ461),"",'Paste Full'!BZ461)</f>
        <v/>
      </c>
      <c r="BO461" s="41" t="str">
        <f>IF(ISBLANK('Paste Full'!CA461),"",'Paste Full'!CA461)</f>
        <v/>
      </c>
      <c r="BP461" s="41" t="str">
        <f>IF(ISBLANK('Paste Full'!CB461),"",'Paste Full'!CB461)</f>
        <v/>
      </c>
      <c r="BQ461" s="41" t="str">
        <f>IF(ISBLANK('Paste Full'!CC461),"",'Paste Full'!CC461)</f>
        <v/>
      </c>
      <c r="BR461" s="41" t="str">
        <f>IF(ISBLANK('Paste Full'!CD461),"",'Paste Full'!CD461)</f>
        <v/>
      </c>
      <c r="BS461" s="41" t="str">
        <f>IF(ISBLANK('Paste Full'!CE461),"",'Paste Full'!CE461)</f>
        <v/>
      </c>
      <c r="BT461" s="41" t="str">
        <f>IF(ISBLANK('Paste Full'!CF461),"",'Paste Full'!CF461)</f>
        <v/>
      </c>
      <c r="BU461" s="41" t="str">
        <f>IF(ISBLANK('Paste Full'!CG461),"",'Paste Full'!CG461)</f>
        <v/>
      </c>
      <c r="BV461" s="41" t="str">
        <f>IF(ISBLANK('Paste Full'!CH461),"",'Paste Full'!CH461)</f>
        <v/>
      </c>
    </row>
    <row r="462" spans="66:74" x14ac:dyDescent="0.3">
      <c r="BN462" s="41" t="str">
        <f>IF(ISBLANK('Paste Full'!BZ462),"",'Paste Full'!BZ462)</f>
        <v/>
      </c>
      <c r="BO462" s="41" t="str">
        <f>IF(ISBLANK('Paste Full'!CA462),"",'Paste Full'!CA462)</f>
        <v/>
      </c>
      <c r="BP462" s="41" t="str">
        <f>IF(ISBLANK('Paste Full'!CB462),"",'Paste Full'!CB462)</f>
        <v/>
      </c>
      <c r="BQ462" s="41" t="str">
        <f>IF(ISBLANK('Paste Full'!CC462),"",'Paste Full'!CC462)</f>
        <v/>
      </c>
      <c r="BR462" s="41" t="str">
        <f>IF(ISBLANK('Paste Full'!CD462),"",'Paste Full'!CD462)</f>
        <v/>
      </c>
      <c r="BS462" s="41" t="str">
        <f>IF(ISBLANK('Paste Full'!CE462),"",'Paste Full'!CE462)</f>
        <v/>
      </c>
      <c r="BT462" s="41" t="str">
        <f>IF(ISBLANK('Paste Full'!CF462),"",'Paste Full'!CF462)</f>
        <v/>
      </c>
      <c r="BU462" s="41" t="str">
        <f>IF(ISBLANK('Paste Full'!CG462),"",'Paste Full'!CG462)</f>
        <v/>
      </c>
      <c r="BV462" s="41" t="str">
        <f>IF(ISBLANK('Paste Full'!CH462),"",'Paste Full'!CH462)</f>
        <v/>
      </c>
    </row>
    <row r="463" spans="66:74" x14ac:dyDescent="0.3">
      <c r="BN463" s="41" t="str">
        <f>IF(ISBLANK('Paste Full'!BZ463),"",'Paste Full'!BZ463)</f>
        <v/>
      </c>
      <c r="BO463" s="41" t="str">
        <f>IF(ISBLANK('Paste Full'!CA463),"",'Paste Full'!CA463)</f>
        <v/>
      </c>
      <c r="BP463" s="41" t="str">
        <f>IF(ISBLANK('Paste Full'!CB463),"",'Paste Full'!CB463)</f>
        <v/>
      </c>
      <c r="BQ463" s="41" t="str">
        <f>IF(ISBLANK('Paste Full'!CC463),"",'Paste Full'!CC463)</f>
        <v/>
      </c>
      <c r="BR463" s="41" t="str">
        <f>IF(ISBLANK('Paste Full'!CD463),"",'Paste Full'!CD463)</f>
        <v/>
      </c>
      <c r="BS463" s="41" t="str">
        <f>IF(ISBLANK('Paste Full'!CE463),"",'Paste Full'!CE463)</f>
        <v/>
      </c>
      <c r="BT463" s="41" t="str">
        <f>IF(ISBLANK('Paste Full'!CF463),"",'Paste Full'!CF463)</f>
        <v/>
      </c>
      <c r="BU463" s="41" t="str">
        <f>IF(ISBLANK('Paste Full'!CG463),"",'Paste Full'!CG463)</f>
        <v/>
      </c>
      <c r="BV463" s="41" t="str">
        <f>IF(ISBLANK('Paste Full'!CH463),"",'Paste Full'!CH463)</f>
        <v/>
      </c>
    </row>
    <row r="464" spans="66:74" x14ac:dyDescent="0.3">
      <c r="BN464" s="41" t="str">
        <f>IF(ISBLANK('Paste Full'!BZ464),"",'Paste Full'!BZ464)</f>
        <v/>
      </c>
      <c r="BO464" s="41" t="str">
        <f>IF(ISBLANK('Paste Full'!CA464),"",'Paste Full'!CA464)</f>
        <v/>
      </c>
      <c r="BP464" s="41" t="str">
        <f>IF(ISBLANK('Paste Full'!CB464),"",'Paste Full'!CB464)</f>
        <v/>
      </c>
      <c r="BQ464" s="41" t="str">
        <f>IF(ISBLANK('Paste Full'!CC464),"",'Paste Full'!CC464)</f>
        <v/>
      </c>
      <c r="BR464" s="41" t="str">
        <f>IF(ISBLANK('Paste Full'!CD464),"",'Paste Full'!CD464)</f>
        <v/>
      </c>
      <c r="BS464" s="41" t="str">
        <f>IF(ISBLANK('Paste Full'!CE464),"",'Paste Full'!CE464)</f>
        <v/>
      </c>
      <c r="BT464" s="41" t="str">
        <f>IF(ISBLANK('Paste Full'!CF464),"",'Paste Full'!CF464)</f>
        <v/>
      </c>
      <c r="BU464" s="41" t="str">
        <f>IF(ISBLANK('Paste Full'!CG464),"",'Paste Full'!CG464)</f>
        <v/>
      </c>
      <c r="BV464" s="41" t="str">
        <f>IF(ISBLANK('Paste Full'!CH464),"",'Paste Full'!CH464)</f>
        <v/>
      </c>
    </row>
    <row r="465" spans="66:74" x14ac:dyDescent="0.3">
      <c r="BN465" s="41" t="str">
        <f>IF(ISBLANK('Paste Full'!BZ465),"",'Paste Full'!BZ465)</f>
        <v/>
      </c>
      <c r="BO465" s="41" t="str">
        <f>IF(ISBLANK('Paste Full'!CA465),"",'Paste Full'!CA465)</f>
        <v/>
      </c>
      <c r="BP465" s="41" t="str">
        <f>IF(ISBLANK('Paste Full'!CB465),"",'Paste Full'!CB465)</f>
        <v/>
      </c>
      <c r="BQ465" s="41" t="str">
        <f>IF(ISBLANK('Paste Full'!CC465),"",'Paste Full'!CC465)</f>
        <v/>
      </c>
      <c r="BR465" s="41" t="str">
        <f>IF(ISBLANK('Paste Full'!CD465),"",'Paste Full'!CD465)</f>
        <v/>
      </c>
      <c r="BS465" s="41" t="str">
        <f>IF(ISBLANK('Paste Full'!CE465),"",'Paste Full'!CE465)</f>
        <v/>
      </c>
      <c r="BT465" s="41" t="str">
        <f>IF(ISBLANK('Paste Full'!CF465),"",'Paste Full'!CF465)</f>
        <v/>
      </c>
      <c r="BU465" s="41" t="str">
        <f>IF(ISBLANK('Paste Full'!CG465),"",'Paste Full'!CG465)</f>
        <v/>
      </c>
      <c r="BV465" s="41" t="str">
        <f>IF(ISBLANK('Paste Full'!CH465),"",'Paste Full'!CH465)</f>
        <v/>
      </c>
    </row>
    <row r="466" spans="66:74" x14ac:dyDescent="0.3">
      <c r="BN466" s="41" t="str">
        <f>IF(ISBLANK('Paste Full'!BZ466),"",'Paste Full'!BZ466)</f>
        <v/>
      </c>
      <c r="BO466" s="41" t="str">
        <f>IF(ISBLANK('Paste Full'!CA466),"",'Paste Full'!CA466)</f>
        <v/>
      </c>
      <c r="BP466" s="41" t="str">
        <f>IF(ISBLANK('Paste Full'!CB466),"",'Paste Full'!CB466)</f>
        <v/>
      </c>
      <c r="BQ466" s="41" t="str">
        <f>IF(ISBLANK('Paste Full'!CC466),"",'Paste Full'!CC466)</f>
        <v/>
      </c>
      <c r="BR466" s="41" t="str">
        <f>IF(ISBLANK('Paste Full'!CD466),"",'Paste Full'!CD466)</f>
        <v/>
      </c>
      <c r="BS466" s="41" t="str">
        <f>IF(ISBLANK('Paste Full'!CE466),"",'Paste Full'!CE466)</f>
        <v/>
      </c>
      <c r="BT466" s="41" t="str">
        <f>IF(ISBLANK('Paste Full'!CF466),"",'Paste Full'!CF466)</f>
        <v/>
      </c>
      <c r="BU466" s="41" t="str">
        <f>IF(ISBLANK('Paste Full'!CG466),"",'Paste Full'!CG466)</f>
        <v/>
      </c>
      <c r="BV466" s="41" t="str">
        <f>IF(ISBLANK('Paste Full'!CH466),"",'Paste Full'!CH466)</f>
        <v/>
      </c>
    </row>
    <row r="467" spans="66:74" x14ac:dyDescent="0.3">
      <c r="BN467" s="41" t="str">
        <f>IF(ISBLANK('Paste Full'!BZ467),"",'Paste Full'!BZ467)</f>
        <v/>
      </c>
      <c r="BO467" s="41" t="str">
        <f>IF(ISBLANK('Paste Full'!CA467),"",'Paste Full'!CA467)</f>
        <v/>
      </c>
      <c r="BP467" s="41" t="str">
        <f>IF(ISBLANK('Paste Full'!CB467),"",'Paste Full'!CB467)</f>
        <v/>
      </c>
      <c r="BQ467" s="41" t="str">
        <f>IF(ISBLANK('Paste Full'!CC467),"",'Paste Full'!CC467)</f>
        <v/>
      </c>
      <c r="BR467" s="41" t="str">
        <f>IF(ISBLANK('Paste Full'!CD467),"",'Paste Full'!CD467)</f>
        <v/>
      </c>
      <c r="BS467" s="41" t="str">
        <f>IF(ISBLANK('Paste Full'!CE467),"",'Paste Full'!CE467)</f>
        <v/>
      </c>
      <c r="BT467" s="41" t="str">
        <f>IF(ISBLANK('Paste Full'!CF467),"",'Paste Full'!CF467)</f>
        <v/>
      </c>
      <c r="BU467" s="41" t="str">
        <f>IF(ISBLANK('Paste Full'!CG467),"",'Paste Full'!CG467)</f>
        <v/>
      </c>
      <c r="BV467" s="41" t="str">
        <f>IF(ISBLANK('Paste Full'!CH467),"",'Paste Full'!CH467)</f>
        <v/>
      </c>
    </row>
    <row r="468" spans="66:74" x14ac:dyDescent="0.3">
      <c r="BN468" s="41" t="str">
        <f>IF(ISBLANK('Paste Full'!BZ468),"",'Paste Full'!BZ468)</f>
        <v/>
      </c>
      <c r="BO468" s="41" t="str">
        <f>IF(ISBLANK('Paste Full'!CA468),"",'Paste Full'!CA468)</f>
        <v/>
      </c>
      <c r="BP468" s="41" t="str">
        <f>IF(ISBLANK('Paste Full'!CB468),"",'Paste Full'!CB468)</f>
        <v/>
      </c>
      <c r="BQ468" s="41" t="str">
        <f>IF(ISBLANK('Paste Full'!CC468),"",'Paste Full'!CC468)</f>
        <v/>
      </c>
      <c r="BR468" s="41" t="str">
        <f>IF(ISBLANK('Paste Full'!CD468),"",'Paste Full'!CD468)</f>
        <v/>
      </c>
      <c r="BS468" s="41" t="str">
        <f>IF(ISBLANK('Paste Full'!CE468),"",'Paste Full'!CE468)</f>
        <v/>
      </c>
      <c r="BT468" s="41" t="str">
        <f>IF(ISBLANK('Paste Full'!CF468),"",'Paste Full'!CF468)</f>
        <v/>
      </c>
      <c r="BU468" s="41" t="str">
        <f>IF(ISBLANK('Paste Full'!CG468),"",'Paste Full'!CG468)</f>
        <v/>
      </c>
      <c r="BV468" s="41" t="str">
        <f>IF(ISBLANK('Paste Full'!CH468),"",'Paste Full'!CH468)</f>
        <v/>
      </c>
    </row>
  </sheetData>
  <autoFilter ref="A1:BM100" xr:uid="{00000000-0009-0000-0000-000002000000}">
    <sortState xmlns:xlrd2="http://schemas.microsoft.com/office/spreadsheetml/2017/richdata2" ref="A2:BM100">
      <sortCondition ref="A1:A100"/>
    </sortState>
  </autoFilter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49"/>
  <sheetViews>
    <sheetView workbookViewId="0">
      <selection activeCell="H28" sqref="H28"/>
    </sheetView>
  </sheetViews>
  <sheetFormatPr defaultColWidth="8.6640625" defaultRowHeight="14.4" x14ac:dyDescent="0.3"/>
  <cols>
    <col min="1" max="1" width="13.109375" bestFit="1" customWidth="1"/>
    <col min="2" max="2" width="19.6640625" bestFit="1" customWidth="1"/>
    <col min="3" max="3" width="12.44140625" bestFit="1" customWidth="1"/>
    <col min="4" max="4" width="9.6640625" bestFit="1" customWidth="1"/>
    <col min="5" max="5" width="13.6640625" bestFit="1" customWidth="1"/>
  </cols>
  <sheetData>
    <row r="1" spans="1:15" x14ac:dyDescent="0.3">
      <c r="A1" s="1" t="s">
        <v>442</v>
      </c>
      <c r="B1" s="1" t="s">
        <v>443</v>
      </c>
      <c r="C1" s="1" t="s">
        <v>444</v>
      </c>
      <c r="D1" s="1" t="s">
        <v>445</v>
      </c>
      <c r="E1" s="1" t="s">
        <v>446</v>
      </c>
      <c r="I1" s="16" t="s">
        <v>19</v>
      </c>
      <c r="J1" s="15" t="s">
        <v>11</v>
      </c>
      <c r="O1" t="s">
        <v>207</v>
      </c>
    </row>
    <row r="2" spans="1:15" x14ac:dyDescent="0.3">
      <c r="A2" t="s">
        <v>207</v>
      </c>
      <c r="B2" t="s">
        <v>447</v>
      </c>
      <c r="C2" t="s">
        <v>41</v>
      </c>
      <c r="D2" t="s">
        <v>56</v>
      </c>
      <c r="E2" t="s">
        <v>55</v>
      </c>
      <c r="I2" t="s">
        <v>18</v>
      </c>
      <c r="J2" s="15" t="s">
        <v>12</v>
      </c>
      <c r="O2" t="s">
        <v>447</v>
      </c>
    </row>
    <row r="3" spans="1:15" x14ac:dyDescent="0.3">
      <c r="A3" t="s">
        <v>21</v>
      </c>
      <c r="B3" t="s">
        <v>208</v>
      </c>
      <c r="C3" t="s">
        <v>42</v>
      </c>
      <c r="D3" t="s">
        <v>57</v>
      </c>
      <c r="E3" t="s">
        <v>448</v>
      </c>
      <c r="I3" t="s">
        <v>17</v>
      </c>
      <c r="J3" s="15" t="s">
        <v>13</v>
      </c>
      <c r="O3" t="s">
        <v>41</v>
      </c>
    </row>
    <row r="4" spans="1:15" x14ac:dyDescent="0.3">
      <c r="A4" t="s">
        <v>22</v>
      </c>
      <c r="B4" t="s">
        <v>32</v>
      </c>
      <c r="C4" t="s">
        <v>43</v>
      </c>
      <c r="D4" t="s">
        <v>58</v>
      </c>
      <c r="E4" t="s">
        <v>63</v>
      </c>
      <c r="I4" t="s">
        <v>17</v>
      </c>
      <c r="J4" s="15" t="s">
        <v>14</v>
      </c>
      <c r="O4" t="s">
        <v>21</v>
      </c>
    </row>
    <row r="5" spans="1:15" x14ac:dyDescent="0.3">
      <c r="A5" t="s">
        <v>449</v>
      </c>
      <c r="B5" t="s">
        <v>33</v>
      </c>
      <c r="C5" t="s">
        <v>44</v>
      </c>
      <c r="D5" t="s">
        <v>59</v>
      </c>
      <c r="E5" t="s">
        <v>66</v>
      </c>
      <c r="I5" t="s">
        <v>16</v>
      </c>
      <c r="J5" s="15" t="s">
        <v>430</v>
      </c>
      <c r="O5" t="s">
        <v>42</v>
      </c>
    </row>
    <row r="6" spans="1:15" x14ac:dyDescent="0.3">
      <c r="A6" t="s">
        <v>25</v>
      </c>
      <c r="B6" t="s">
        <v>59</v>
      </c>
      <c r="C6" t="s">
        <v>45</v>
      </c>
      <c r="D6" t="s">
        <v>61</v>
      </c>
      <c r="I6" t="s">
        <v>450</v>
      </c>
      <c r="J6" s="15" t="s">
        <v>431</v>
      </c>
      <c r="O6" t="s">
        <v>22</v>
      </c>
    </row>
    <row r="7" spans="1:15" x14ac:dyDescent="0.3">
      <c r="A7" t="s">
        <v>26</v>
      </c>
      <c r="B7" t="s">
        <v>34</v>
      </c>
      <c r="C7" t="s">
        <v>46</v>
      </c>
      <c r="D7" t="s">
        <v>62</v>
      </c>
      <c r="I7" t="s">
        <v>451</v>
      </c>
      <c r="J7" s="15" t="s">
        <v>17</v>
      </c>
      <c r="O7" t="s">
        <v>43</v>
      </c>
    </row>
    <row r="8" spans="1:15" x14ac:dyDescent="0.3">
      <c r="A8" t="s">
        <v>28</v>
      </c>
      <c r="B8" t="s">
        <v>35</v>
      </c>
      <c r="C8" t="s">
        <v>47</v>
      </c>
      <c r="D8" t="s">
        <v>64</v>
      </c>
      <c r="I8" t="s">
        <v>14</v>
      </c>
      <c r="J8" s="15" t="s">
        <v>432</v>
      </c>
      <c r="O8" t="s">
        <v>208</v>
      </c>
    </row>
    <row r="9" spans="1:15" x14ac:dyDescent="0.3">
      <c r="A9" t="s">
        <v>29</v>
      </c>
      <c r="B9" t="s">
        <v>209</v>
      </c>
      <c r="C9" t="s">
        <v>48</v>
      </c>
      <c r="D9" t="s">
        <v>65</v>
      </c>
      <c r="I9" t="s">
        <v>13</v>
      </c>
      <c r="O9" t="s">
        <v>32</v>
      </c>
    </row>
    <row r="10" spans="1:15" x14ac:dyDescent="0.3">
      <c r="B10" t="s">
        <v>65</v>
      </c>
      <c r="C10" t="s">
        <v>49</v>
      </c>
      <c r="D10" t="s">
        <v>67</v>
      </c>
      <c r="I10" t="s">
        <v>12</v>
      </c>
      <c r="O10" t="s">
        <v>44</v>
      </c>
    </row>
    <row r="11" spans="1:15" x14ac:dyDescent="0.3">
      <c r="B11" t="s">
        <v>452</v>
      </c>
      <c r="C11" t="s">
        <v>211</v>
      </c>
      <c r="D11" t="s">
        <v>68</v>
      </c>
      <c r="I11" t="s">
        <v>453</v>
      </c>
      <c r="O11" t="s">
        <v>45</v>
      </c>
    </row>
    <row r="12" spans="1:15" x14ac:dyDescent="0.3">
      <c r="B12" t="s">
        <v>37</v>
      </c>
      <c r="C12" t="s">
        <v>51</v>
      </c>
      <c r="O12" t="s">
        <v>55</v>
      </c>
    </row>
    <row r="13" spans="1:15" x14ac:dyDescent="0.3">
      <c r="B13" t="s">
        <v>454</v>
      </c>
      <c r="C13" t="s">
        <v>52</v>
      </c>
      <c r="O13" t="s">
        <v>56</v>
      </c>
    </row>
    <row r="14" spans="1:15" x14ac:dyDescent="0.3">
      <c r="B14" t="s">
        <v>40</v>
      </c>
      <c r="C14" t="s">
        <v>53</v>
      </c>
      <c r="O14" t="s">
        <v>46</v>
      </c>
    </row>
    <row r="15" spans="1:15" x14ac:dyDescent="0.3">
      <c r="C15" t="s">
        <v>433</v>
      </c>
      <c r="O15" t="s">
        <v>47</v>
      </c>
    </row>
    <row r="16" spans="1:15" x14ac:dyDescent="0.3">
      <c r="O16" t="s">
        <v>57</v>
      </c>
    </row>
    <row r="17" spans="15:15" x14ac:dyDescent="0.3">
      <c r="O17" t="s">
        <v>33</v>
      </c>
    </row>
    <row r="18" spans="15:15" x14ac:dyDescent="0.3">
      <c r="O18" t="s">
        <v>58</v>
      </c>
    </row>
    <row r="19" spans="15:15" x14ac:dyDescent="0.3">
      <c r="O19" t="s">
        <v>59</v>
      </c>
    </row>
    <row r="20" spans="15:15" x14ac:dyDescent="0.3">
      <c r="O20" t="s">
        <v>59</v>
      </c>
    </row>
    <row r="21" spans="15:15" x14ac:dyDescent="0.3">
      <c r="O21" t="s">
        <v>48</v>
      </c>
    </row>
    <row r="22" spans="15:15" x14ac:dyDescent="0.3">
      <c r="O22" t="s">
        <v>448</v>
      </c>
    </row>
    <row r="23" spans="15:15" x14ac:dyDescent="0.3">
      <c r="O23" t="s">
        <v>34</v>
      </c>
    </row>
    <row r="24" spans="15:15" x14ac:dyDescent="0.3">
      <c r="O24" t="s">
        <v>61</v>
      </c>
    </row>
    <row r="25" spans="15:15" x14ac:dyDescent="0.3">
      <c r="O25" t="s">
        <v>449</v>
      </c>
    </row>
    <row r="26" spans="15:15" x14ac:dyDescent="0.3">
      <c r="O26" t="s">
        <v>35</v>
      </c>
    </row>
    <row r="27" spans="15:15" x14ac:dyDescent="0.3">
      <c r="O27" t="s">
        <v>49</v>
      </c>
    </row>
    <row r="28" spans="15:15" x14ac:dyDescent="0.3">
      <c r="O28" t="s">
        <v>62</v>
      </c>
    </row>
    <row r="29" spans="15:15" x14ac:dyDescent="0.3">
      <c r="O29" t="s">
        <v>63</v>
      </c>
    </row>
    <row r="30" spans="15:15" x14ac:dyDescent="0.3">
      <c r="O30" t="s">
        <v>64</v>
      </c>
    </row>
    <row r="31" spans="15:15" x14ac:dyDescent="0.3">
      <c r="O31" t="s">
        <v>25</v>
      </c>
    </row>
    <row r="32" spans="15:15" x14ac:dyDescent="0.3">
      <c r="O32" t="s">
        <v>211</v>
      </c>
    </row>
    <row r="33" spans="15:15" x14ac:dyDescent="0.3">
      <c r="O33" t="s">
        <v>209</v>
      </c>
    </row>
    <row r="34" spans="15:15" x14ac:dyDescent="0.3">
      <c r="O34" t="s">
        <v>26</v>
      </c>
    </row>
    <row r="35" spans="15:15" x14ac:dyDescent="0.3">
      <c r="O35" t="s">
        <v>65</v>
      </c>
    </row>
    <row r="36" spans="15:15" x14ac:dyDescent="0.3">
      <c r="O36" t="s">
        <v>65</v>
      </c>
    </row>
    <row r="37" spans="15:15" x14ac:dyDescent="0.3">
      <c r="O37" t="s">
        <v>66</v>
      </c>
    </row>
    <row r="38" spans="15:15" x14ac:dyDescent="0.3">
      <c r="O38" t="s">
        <v>51</v>
      </c>
    </row>
    <row r="39" spans="15:15" x14ac:dyDescent="0.3">
      <c r="O39" t="s">
        <v>452</v>
      </c>
    </row>
    <row r="40" spans="15:15" x14ac:dyDescent="0.3">
      <c r="O40" t="s">
        <v>37</v>
      </c>
    </row>
    <row r="41" spans="15:15" x14ac:dyDescent="0.3">
      <c r="O41" t="s">
        <v>454</v>
      </c>
    </row>
    <row r="42" spans="15:15" x14ac:dyDescent="0.3">
      <c r="O42" t="s">
        <v>28</v>
      </c>
    </row>
    <row r="43" spans="15:15" x14ac:dyDescent="0.3">
      <c r="O43" t="s">
        <v>29</v>
      </c>
    </row>
    <row r="44" spans="15:15" x14ac:dyDescent="0.3">
      <c r="O44" t="s">
        <v>67</v>
      </c>
    </row>
    <row r="45" spans="15:15" x14ac:dyDescent="0.3">
      <c r="O45" t="s">
        <v>52</v>
      </c>
    </row>
    <row r="46" spans="15:15" x14ac:dyDescent="0.3">
      <c r="O46" t="s">
        <v>68</v>
      </c>
    </row>
    <row r="47" spans="15:15" x14ac:dyDescent="0.3">
      <c r="O47" t="s">
        <v>40</v>
      </c>
    </row>
    <row r="48" spans="15:15" x14ac:dyDescent="0.3">
      <c r="O48" t="s">
        <v>53</v>
      </c>
    </row>
    <row r="49" spans="15:15" x14ac:dyDescent="0.3">
      <c r="O49" t="s">
        <v>433</v>
      </c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I99"/>
  <sheetViews>
    <sheetView workbookViewId="0">
      <selection activeCell="B1" sqref="B1:B1048576"/>
    </sheetView>
  </sheetViews>
  <sheetFormatPr defaultColWidth="8.6640625" defaultRowHeight="14.4" x14ac:dyDescent="0.3"/>
  <cols>
    <col min="1" max="1" width="18" bestFit="1" customWidth="1"/>
    <col min="2" max="2" width="16.44140625" style="2" bestFit="1" customWidth="1"/>
    <col min="3" max="3" width="9" style="2" bestFit="1" customWidth="1"/>
    <col min="4" max="4" width="8.33203125" style="2" bestFit="1" customWidth="1"/>
    <col min="5" max="5" width="8.109375" style="2" bestFit="1" customWidth="1"/>
    <col min="6" max="6" width="11.44140625" style="14" bestFit="1" customWidth="1"/>
    <col min="7" max="7" width="10.33203125" style="14" bestFit="1" customWidth="1"/>
    <col min="8" max="8" width="10.6640625" style="14" bestFit="1" customWidth="1"/>
    <col min="9" max="10" width="10.44140625" style="14" bestFit="1" customWidth="1"/>
    <col min="11" max="11" width="10.6640625" style="14" bestFit="1" customWidth="1"/>
    <col min="12" max="12" width="9.44140625" style="14" bestFit="1" customWidth="1"/>
    <col min="13" max="13" width="10.6640625" style="14" bestFit="1" customWidth="1"/>
    <col min="14" max="14" width="8.33203125" style="14" bestFit="1" customWidth="1"/>
    <col min="15" max="15" width="15.88671875" style="14" bestFit="1" customWidth="1"/>
    <col min="16" max="16" width="16" style="2" bestFit="1" customWidth="1"/>
    <col min="20" max="20" width="13.6640625" style="2" bestFit="1" customWidth="1"/>
    <col min="21" max="22" width="8.6640625" style="2" customWidth="1"/>
    <col min="23" max="23" width="10.109375" style="14" bestFit="1" customWidth="1"/>
    <col min="26" max="26" width="18" bestFit="1" customWidth="1"/>
    <col min="29" max="29" width="10.109375" bestFit="1" customWidth="1"/>
    <col min="32" max="32" width="14.5546875" bestFit="1" customWidth="1"/>
    <col min="35" max="35" width="10.109375" bestFit="1" customWidth="1"/>
  </cols>
  <sheetData>
    <row r="1" spans="1:32" ht="15" customHeight="1" thickBot="1" x14ac:dyDescent="0.35">
      <c r="A1" s="7" t="s">
        <v>1</v>
      </c>
      <c r="B1" s="7" t="s">
        <v>429</v>
      </c>
      <c r="C1" s="7" t="s">
        <v>2</v>
      </c>
      <c r="D1" s="7" t="s">
        <v>3</v>
      </c>
      <c r="E1" s="7" t="s">
        <v>4</v>
      </c>
      <c r="F1" s="17" t="s">
        <v>11</v>
      </c>
      <c r="G1" s="17" t="s">
        <v>12</v>
      </c>
      <c r="H1" s="17" t="s">
        <v>13</v>
      </c>
      <c r="I1" s="17" t="s">
        <v>14</v>
      </c>
      <c r="J1" s="17" t="s">
        <v>430</v>
      </c>
      <c r="K1" s="17" t="s">
        <v>431</v>
      </c>
      <c r="L1" s="17" t="s">
        <v>17</v>
      </c>
      <c r="M1" s="17" t="s">
        <v>432</v>
      </c>
      <c r="N1" s="17" t="s">
        <v>19</v>
      </c>
      <c r="O1" s="17" t="s">
        <v>455</v>
      </c>
      <c r="P1" s="7" t="s">
        <v>8</v>
      </c>
      <c r="T1" s="20" t="s">
        <v>456</v>
      </c>
    </row>
    <row r="2" spans="1:32" ht="15" customHeight="1" x14ac:dyDescent="0.3">
      <c r="A2" t="str">
        <f>IF(ISBLANK(Display!A16),,Display!A16)</f>
        <v>Joe Powell</v>
      </c>
      <c r="B2" s="2" t="str">
        <f>IF($C2&gt;0,Display!I16,)</f>
        <v>M/AM LC</v>
      </c>
      <c r="C2" s="2">
        <f>IF(ISBLANK(Display!C16),"",Display!C16)</f>
        <v>31</v>
      </c>
      <c r="D2" s="2">
        <f>IF(ISBLANK(Display!D16),"",Display!D16)</f>
        <v>107</v>
      </c>
      <c r="E2" s="2">
        <f>IF(ISBLANK(Display!E16),"",Display!E16)</f>
        <v>130</v>
      </c>
      <c r="F2" s="14">
        <f t="array" ref="F2">IF(ISBLANK(Display!J16),NULL,Display!J16)</f>
        <v>97.944134078212272</v>
      </c>
      <c r="G2" s="14">
        <f t="array" ref="G2">IF(ISBLANK(Display!K16),NULL,Display!K16)</f>
        <v>101.84019512768522</v>
      </c>
      <c r="H2" s="14">
        <f t="array" ref="H2">IF(ISBLANK(Display!L16),NULL,Display!L16)</f>
        <v>103.19853670986586</v>
      </c>
      <c r="I2" s="14">
        <f t="array" ref="I2">IF(ISBLANK(Display!M16),NULL,Display!M16)</f>
        <v>103.6152305256696</v>
      </c>
      <c r="J2" s="14">
        <f t="array" ref="J2">IF(ISBLANK(Display!N16),NULL,Display!N16)</f>
        <v>100.78778005170186</v>
      </c>
      <c r="K2" s="14">
        <f t="array" ref="K2">IF(ISBLANK(Display!O16),NULL,Display!O16)</f>
        <v>99.520317705854353</v>
      </c>
      <c r="L2" s="14">
        <f t="array" ref="L2">IF(ISBLANK(Display!P16),NULL,Display!P16)</f>
        <v>92.853708791208788</v>
      </c>
      <c r="M2" s="14">
        <f t="array" ref="M2">IF(ISBLANK(Display!Q16),NULL,Display!Q16)</f>
        <v>100.05851063829788</v>
      </c>
      <c r="N2" s="14">
        <f t="array" ref="N2">IF(ISBLANK(Display!R16),NULL,Display!R16)</f>
        <v>69.485784485784478</v>
      </c>
      <c r="O2" s="14">
        <f t="shared" ref="O2:O33" si="0">IF(ISBLANK(A2),"",MAX($F2:$N2))</f>
        <v>103.6152305256696</v>
      </c>
      <c r="P2" s="2" t="str">
        <f>IF(ISBLANK(Display!I16),"",Display!I16)</f>
        <v>M/AM LC</v>
      </c>
      <c r="T2" s="20"/>
    </row>
    <row r="3" spans="1:32" x14ac:dyDescent="0.3">
      <c r="A3" t="str">
        <f>IF(ISBLANK(Display!A4),,Display!A4)</f>
        <v>Ashley Sarahs</v>
      </c>
      <c r="B3" s="2" t="str">
        <f>IF($C3&gt;0,Display!I4,)</f>
        <v xml:space="preserve">GK </v>
      </c>
      <c r="C3" s="2">
        <f>IF(ISBLANK(Display!C4),"",Display!C4)</f>
        <v>20</v>
      </c>
      <c r="D3" s="2">
        <f>IF(ISBLANK(Display!D4),"",Display!D4)</f>
        <v>99</v>
      </c>
      <c r="E3" s="2">
        <f>IF(ISBLANK(Display!E4),"",Display!E4)</f>
        <v>146</v>
      </c>
      <c r="F3" s="14">
        <f t="array" ref="F3">IF(ISBLANK(Display!J4),NULL,Display!J4)</f>
        <v>77.374158430024352</v>
      </c>
      <c r="G3" s="14">
        <f t="array" ref="G3">IF(ISBLANK(Display!K4),NULL,Display!K4)</f>
        <v>76.689147491845191</v>
      </c>
      <c r="H3" s="14">
        <f t="array" ref="H3">IF(ISBLANK(Display!L4),NULL,Display!L4)</f>
        <v>76.317953662479084</v>
      </c>
      <c r="I3" s="14">
        <f t="array" ref="I3">IF(ISBLANK(Display!M4),NULL,Display!M4)</f>
        <v>79.791121450033927</v>
      </c>
      <c r="J3" s="14">
        <f t="array" ref="J3">IF(ISBLANK(Display!N4),NULL,Display!N4)</f>
        <v>80.296612451529512</v>
      </c>
      <c r="K3" s="14">
        <f t="array" ref="K3">IF(ISBLANK(Display!O4),NULL,Display!O4)</f>
        <v>83.278052118039028</v>
      </c>
      <c r="L3" s="14">
        <f t="array" ref="L3">IF(ISBLANK(Display!P4),NULL,Display!P4)</f>
        <v>81.301510989010978</v>
      </c>
      <c r="M3" s="14">
        <f t="array" ref="M3">IF(ISBLANK(Display!Q4),NULL,Display!Q4)</f>
        <v>83.704005006257802</v>
      </c>
      <c r="N3" s="14">
        <f t="array" ref="N3">IF(ISBLANK(Display!R4),NULL,Display!R4)</f>
        <v>103.00105300105301</v>
      </c>
      <c r="O3" s="14">
        <f t="shared" si="0"/>
        <v>103.00105300105301</v>
      </c>
      <c r="P3" s="2" t="str">
        <f>IF(ISBLANK(Display!I4),"",Display!I4)</f>
        <v xml:space="preserve">GK </v>
      </c>
      <c r="S3" s="19" t="s">
        <v>19</v>
      </c>
      <c r="T3" s="2">
        <f t="shared" ref="T3:T13" si="1">COUNTIF(P:P,S3)</f>
        <v>0</v>
      </c>
      <c r="AF3">
        <v>9</v>
      </c>
    </row>
    <row r="4" spans="1:32" x14ac:dyDescent="0.3">
      <c r="A4" t="str">
        <f>IF(ISBLANK(Display!A7),,Display!A7)</f>
        <v>Cole Deeming</v>
      </c>
      <c r="B4" s="2" t="str">
        <f>IF($C4&gt;0,Display!I7,)</f>
        <v>DM/M LC</v>
      </c>
      <c r="C4" s="2">
        <f>IF(ISBLANK(Display!C7),"",Display!C7)</f>
        <v>22</v>
      </c>
      <c r="D4" s="2">
        <f>IF(ISBLANK(Display!D7),"",Display!D7)</f>
        <v>99</v>
      </c>
      <c r="E4" s="2">
        <f>IF(ISBLANK(Display!E7),"",Display!E7)</f>
        <v>107</v>
      </c>
      <c r="F4" s="14">
        <f t="array" ref="F4">IF(ISBLANK(Display!J7),NULL,Display!J7)</f>
        <v>92.865921787709482</v>
      </c>
      <c r="G4" s="14">
        <f t="array" ref="G4">IF(ISBLANK(Display!K7),NULL,Display!K7)</f>
        <v>95.738634693937541</v>
      </c>
      <c r="H4" s="14">
        <f t="array" ref="H4">IF(ISBLANK(Display!L7),NULL,Display!L7)</f>
        <v>96.689873238238391</v>
      </c>
      <c r="I4" s="14">
        <f t="array" ref="I4">IF(ISBLANK(Display!M7),NULL,Display!M7)</f>
        <v>95.737940615812093</v>
      </c>
      <c r="J4" s="14">
        <f t="array" ref="J4">IF(ISBLANK(Display!N7),NULL,Display!N7)</f>
        <v>96.551863420939256</v>
      </c>
      <c r="K4" s="14">
        <f t="array" ref="K4">IF(ISBLANK(Display!O7),NULL,Display!O7)</f>
        <v>96.710792479771541</v>
      </c>
      <c r="L4" s="14">
        <f t="array" ref="L4">IF(ISBLANK(Display!P7),NULL,Display!P7)</f>
        <v>97.204670329670336</v>
      </c>
      <c r="M4" s="14">
        <f t="array" ref="M4">IF(ISBLANK(Display!Q7),NULL,Display!Q7)</f>
        <v>96.579474342928648</v>
      </c>
      <c r="N4" s="14">
        <f t="array" ref="N4">IF(ISBLANK(Display!R7),NULL,Display!R7)</f>
        <v>63.324412074412066</v>
      </c>
      <c r="O4" s="14">
        <f t="shared" si="0"/>
        <v>97.204670329670336</v>
      </c>
      <c r="P4" s="2" t="str">
        <f>IF(ISBLANK(Display!I7),"",Display!I7)</f>
        <v>DM/M LC</v>
      </c>
      <c r="S4" s="18" t="s">
        <v>18</v>
      </c>
      <c r="T4" s="2">
        <f t="shared" si="1"/>
        <v>0</v>
      </c>
      <c r="AF4">
        <v>8</v>
      </c>
    </row>
    <row r="5" spans="1:32" x14ac:dyDescent="0.3">
      <c r="A5" t="str">
        <f>IF(ISBLANK(Display!A10),,Display!A10)</f>
        <v>Elia Favicchio</v>
      </c>
      <c r="B5" s="2" t="str">
        <f>IF($C5&gt;0,Display!I10,)</f>
        <v>M/AM LC</v>
      </c>
      <c r="C5" s="2">
        <f>IF(ISBLANK(Display!C10),"",Display!C10)</f>
        <v>21</v>
      </c>
      <c r="D5" s="2">
        <f>IF(ISBLANK(Display!D10),"",Display!D10)</f>
        <v>96</v>
      </c>
      <c r="E5" s="2">
        <f>IF(ISBLANK(Display!E10),"",Display!E10)</f>
        <v>114</v>
      </c>
      <c r="F5" s="14">
        <f t="array" ref="F5">IF(ISBLANK(Display!J10),NULL,Display!J10)</f>
        <v>86.046411688869782</v>
      </c>
      <c r="G5" s="14">
        <f t="array" ref="G5">IF(ISBLANK(Display!K10),NULL,Display!K10)</f>
        <v>87.029445472978921</v>
      </c>
      <c r="H5" s="14">
        <f t="array" ref="H5">IF(ISBLANK(Display!L10),NULL,Display!L10)</f>
        <v>87.016561268184773</v>
      </c>
      <c r="I5" s="14">
        <f t="array" ref="I5">IF(ISBLANK(Display!M10),NULL,Display!M10)</f>
        <v>86.341475235048947</v>
      </c>
      <c r="J5" s="14">
        <f t="array" ref="J5">IF(ISBLANK(Display!N10),NULL,Display!N10)</f>
        <v>83.639191081430425</v>
      </c>
      <c r="K5" s="14">
        <f t="array" ref="K5">IF(ISBLANK(Display!O10),NULL,Display!O10)</f>
        <v>82.067021656354129</v>
      </c>
      <c r="L5" s="14">
        <f t="array" ref="L5">IF(ISBLANK(Display!P10),NULL,Display!P10)</f>
        <v>82.393543956043942</v>
      </c>
      <c r="M5" s="14">
        <f t="array" ref="M5">IF(ISBLANK(Display!Q10),NULL,Display!Q10)</f>
        <v>81.822903629536924</v>
      </c>
      <c r="N5" s="14">
        <f t="array" ref="N5">IF(ISBLANK(Display!R10),NULL,Display!R10)</f>
        <v>54.185679185679177</v>
      </c>
      <c r="O5" s="14">
        <f t="shared" si="0"/>
        <v>87.029445472978921</v>
      </c>
      <c r="P5" s="2" t="str">
        <f>IF(ISBLANK(Display!I10),"",Display!I10)</f>
        <v>M/AM LC</v>
      </c>
      <c r="S5" s="18" t="s">
        <v>17</v>
      </c>
      <c r="T5" s="2">
        <f t="shared" si="1"/>
        <v>0</v>
      </c>
      <c r="AF5">
        <v>7</v>
      </c>
    </row>
    <row r="6" spans="1:32" x14ac:dyDescent="0.3">
      <c r="A6" t="str">
        <f>IF(ISBLANK(Display!A12),,Display!A12)</f>
        <v>Gastón Ramírez</v>
      </c>
      <c r="B6" s="2" t="str">
        <f>IF($C6&gt;0,Display!I12,)</f>
        <v>AM/ST L</v>
      </c>
      <c r="C6" s="2">
        <f>IF(ISBLANK(Display!C12),"",Display!C12)</f>
        <v>18</v>
      </c>
      <c r="D6" s="2">
        <f>IF(ISBLANK(Display!D12),"",Display!D12)</f>
        <v>103</v>
      </c>
      <c r="E6" s="2">
        <f>IF(ISBLANK(Display!E12),"",Display!E12)</f>
        <v>140</v>
      </c>
      <c r="F6" s="14">
        <f t="array" ref="F6">IF(ISBLANK(Display!J12),NULL,Display!J12)</f>
        <v>88.464403380604494</v>
      </c>
      <c r="G6" s="14">
        <f t="array" ref="G6">IF(ISBLANK(Display!K12),NULL,Display!K12)</f>
        <v>87.011078785741574</v>
      </c>
      <c r="H6" s="14">
        <f t="array" ref="H6">IF(ISBLANK(Display!L12),NULL,Display!L12)</f>
        <v>86.820463375209158</v>
      </c>
      <c r="I6" s="14">
        <f t="array" ref="I6">IF(ISBLANK(Display!M12),NULL,Display!M12)</f>
        <v>86.119188394559131</v>
      </c>
      <c r="J6" s="14">
        <f t="array" ref="J6">IF(ISBLANK(Display!N12),NULL,Display!N12)</f>
        <v>79.73691296854804</v>
      </c>
      <c r="K6" s="14">
        <f t="array" ref="K6">IF(ISBLANK(Display!O12),NULL,Display!O12)</f>
        <v>76.562053783912418</v>
      </c>
      <c r="L6" s="14">
        <f t="array" ref="L6">IF(ISBLANK(Display!P12),NULL,Display!P12)</f>
        <v>80.439560439560438</v>
      </c>
      <c r="M6" s="14">
        <f t="array" ref="M6">IF(ISBLANK(Display!Q12),NULL,Display!Q12)</f>
        <v>76.075093867334175</v>
      </c>
      <c r="N6" s="14">
        <f t="array" ref="N6">IF(ISBLANK(Display!R12),NULL,Display!R12)</f>
        <v>52.065637065637063</v>
      </c>
      <c r="O6" s="14">
        <f t="shared" si="0"/>
        <v>88.464403380604494</v>
      </c>
      <c r="P6" s="2" t="str">
        <f>IF(ISBLANK(Display!I12),"",Display!I12)</f>
        <v>AM/ST L</v>
      </c>
      <c r="S6" s="18" t="s">
        <v>17</v>
      </c>
      <c r="T6" s="2">
        <f t="shared" si="1"/>
        <v>0</v>
      </c>
      <c r="AF6">
        <v>7</v>
      </c>
    </row>
    <row r="7" spans="1:32" x14ac:dyDescent="0.3">
      <c r="A7" t="str">
        <f>IF(ISBLANK(Display!A14),,Display!A14)</f>
        <v>Isaac Smith</v>
      </c>
      <c r="B7" s="2" t="str">
        <f>IF($C7&gt;0,Display!I14,)</f>
        <v>D/DM C</v>
      </c>
      <c r="C7" s="2">
        <f>IF(ISBLANK(Display!C14),"",Display!C14)</f>
        <v>24</v>
      </c>
      <c r="D7" s="2">
        <f>IF(ISBLANK(Display!D14),"",Display!D14)</f>
        <v>101</v>
      </c>
      <c r="E7" s="2">
        <f>IF(ISBLANK(Display!E14),"",Display!E14)</f>
        <v>124</v>
      </c>
      <c r="F7" s="14">
        <f t="array" ref="F7">IF(ISBLANK(Display!J14),NULL,Display!J14)</f>
        <v>84.361982523993703</v>
      </c>
      <c r="G7" s="14">
        <f t="array" ref="G7">IF(ISBLANK(Display!K14),NULL,Display!K14)</f>
        <v>84.609450762584856</v>
      </c>
      <c r="H7" s="14">
        <f t="array" ref="H7">IF(ISBLANK(Display!L14),NULL,Display!L14)</f>
        <v>85.124493094745205</v>
      </c>
      <c r="I7" s="14">
        <f t="array" ref="I7">IF(ISBLANK(Display!M14),NULL,Display!M14)</f>
        <v>84.692740137636918</v>
      </c>
      <c r="J7" s="14">
        <f t="array" ref="J7">IF(ISBLANK(Display!N14),NULL,Display!N14)</f>
        <v>90.623922878069791</v>
      </c>
      <c r="K7" s="14">
        <f t="array" ref="K7">IF(ISBLANK(Display!O14),NULL,Display!O14)</f>
        <v>93.332044264635883</v>
      </c>
      <c r="L7" s="14">
        <f t="array" ref="L7">IF(ISBLANK(Display!P14),NULL,Display!P14)</f>
        <v>100.55631868131869</v>
      </c>
      <c r="M7" s="14">
        <f t="array" ref="M7">IF(ISBLANK(Display!Q14),NULL,Display!Q14)</f>
        <v>95.534105131414279</v>
      </c>
      <c r="N7" s="14">
        <f t="array" ref="N7">IF(ISBLANK(Display!R14),NULL,Display!R14)</f>
        <v>63.659617409617404</v>
      </c>
      <c r="O7" s="14">
        <f t="shared" si="0"/>
        <v>100.55631868131869</v>
      </c>
      <c r="P7" s="2" t="str">
        <f>IF(ISBLANK(Display!I14),"",Display!I14)</f>
        <v>D/DM C</v>
      </c>
      <c r="S7" s="18" t="s">
        <v>16</v>
      </c>
      <c r="T7" s="2">
        <f t="shared" si="1"/>
        <v>0</v>
      </c>
      <c r="AF7">
        <v>8</v>
      </c>
    </row>
    <row r="8" spans="1:32" x14ac:dyDescent="0.3">
      <c r="A8" t="str">
        <f>IF(ISBLANK(Display!A17),,Display!A17)</f>
        <v>Josh Campbell-Slowey</v>
      </c>
      <c r="B8" s="2" t="str">
        <f>IF($C8&gt;0,Display!I17,)</f>
        <v>D LC</v>
      </c>
      <c r="C8" s="2">
        <f>IF(ISBLANK(Display!C17),"",Display!C17)</f>
        <v>23</v>
      </c>
      <c r="D8" s="2">
        <f>IF(ISBLANK(Display!D17),"",Display!D17)</f>
        <v>106</v>
      </c>
      <c r="E8" s="2">
        <f>IF(ISBLANK(Display!E17),"",Display!E17)</f>
        <v>121</v>
      </c>
      <c r="F8" s="14">
        <f t="array" ref="F8">IF(ISBLANK(Display!J17),NULL,Display!J17)</f>
        <v>86.043833261710347</v>
      </c>
      <c r="G8" s="14">
        <f t="array" ref="G8">IF(ISBLANK(Display!K17),NULL,Display!K17)</f>
        <v>85.946692526962295</v>
      </c>
      <c r="H8" s="14">
        <f t="array" ref="H8">IF(ISBLANK(Display!L17),NULL,Display!L17)</f>
        <v>86.556447267674343</v>
      </c>
      <c r="I8" s="14">
        <f t="array" ref="I8">IF(ISBLANK(Display!M17),NULL,Display!M17)</f>
        <v>88.317663403444158</v>
      </c>
      <c r="J8" s="14">
        <f t="array" ref="J8">IF(ISBLANK(Display!N17),NULL,Display!N17)</f>
        <v>94.171423955191727</v>
      </c>
      <c r="K8" s="14">
        <f t="array" ref="K8">IF(ISBLANK(Display!O17),NULL,Display!O17)</f>
        <v>97.498512613041413</v>
      </c>
      <c r="L8" s="14">
        <f t="array" ref="L8">IF(ISBLANK(Display!P17),NULL,Display!P17)</f>
        <v>101.15384615384615</v>
      </c>
      <c r="M8" s="14">
        <f t="array" ref="M8">IF(ISBLANK(Display!Q17),NULL,Display!Q17)</f>
        <v>99.101376720901129</v>
      </c>
      <c r="N8" s="14">
        <f t="array" ref="N8">IF(ISBLANK(Display!R17),NULL,Display!R17)</f>
        <v>64.52483327483327</v>
      </c>
      <c r="O8" s="14">
        <f t="shared" si="0"/>
        <v>101.15384615384615</v>
      </c>
      <c r="P8" s="2" t="str">
        <f>IF(ISBLANK(Display!I17),"",Display!I17)</f>
        <v>D LC</v>
      </c>
      <c r="S8" s="18" t="s">
        <v>450</v>
      </c>
      <c r="T8" s="2">
        <f t="shared" si="1"/>
        <v>0</v>
      </c>
      <c r="AF8">
        <v>5</v>
      </c>
    </row>
    <row r="9" spans="1:32" x14ac:dyDescent="0.3">
      <c r="A9" t="str">
        <f>IF(ISBLANK(Display!A6),,Display!A6)</f>
        <v>Charlie Bell</v>
      </c>
      <c r="B9" s="2" t="str">
        <f>IF($C9&gt;0,Display!I6,)</f>
        <v>DM/M C</v>
      </c>
      <c r="C9" s="2">
        <f>IF(ISBLANK(Display!C6),"",Display!C6)</f>
        <v>21</v>
      </c>
      <c r="D9" s="2">
        <f>IF(ISBLANK(Display!D6),"",Display!D6)</f>
        <v>83</v>
      </c>
      <c r="E9" s="2">
        <f>IF(ISBLANK(Display!E6),"",Display!E6)</f>
        <v>97</v>
      </c>
      <c r="F9" s="14">
        <f t="array" ref="F9">IF(ISBLANK(Display!J6),NULL,Display!J6)</f>
        <v>84.278183641312125</v>
      </c>
      <c r="G9" s="14">
        <f t="array" ref="G9">IF(ISBLANK(Display!K6),NULL,Display!K6)</f>
        <v>89.848511563666293</v>
      </c>
      <c r="H9" s="14">
        <f t="array" ref="H9">IF(ISBLANK(Display!L6),NULL,Display!L6)</f>
        <v>91.138020020985167</v>
      </c>
      <c r="I9" s="14">
        <f t="array" ref="I9">IF(ISBLANK(Display!M6),NULL,Display!M6)</f>
        <v>90.715970404833456</v>
      </c>
      <c r="J9" s="14">
        <f t="array" ref="J9">IF(ISBLANK(Display!N6),NULL,Display!N6)</f>
        <v>93.548308918569575</v>
      </c>
      <c r="K9" s="14">
        <f t="array" ref="K9">IF(ISBLANK(Display!O6),NULL,Display!O6)</f>
        <v>93.759221799143262</v>
      </c>
      <c r="L9" s="14">
        <f t="array" ref="L9">IF(ISBLANK(Display!P6),NULL,Display!P6)</f>
        <v>87.788461538461533</v>
      </c>
      <c r="M9" s="14">
        <f t="array" ref="M9">IF(ISBLANK(Display!Q6),NULL,Display!Q6)</f>
        <v>92.610137672090104</v>
      </c>
      <c r="N9" s="14">
        <f t="array" ref="N9">IF(ISBLANK(Display!R6),NULL,Display!R6)</f>
        <v>61.258775008775004</v>
      </c>
      <c r="O9" s="14">
        <f t="shared" si="0"/>
        <v>93.759221799143262</v>
      </c>
      <c r="P9" s="2" t="str">
        <f>IF(ISBLANK(Display!I6),"",Display!I6)</f>
        <v>DM/M C</v>
      </c>
      <c r="S9" s="18" t="s">
        <v>451</v>
      </c>
      <c r="T9" s="2">
        <f t="shared" si="1"/>
        <v>0</v>
      </c>
      <c r="AF9">
        <v>6</v>
      </c>
    </row>
    <row r="10" spans="1:32" x14ac:dyDescent="0.3">
      <c r="A10" t="str">
        <f>IF(ISBLANK(Display!A20),,Display!A20)</f>
        <v>Mannie Barton</v>
      </c>
      <c r="B10" s="2" t="str">
        <f>IF($C10&gt;0,Display!I20,)</f>
        <v>AM/ST RLC</v>
      </c>
      <c r="C10" s="2">
        <f>IF(ISBLANK(Display!C20),"",Display!C20)</f>
        <v>22</v>
      </c>
      <c r="D10" s="2">
        <f>IF(ISBLANK(Display!D20),"",Display!D20)</f>
        <v>81</v>
      </c>
      <c r="E10" s="2">
        <f>IF(ISBLANK(Display!E20),"",Display!E20)</f>
        <v>92</v>
      </c>
      <c r="F10" s="14">
        <f t="array" ref="F10">IF(ISBLANK(Display!J20),NULL,Display!J20)</f>
        <v>83.334765792866364</v>
      </c>
      <c r="G10" s="14">
        <f t="array" ref="G10">IF(ISBLANK(Display!K20),NULL,Display!K20)</f>
        <v>86.950395251109356</v>
      </c>
      <c r="H10" s="14">
        <f t="array" ref="H10">IF(ISBLANK(Display!L20),NULL,Display!L20)</f>
        <v>87.486033519553075</v>
      </c>
      <c r="I10" s="14">
        <f t="array" ref="I10">IF(ISBLANK(Display!M20),NULL,Display!M20)</f>
        <v>86.274918419437171</v>
      </c>
      <c r="J10" s="14">
        <f t="array" ref="J10">IF(ISBLANK(Display!N20),NULL,Display!N20)</f>
        <v>83.198378931495043</v>
      </c>
      <c r="K10" s="14">
        <f t="array" ref="K10">IF(ISBLANK(Display!O20),NULL,Display!O20)</f>
        <v>81.600279628748211</v>
      </c>
      <c r="L10" s="14">
        <f t="array" ref="L10">IF(ISBLANK(Display!P20),NULL,Display!P20)</f>
        <v>78.135302197802204</v>
      </c>
      <c r="M10" s="14">
        <f t="array" ref="M10">IF(ISBLANK(Display!Q20),NULL,Display!Q20)</f>
        <v>81.530037546933656</v>
      </c>
      <c r="N10" s="14">
        <f t="array" ref="N10">IF(ISBLANK(Display!R20),NULL,Display!R20)</f>
        <v>58.967620217620222</v>
      </c>
      <c r="O10" s="14">
        <f t="shared" si="0"/>
        <v>87.486033519553075</v>
      </c>
      <c r="P10" s="2" t="str">
        <f>IF(ISBLANK(Display!I20),"",Display!I20)</f>
        <v>AM/ST RLC</v>
      </c>
      <c r="S10" s="18" t="s">
        <v>14</v>
      </c>
      <c r="T10" s="2">
        <f t="shared" si="1"/>
        <v>0</v>
      </c>
      <c r="AF10">
        <v>4</v>
      </c>
    </row>
    <row r="11" spans="1:32" x14ac:dyDescent="0.3">
      <c r="A11" t="str">
        <f>IF(ISBLANK(Display!A22),,Display!A22)</f>
        <v>Matt Worthington</v>
      </c>
      <c r="B11" s="2" t="str">
        <f>IF($C11&gt;0,Display!I22,)</f>
        <v xml:space="preserve">DM </v>
      </c>
      <c r="C11" s="2">
        <f>IF(ISBLANK(Display!C22),"",Display!C22)</f>
        <v>31</v>
      </c>
      <c r="D11" s="2">
        <f>IF(ISBLANK(Display!D22),"",Display!D22)</f>
        <v>102</v>
      </c>
      <c r="E11" s="2">
        <f>IF(ISBLANK(Display!E22),"",Display!E22)</f>
        <v>120</v>
      </c>
      <c r="F11" s="14">
        <f t="array" ref="F11">IF(ISBLANK(Display!J22),NULL,Display!J22)</f>
        <v>91.523993697178057</v>
      </c>
      <c r="G11" s="14">
        <f t="array" ref="G11">IF(ISBLANK(Display!K22),NULL,Display!K22)</f>
        <v>97.45702195186459</v>
      </c>
      <c r="H11" s="14">
        <f t="array" ref="H11">IF(ISBLANK(Display!L22),NULL,Display!L22)</f>
        <v>97.495533562090571</v>
      </c>
      <c r="I11" s="14">
        <f t="array" ref="I11">IF(ISBLANK(Display!M22),NULL,Display!M22)</f>
        <v>99.922942715905791</v>
      </c>
      <c r="J11" s="14">
        <f t="array" ref="J11">IF(ISBLANK(Display!N22),NULL,Display!N22)</f>
        <v>98.829572382593724</v>
      </c>
      <c r="K11" s="14">
        <f t="array" ref="K11">IF(ISBLANK(Display!O22),NULL,Display!O22)</f>
        <v>100.53412065683008</v>
      </c>
      <c r="L11" s="14">
        <f t="array" ref="L11">IF(ISBLANK(Display!P22),NULL,Display!P22)</f>
        <v>93.818681318681314</v>
      </c>
      <c r="M11" s="14">
        <f t="array" ref="M11">IF(ISBLANK(Display!Q22),NULL,Display!Q22)</f>
        <v>102.09918648310389</v>
      </c>
      <c r="N11" s="14">
        <f t="array" ref="N11">IF(ISBLANK(Display!R22),NULL,Display!R22)</f>
        <v>66.450070200070201</v>
      </c>
      <c r="O11" s="14">
        <f t="shared" si="0"/>
        <v>102.09918648310389</v>
      </c>
      <c r="P11" s="2" t="str">
        <f>IF(ISBLANK(Display!I22),"",Display!I22)</f>
        <v xml:space="preserve">DM </v>
      </c>
      <c r="S11" s="18" t="s">
        <v>13</v>
      </c>
      <c r="T11" s="2">
        <f t="shared" si="1"/>
        <v>0</v>
      </c>
      <c r="AF11">
        <v>3</v>
      </c>
    </row>
    <row r="12" spans="1:32" x14ac:dyDescent="0.3">
      <c r="A12" t="str">
        <f>IF(ISBLANK(Display!A5),,Display!A5)</f>
        <v>Aydin Webb</v>
      </c>
      <c r="B12" s="2" t="str">
        <f>IF($C12&gt;0,Display!I5,)</f>
        <v>DM/M/AM RLC</v>
      </c>
      <c r="C12" s="2">
        <f>IF(ISBLANK(Display!C5),"",Display!C5)</f>
        <v>19</v>
      </c>
      <c r="D12" s="2">
        <f>IF(ISBLANK(Display!D5),"",Display!D5)</f>
        <v>119</v>
      </c>
      <c r="E12" s="2">
        <f>IF(ISBLANK(Display!E5),"",Display!E5)</f>
        <v>135</v>
      </c>
      <c r="F12" s="14">
        <f t="array" ref="F12">IF(ISBLANK(Display!J5),NULL,Display!J5)</f>
        <v>100.28133505228479</v>
      </c>
      <c r="G12" s="14">
        <f t="array" ref="G12">IF(ISBLANK(Display!K5),NULL,Display!K5)</f>
        <v>104.63810279467512</v>
      </c>
      <c r="H12" s="14">
        <f t="array" ref="H12">IF(ISBLANK(Display!L5),NULL,Display!L5)</f>
        <v>106.79664237302555</v>
      </c>
      <c r="I12" s="14">
        <f t="array" ref="I12">IF(ISBLANK(Display!M5),NULL,Display!M5)</f>
        <v>105.41630318891151</v>
      </c>
      <c r="J12" s="14">
        <f t="array" ref="J12">IF(ISBLANK(Display!N5),NULL,Display!N5)</f>
        <v>107.23960577337354</v>
      </c>
      <c r="K12" s="14">
        <f t="array" ref="K12">IF(ISBLANK(Display!O5),NULL,Display!O5)</f>
        <v>105.56669443122324</v>
      </c>
      <c r="L12" s="14">
        <f t="array" ref="L12">IF(ISBLANK(Display!P5),NULL,Display!P5)</f>
        <v>97.311126373626365</v>
      </c>
      <c r="M12" s="14">
        <f t="array" ref="M12">IF(ISBLANK(Display!Q5),NULL,Display!Q5)</f>
        <v>104.37984981226533</v>
      </c>
      <c r="N12" s="14">
        <f t="array" ref="N12">IF(ISBLANK(Display!R5),NULL,Display!R5)</f>
        <v>70.935415935415932</v>
      </c>
      <c r="O12" s="14">
        <f t="shared" si="0"/>
        <v>107.23960577337354</v>
      </c>
      <c r="P12" s="2" t="str">
        <f>IF(ISBLANK(Display!I5),"",Display!I5)</f>
        <v>DM/M/AM RLC</v>
      </c>
      <c r="S12" s="18" t="s">
        <v>12</v>
      </c>
      <c r="T12" s="2">
        <f t="shared" si="1"/>
        <v>0</v>
      </c>
      <c r="AF12">
        <v>2</v>
      </c>
    </row>
    <row r="13" spans="1:32" x14ac:dyDescent="0.3">
      <c r="A13" t="str">
        <f>IF(ISBLANK(Display!A18),,Display!A18)</f>
        <v>Korbyn Ednie</v>
      </c>
      <c r="B13" s="2" t="str">
        <f>IF($C13&gt;0,Display!I18,)</f>
        <v>AM/ST R</v>
      </c>
      <c r="C13" s="2">
        <f>IF(ISBLANK(Display!C18),"",Display!C18)</f>
        <v>18</v>
      </c>
      <c r="D13" s="2">
        <f>IF(ISBLANK(Display!D18),"",Display!D18)</f>
        <v>118</v>
      </c>
      <c r="E13" s="2">
        <f>IF(ISBLANK(Display!E18),"",Display!E18)</f>
        <v>158</v>
      </c>
      <c r="F13" s="14">
        <f t="array" ref="F13">IF(ISBLANK(Display!J18),NULL,Display!J18)</f>
        <v>93.606789858186517</v>
      </c>
      <c r="G13" s="14">
        <f t="array" ref="G13">IF(ISBLANK(Display!K18),NULL,Display!K18)</f>
        <v>97.514766816538838</v>
      </c>
      <c r="H13" s="14">
        <f t="array" ref="H13">IF(ISBLANK(Display!L18),NULL,Display!L18)</f>
        <v>98.69494938037036</v>
      </c>
      <c r="I13" s="14">
        <f t="array" ref="I13">IF(ISBLANK(Display!M18),NULL,Display!M18)</f>
        <v>100.64214403411846</v>
      </c>
      <c r="J13" s="14">
        <f t="array" ref="J13">IF(ISBLANK(Display!N18),NULL,Display!N18)</f>
        <v>90.3042869452822</v>
      </c>
      <c r="K13" s="14">
        <f t="array" ref="K13">IF(ISBLANK(Display!O18),NULL,Display!O18)</f>
        <v>87.773084245597332</v>
      </c>
      <c r="L13" s="14">
        <f t="array" ref="L13">IF(ISBLANK(Display!P18),NULL,Display!P18)</f>
        <v>84.405906593406598</v>
      </c>
      <c r="M13" s="14">
        <f t="array" ref="M13">IF(ISBLANK(Display!Q18),NULL,Display!Q18)</f>
        <v>90.382040050062571</v>
      </c>
      <c r="N13" s="14">
        <f t="array" ref="N13">IF(ISBLANK(Display!R18),NULL,Display!R18)</f>
        <v>59.680589680589684</v>
      </c>
      <c r="O13" s="14">
        <f t="shared" si="0"/>
        <v>100.64214403411846</v>
      </c>
      <c r="P13" s="2" t="str">
        <f>IF(ISBLANK(Display!I18),"",Display!I18)</f>
        <v>AM/ST R</v>
      </c>
      <c r="S13" s="18" t="s">
        <v>453</v>
      </c>
      <c r="T13" s="2">
        <f t="shared" si="1"/>
        <v>0</v>
      </c>
      <c r="AF13">
        <v>1</v>
      </c>
    </row>
    <row r="14" spans="1:32" x14ac:dyDescent="0.3">
      <c r="A14" t="str">
        <f>IF(ISBLANK(Display!A15),,Display!A15)</f>
        <v>Jayden Cumberbatch</v>
      </c>
      <c r="B14" s="2" t="str">
        <f>IF($C14&gt;0,Display!I15,)</f>
        <v>D LC</v>
      </c>
      <c r="C14" s="2">
        <f>IF(ISBLANK(Display!C15),"",Display!C15)</f>
        <v>19</v>
      </c>
      <c r="D14" s="2">
        <f>IF(ISBLANK(Display!D15),"",Display!D15)</f>
        <v>98</v>
      </c>
      <c r="E14" s="2">
        <f>IF(ISBLANK(Display!E15),"",Display!E15)</f>
        <v>144</v>
      </c>
      <c r="F14" s="14">
        <f t="array" ref="F14">IF(ISBLANK(Display!J15),NULL,Display!J15)</f>
        <v>76.952299097550494</v>
      </c>
      <c r="G14" s="14">
        <f t="array" ref="G14">IF(ISBLANK(Display!K15),NULL,Display!K15)</f>
        <v>75.67177995239355</v>
      </c>
      <c r="H14" s="14">
        <f t="array" ref="H14">IF(ISBLANK(Display!L15),NULL,Display!L15)</f>
        <v>76.488529053115158</v>
      </c>
      <c r="I14" s="14">
        <f t="array" ref="I14">IF(ISBLANK(Display!M15),NULL,Display!M15)</f>
        <v>77.134341378307653</v>
      </c>
      <c r="J14" s="14">
        <f t="array" ref="J14">IF(ISBLANK(Display!N15),NULL,Display!N15)</f>
        <v>84.639702714347266</v>
      </c>
      <c r="K14" s="14">
        <f t="array" ref="K14">IF(ISBLANK(Display!O15),NULL,Display!O15)</f>
        <v>88.490599714421705</v>
      </c>
      <c r="L14" s="14">
        <f t="array" ref="L14">IF(ISBLANK(Display!P15),NULL,Display!P15)</f>
        <v>98.863324175824161</v>
      </c>
      <c r="M14" s="14">
        <f t="array" ref="M14">IF(ISBLANK(Display!Q15),NULL,Display!Q15)</f>
        <v>90.586045056320401</v>
      </c>
      <c r="N14" s="14">
        <f t="array" ref="N14">IF(ISBLANK(Display!R15),NULL,Display!R15)</f>
        <v>63.398560898560902</v>
      </c>
      <c r="O14" s="14">
        <f t="shared" si="0"/>
        <v>98.863324175824161</v>
      </c>
      <c r="P14" s="2" t="str">
        <f>IF(ISBLANK(Display!I15),"",Display!I15)</f>
        <v>D LC</v>
      </c>
    </row>
    <row r="15" spans="1:32" ht="15" customHeight="1" thickBot="1" x14ac:dyDescent="0.35">
      <c r="A15" t="str">
        <f>IF(ISBLANK(Display!A13),,Display!A13)</f>
        <v>George Johnston</v>
      </c>
      <c r="B15" s="2" t="str">
        <f>IF($C15&gt;0,Display!I13,)</f>
        <v>D C</v>
      </c>
      <c r="C15" s="2">
        <f>IF(ISBLANK(Display!C13),"",Display!C13)</f>
        <v>31</v>
      </c>
      <c r="D15" s="2">
        <f>IF(ISBLANK(Display!D13),"",Display!D13)</f>
        <v>99</v>
      </c>
      <c r="E15" s="2">
        <f>IF(ISBLANK(Display!E13),"",Display!E13)</f>
        <v>137</v>
      </c>
      <c r="F15" s="14">
        <f t="array" ref="F15">IF(ISBLANK(Display!J13),NULL,Display!J13)</f>
        <v>91.536312849162016</v>
      </c>
      <c r="G15" s="14">
        <f t="array" ref="G15">IF(ISBLANK(Display!K13),NULL,Display!K13)</f>
        <v>92.029151605983117</v>
      </c>
      <c r="H15" s="14">
        <f t="array" ref="H15">IF(ISBLANK(Display!L13),NULL,Display!L13)</f>
        <v>92.692340413464535</v>
      </c>
      <c r="I15" s="14">
        <f t="array" ref="I15">IF(ISBLANK(Display!M13),NULL,Display!M13)</f>
        <v>92.655487706374586</v>
      </c>
      <c r="J15" s="14">
        <f t="array" ref="J15">IF(ISBLANK(Display!N13),NULL,Display!N13)</f>
        <v>97.791765402843609</v>
      </c>
      <c r="K15" s="14">
        <f t="array" ref="K15">IF(ISBLANK(Display!O13),NULL,Display!O13)</f>
        <v>99.425719895287955</v>
      </c>
      <c r="L15" s="14">
        <f t="array" ref="L15">IF(ISBLANK(Display!P13),NULL,Display!P13)</f>
        <v>102.79876373626374</v>
      </c>
      <c r="M15" s="14">
        <f t="array" ref="M15">IF(ISBLANK(Display!Q13),NULL,Display!Q13)</f>
        <v>100.19931163954944</v>
      </c>
      <c r="N15" s="14">
        <f t="array" ref="N15">IF(ISBLANK(Display!R13),NULL,Display!R13)</f>
        <v>65.974464724464724</v>
      </c>
      <c r="O15" s="14">
        <f t="shared" si="0"/>
        <v>102.79876373626374</v>
      </c>
      <c r="P15" s="2" t="str">
        <f>IF(ISBLANK(Display!I13),"",Display!I13)</f>
        <v>D C</v>
      </c>
    </row>
    <row r="16" spans="1:32" x14ac:dyDescent="0.3">
      <c r="A16" t="str">
        <f>IF(ISBLANK(Display!A30),,Display!A30)</f>
        <v>Baillie Talmash</v>
      </c>
      <c r="B16" s="2" t="str">
        <f>IF($C16&gt;0,Display!I30,)</f>
        <v>D/WB/AM R</v>
      </c>
      <c r="C16" s="2">
        <f>IF(ISBLANK(Display!C30),"",Display!C30)</f>
        <v>18</v>
      </c>
      <c r="D16" s="2">
        <f>IF(ISBLANK(Display!D30),"",Display!D30)</f>
        <v>70</v>
      </c>
      <c r="E16" s="2">
        <f>IF(ISBLANK(Display!E30),"",Display!E30)</f>
        <v>77</v>
      </c>
      <c r="F16" s="14">
        <f t="array" ref="F16">IF(ISBLANK(Display!J30),NULL,Display!J30)</f>
        <v>73.650909611803456</v>
      </c>
      <c r="G16" s="14">
        <f t="array" ref="G16">IF(ISBLANK(Display!K30),NULL,Display!K30)</f>
        <v>78.497311116988456</v>
      </c>
      <c r="H16" s="14">
        <f t="array" ref="H16">IF(ISBLANK(Display!L30),NULL,Display!L30)</f>
        <v>80.146045430054158</v>
      </c>
      <c r="I16" s="14">
        <f t="array" ref="I16">IF(ISBLANK(Display!M30),NULL,Display!M30)</f>
        <v>82.655810797712519</v>
      </c>
      <c r="J16" s="14">
        <f t="array" ref="J16">IF(ISBLANK(Display!N30),NULL,Display!N30)</f>
        <v>79.610889702714346</v>
      </c>
      <c r="K16" s="14">
        <f t="array" ref="K16">IF(ISBLANK(Display!O30),NULL,Display!O30)</f>
        <v>80.485185625892427</v>
      </c>
      <c r="L16" s="14">
        <f t="array" ref="L16">IF(ISBLANK(Display!P30),NULL,Display!P30)</f>
        <v>78.746565934065927</v>
      </c>
      <c r="M16" s="14">
        <f t="array" ref="M16">IF(ISBLANK(Display!Q30),NULL,Display!Q30)</f>
        <v>84.310075093867326</v>
      </c>
      <c r="N16" s="14">
        <f t="array" ref="N16">IF(ISBLANK(Display!R30),NULL,Display!R30)</f>
        <v>55.970515970515969</v>
      </c>
      <c r="O16" s="14">
        <f t="shared" si="0"/>
        <v>84.310075093867326</v>
      </c>
      <c r="P16" s="2" t="str">
        <f>IF(ISBLANK(Display!I30),"",Display!I30)</f>
        <v>D/WB/AM R</v>
      </c>
      <c r="S16" s="34"/>
      <c r="T16" s="43" t="s">
        <v>457</v>
      </c>
      <c r="U16" s="44"/>
      <c r="V16" s="44"/>
      <c r="W16" s="45"/>
      <c r="Y16" s="34"/>
      <c r="Z16" s="43" t="s">
        <v>457</v>
      </c>
      <c r="AA16" s="44"/>
      <c r="AB16" s="44"/>
      <c r="AC16" s="45"/>
    </row>
    <row r="17" spans="1:35" x14ac:dyDescent="0.3">
      <c r="A17" t="str">
        <f>IF(ISBLANK(Display!A9),,Display!A9)</f>
        <v>Dominic Iorfa</v>
      </c>
      <c r="B17" s="2" t="str">
        <f>IF($C17&gt;0,Display!I9,)</f>
        <v>D RLC</v>
      </c>
      <c r="C17" s="2">
        <f>IF(ISBLANK(Display!C9),"",Display!C9)</f>
        <v>34</v>
      </c>
      <c r="D17" s="2">
        <f>IF(ISBLANK(Display!D9),"",Display!D9)</f>
        <v>121</v>
      </c>
      <c r="E17" s="2">
        <f>IF(ISBLANK(Display!E9),"",Display!E9)</f>
        <v>140</v>
      </c>
      <c r="F17" s="14">
        <f t="array" ref="F17">IF(ISBLANK(Display!J9),NULL,Display!J9)</f>
        <v>97.95831542758917</v>
      </c>
      <c r="G17" s="14">
        <f t="array" ref="G17">IF(ISBLANK(Display!K9),NULL,Display!K9)</f>
        <v>100.76508272355932</v>
      </c>
      <c r="H17" s="14">
        <f t="array" ref="H17">IF(ISBLANK(Display!L9),NULL,Display!L9)</f>
        <v>101.72007486600685</v>
      </c>
      <c r="I17" s="14">
        <f t="array" ref="I17">IF(ISBLANK(Display!M9),NULL,Display!M9)</f>
        <v>104.99063035120028</v>
      </c>
      <c r="J17" s="14">
        <f t="array" ref="J17">IF(ISBLANK(Display!N9),NULL,Display!N9)</f>
        <v>103.72711115898319</v>
      </c>
      <c r="K17" s="14">
        <f t="array" ref="K17">IF(ISBLANK(Display!O9),NULL,Display!O9)</f>
        <v>106.03908852927177</v>
      </c>
      <c r="L17" s="14">
        <f t="array" ref="L17">IF(ISBLANK(Display!P9),NULL,Display!P9)</f>
        <v>106.04052197802197</v>
      </c>
      <c r="M17" s="14">
        <f t="array" ref="M17">IF(ISBLANK(Display!Q9),NULL,Display!Q9)</f>
        <v>109.0453692115144</v>
      </c>
      <c r="N17" s="14">
        <f t="array" ref="N17">IF(ISBLANK(Display!R9),NULL,Display!R9)</f>
        <v>72.786504036504041</v>
      </c>
      <c r="O17" s="14">
        <f t="shared" si="0"/>
        <v>109.0453692115144</v>
      </c>
      <c r="P17" s="2" t="str">
        <f>IF(ISBLANK(Display!I9),"",Display!I9)</f>
        <v>D RLC</v>
      </c>
      <c r="S17" s="35"/>
      <c r="T17" s="32" t="s">
        <v>1</v>
      </c>
      <c r="U17" s="32" t="s">
        <v>2</v>
      </c>
      <c r="V17" s="32" t="s">
        <v>458</v>
      </c>
      <c r="W17" s="33" t="s">
        <v>459</v>
      </c>
      <c r="Y17" s="35"/>
      <c r="Z17" s="32" t="s">
        <v>1</v>
      </c>
      <c r="AA17" s="32" t="s">
        <v>2</v>
      </c>
      <c r="AB17" s="32" t="s">
        <v>458</v>
      </c>
      <c r="AC17" s="33" t="s">
        <v>459</v>
      </c>
    </row>
    <row r="18" spans="1:35" x14ac:dyDescent="0.3">
      <c r="A18" t="str">
        <f>IF(ISBLANK(Display!A8),,Display!A8)</f>
        <v>Daniel Willard</v>
      </c>
      <c r="B18" s="2" t="str">
        <f>IF($C18&gt;0,Display!I8,)</f>
        <v>AM L</v>
      </c>
      <c r="C18" s="2">
        <f>IF(ISBLANK(Display!C8),"",Display!C8)</f>
        <v>19</v>
      </c>
      <c r="D18" s="2">
        <f>IF(ISBLANK(Display!D8),"",Display!D8)</f>
        <v>120</v>
      </c>
      <c r="E18" s="2">
        <f>IF(ISBLANK(Display!E8),"",Display!E8)</f>
        <v>149</v>
      </c>
      <c r="F18" s="14">
        <f t="array" ref="F18">IF(ISBLANK(Display!J8),NULL,Display!J8)</f>
        <v>90.723821802034081</v>
      </c>
      <c r="G18" s="14">
        <f t="array" ref="G18">IF(ISBLANK(Display!K8),NULL,Display!K8)</f>
        <v>95.240824003056218</v>
      </c>
      <c r="H18" s="14">
        <f t="array" ref="H18">IF(ISBLANK(Display!L8),NULL,Display!L8)</f>
        <v>95.810339449281116</v>
      </c>
      <c r="I18" s="14">
        <f t="array" ref="I18">IF(ISBLANK(Display!M8),NULL,Display!M8)</f>
        <v>94.050757649187418</v>
      </c>
      <c r="J18" s="14">
        <f t="array" ref="J18">IF(ISBLANK(Display!N8),NULL,Display!N8)</f>
        <v>89.139783498492022</v>
      </c>
      <c r="K18" s="14">
        <f t="array" ref="K18">IF(ISBLANK(Display!O8),NULL,Display!O8)</f>
        <v>85.486524274155173</v>
      </c>
      <c r="L18" s="14">
        <f t="array" ref="L18">IF(ISBLANK(Display!P8),NULL,Display!P8)</f>
        <v>83.622939560439562</v>
      </c>
      <c r="M18" s="14">
        <f t="array" ref="M18">IF(ISBLANK(Display!Q8),NULL,Display!Q8)</f>
        <v>85.673341677096374</v>
      </c>
      <c r="N18" s="14">
        <f t="array" ref="N18">IF(ISBLANK(Display!R8),NULL,Display!R8)</f>
        <v>56.317567567567565</v>
      </c>
      <c r="O18" s="14">
        <f t="shared" si="0"/>
        <v>95.810339449281116</v>
      </c>
      <c r="P18" s="2" t="str">
        <f>IF(ISBLANK(Display!I8),"",Display!I8)</f>
        <v>AM L</v>
      </c>
      <c r="S18" s="29" t="s">
        <v>19</v>
      </c>
      <c r="T18" s="21" t="s">
        <v>91</v>
      </c>
      <c r="U18" s="2">
        <f t="shared" ref="U18:U28" si="2">IFERROR(VLOOKUP($T18,$A$2:$P$500,3,FALSE),"")</f>
        <v>20</v>
      </c>
      <c r="V18" s="2" t="str">
        <f t="shared" ref="V18:V28" si="3">IFERROR(VLOOKUP($T18,$A$2:$P$500,4,FALSE)&amp;" / "&amp;VLOOKUP($T18,$A$2:$P$500,5,FALSE),"")</f>
        <v>99 / 146</v>
      </c>
      <c r="W18" s="23">
        <f t="shared" ref="W18:W28" si="4">IFERROR(VLOOKUP(T18,$A$2:$P$500,14,FALSE),"")</f>
        <v>103.00105300105301</v>
      </c>
      <c r="Y18" s="29" t="s">
        <v>19</v>
      </c>
      <c r="Z18" s="21" t="s">
        <v>137</v>
      </c>
      <c r="AA18" s="2" t="str">
        <f t="shared" ref="AA18:AA28" si="5">IFERROR(VLOOKUP($Z18,$A$2:$P$500,3,FALSE),"")</f>
        <v/>
      </c>
      <c r="AB18" s="2" t="str">
        <f t="shared" ref="AB18:AB28" si="6">IFERROR(VLOOKUP($Z18,$A$2:$P$500,4,FALSE)&amp;" / "&amp;VLOOKUP($Z18,$A$2:$P$500,5,FALSE),"")</f>
        <v/>
      </c>
      <c r="AC18" s="23" t="str">
        <f t="shared" ref="AC18:AC28" si="7">IFERROR(VLOOKUP(Z18,$A$2:$P$500,14,FALSE),"")</f>
        <v/>
      </c>
    </row>
    <row r="19" spans="1:35" x14ac:dyDescent="0.3">
      <c r="A19" t="str">
        <f>IF(ISBLANK(Display!A39),,Display!A39)</f>
        <v>Henry Gregory</v>
      </c>
      <c r="B19" s="2" t="str">
        <f>IF($C19&gt;0,Display!I39,)</f>
        <v>M/AM L</v>
      </c>
      <c r="C19" s="2">
        <f>IF(ISBLANK(Display!C39),"",Display!C39)</f>
        <v>18</v>
      </c>
      <c r="D19" s="2">
        <f>IF(ISBLANK(Display!D39),"",Display!D39)</f>
        <v>77</v>
      </c>
      <c r="E19" s="2">
        <f>IF(ISBLANK(Display!E39),"",Display!E39)</f>
        <v>90</v>
      </c>
      <c r="F19" s="14">
        <f t="array" ref="F19">IF(ISBLANK(Display!J39),NULL,Display!J39)</f>
        <v>76.323019624695604</v>
      </c>
      <c r="G19" s="14">
        <f t="array" ref="G19">IF(ISBLANK(Display!K39),NULL,Display!K39)</f>
        <v>80.646801257750752</v>
      </c>
      <c r="H19" s="14">
        <f t="array" ref="H19">IF(ISBLANK(Display!L39),NULL,Display!L39)</f>
        <v>81.15716189773984</v>
      </c>
      <c r="I19" s="14">
        <f t="array" ref="I19">IF(ISBLANK(Display!M39),NULL,Display!M39)</f>
        <v>82.223191496235998</v>
      </c>
      <c r="J19" s="14">
        <f t="array" ref="J19">IF(ISBLANK(Display!N39),NULL,Display!N39)</f>
        <v>74.714697328737614</v>
      </c>
      <c r="K19" s="14">
        <f t="array" ref="K19">IF(ISBLANK(Display!O39),NULL,Display!O39)</f>
        <v>72.486464778676819</v>
      </c>
      <c r="L19" s="14">
        <f t="array" ref="L19">IF(ISBLANK(Display!P39),NULL,Display!P39)</f>
        <v>70.446428571428584</v>
      </c>
      <c r="M19" s="14">
        <f t="array" ref="M19">IF(ISBLANK(Display!Q39),NULL,Display!Q39)</f>
        <v>74.04349186483104</v>
      </c>
      <c r="N19" s="14">
        <f t="array" ref="N19">IF(ISBLANK(Display!R39),NULL,Display!R39)</f>
        <v>50.463759213759218</v>
      </c>
      <c r="O19" s="14">
        <f t="shared" si="0"/>
        <v>82.223191496235998</v>
      </c>
      <c r="P19" s="2" t="str">
        <f>IF(ISBLANK(Display!I39),"",Display!I39)</f>
        <v>M/AM L</v>
      </c>
      <c r="S19" s="30" t="s">
        <v>18</v>
      </c>
      <c r="T19" s="21" t="s">
        <v>88</v>
      </c>
      <c r="U19" s="2" t="str">
        <f t="shared" si="2"/>
        <v/>
      </c>
      <c r="V19" s="2" t="str">
        <f t="shared" si="3"/>
        <v/>
      </c>
      <c r="W19" s="23" t="str">
        <f t="shared" si="4"/>
        <v/>
      </c>
      <c r="Y19" s="30" t="s">
        <v>18</v>
      </c>
      <c r="Z19" s="21" t="s">
        <v>158</v>
      </c>
      <c r="AA19" s="2" t="str">
        <f t="shared" si="5"/>
        <v/>
      </c>
      <c r="AB19" s="2" t="str">
        <f t="shared" si="6"/>
        <v/>
      </c>
      <c r="AC19" s="23" t="str">
        <f t="shared" si="7"/>
        <v/>
      </c>
    </row>
    <row r="20" spans="1:35" x14ac:dyDescent="0.3">
      <c r="A20" t="str">
        <f>IF(ISBLANK(Display!A56),,Display!A56)</f>
        <v>Daniel Reynolds</v>
      </c>
      <c r="B20" s="2" t="str">
        <f>IF($C20&gt;0,Display!I56,)</f>
        <v>D/M C</v>
      </c>
      <c r="C20" s="2">
        <f>IF(ISBLANK(Display!C56),"",Display!C56)</f>
        <v>16</v>
      </c>
      <c r="D20" s="2">
        <f>IF(ISBLANK(Display!D56),"",Display!D56)</f>
        <v>50</v>
      </c>
      <c r="E20" s="2">
        <f>IF(ISBLANK(Display!E56),"",Display!E56)</f>
        <v>84</v>
      </c>
      <c r="F20" s="14">
        <f t="array" ref="F20">IF(ISBLANK(Display!J56),NULL,Display!J56)</f>
        <v>68.725683999427019</v>
      </c>
      <c r="G20" s="14">
        <f t="array" ref="G20">IF(ISBLANK(Display!K56),NULL,Display!K56)</f>
        <v>72.633489082841095</v>
      </c>
      <c r="H20" s="14">
        <f t="array" ref="H20">IF(ISBLANK(Display!L56),NULL,Display!L56)</f>
        <v>73.252842923177269</v>
      </c>
      <c r="I20" s="14">
        <f t="array" ref="I20">IF(ISBLANK(Display!M56),NULL,Display!M56)</f>
        <v>74.283868049497585</v>
      </c>
      <c r="J20" s="14">
        <f t="array" ref="J20">IF(ISBLANK(Display!N56),NULL,Display!N56)</f>
        <v>75.556737397673416</v>
      </c>
      <c r="K20" s="14">
        <f t="array" ref="K20">IF(ISBLANK(Display!O56),NULL,Display!O56)</f>
        <v>75.861940742503563</v>
      </c>
      <c r="L20" s="14">
        <f t="array" ref="L20">IF(ISBLANK(Display!P56),NULL,Display!P56)</f>
        <v>74.093406593406584</v>
      </c>
      <c r="M20" s="14">
        <f t="array" ref="M20">IF(ISBLANK(Display!Q56),NULL,Display!Q56)</f>
        <v>78.445869837296613</v>
      </c>
      <c r="N20" s="14">
        <f t="array" ref="N20">IF(ISBLANK(Display!R56),NULL,Display!R56)</f>
        <v>52.583801333801325</v>
      </c>
      <c r="O20" s="14">
        <f t="shared" si="0"/>
        <v>78.445869837296613</v>
      </c>
      <c r="P20" s="2" t="str">
        <f>IF(ISBLANK(Display!I56),"",Display!I56)</f>
        <v>D/M C</v>
      </c>
      <c r="S20" s="30" t="s">
        <v>17</v>
      </c>
      <c r="T20" s="21" t="s">
        <v>134</v>
      </c>
      <c r="U20" s="2" t="str">
        <f t="shared" si="2"/>
        <v/>
      </c>
      <c r="V20" s="2" t="str">
        <f t="shared" si="3"/>
        <v/>
      </c>
      <c r="W20" s="23" t="str">
        <f t="shared" si="4"/>
        <v/>
      </c>
      <c r="Y20" s="30" t="s">
        <v>17</v>
      </c>
      <c r="Z20" s="21" t="s">
        <v>146</v>
      </c>
      <c r="AA20" s="2">
        <f t="shared" si="5"/>
        <v>19</v>
      </c>
      <c r="AB20" s="2" t="str">
        <f t="shared" si="6"/>
        <v>98 / 144</v>
      </c>
      <c r="AC20" s="23">
        <f t="shared" si="7"/>
        <v>63.398560898560902</v>
      </c>
    </row>
    <row r="21" spans="1:35" x14ac:dyDescent="0.3">
      <c r="A21" t="str">
        <f>IF(ISBLANK(Display!A29),,Display!A29)</f>
        <v>Arron Bowman</v>
      </c>
      <c r="B21" s="2" t="str">
        <f>IF($C21&gt;0,Display!I29,)</f>
        <v>D L</v>
      </c>
      <c r="C21" s="2">
        <f>IF(ISBLANK(Display!C29),"",Display!C29)</f>
        <v>20</v>
      </c>
      <c r="D21" s="2">
        <f>IF(ISBLANK(Display!D29),"",Display!D29)</f>
        <v>58</v>
      </c>
      <c r="E21" s="2">
        <f>IF(ISBLANK(Display!E29),"",Display!E29)</f>
        <v>97</v>
      </c>
      <c r="F21" s="14">
        <f t="array" ref="F21">IF(ISBLANK(Display!J29),NULL,Display!J29)</f>
        <v>65.655636728262422</v>
      </c>
      <c r="G21" s="14">
        <f t="array" ref="G21">IF(ISBLANK(Display!K29),NULL,Display!K29)</f>
        <v>70.745393634840866</v>
      </c>
      <c r="H21" s="14">
        <f t="array" ref="H21">IF(ISBLANK(Display!L29),NULL,Display!L29)</f>
        <v>71.73482120069194</v>
      </c>
      <c r="I21" s="14">
        <f t="array" ref="I21">IF(ISBLANK(Display!M29),NULL,Display!M29)</f>
        <v>73.747697974217317</v>
      </c>
      <c r="J21" s="14">
        <f t="array" ref="J21">IF(ISBLANK(Display!N29),NULL,Display!N29)</f>
        <v>73.863905644118915</v>
      </c>
      <c r="K21" s="14">
        <f t="array" ref="K21">IF(ISBLANK(Display!O29),NULL,Display!O29)</f>
        <v>76.904152784388373</v>
      </c>
      <c r="L21" s="14">
        <f t="array" ref="L21">IF(ISBLANK(Display!P29),NULL,Display!P29)</f>
        <v>70.961538461538467</v>
      </c>
      <c r="M21" s="14">
        <f t="array" ref="M21">IF(ISBLANK(Display!Q29),NULL,Display!Q29)</f>
        <v>76.31789737171465</v>
      </c>
      <c r="N21" s="14">
        <f t="array" ref="N21">IF(ISBLANK(Display!R29),NULL,Display!R29)</f>
        <v>57.295542295542305</v>
      </c>
      <c r="O21" s="14">
        <f t="shared" si="0"/>
        <v>76.904152784388373</v>
      </c>
      <c r="P21" s="2" t="str">
        <f>IF(ISBLANK(Display!I29),"",Display!I29)</f>
        <v>D L</v>
      </c>
      <c r="S21" s="30" t="s">
        <v>17</v>
      </c>
      <c r="T21" s="21" t="s">
        <v>109</v>
      </c>
      <c r="U21" s="2" t="str">
        <f t="shared" si="2"/>
        <v/>
      </c>
      <c r="V21" s="2" t="str">
        <f t="shared" si="3"/>
        <v/>
      </c>
      <c r="W21" s="23" t="str">
        <f t="shared" si="4"/>
        <v/>
      </c>
      <c r="Y21" s="30" t="s">
        <v>17</v>
      </c>
      <c r="Z21" s="21" t="s">
        <v>153</v>
      </c>
      <c r="AA21" s="2" t="str">
        <f t="shared" si="5"/>
        <v/>
      </c>
      <c r="AB21" s="2" t="str">
        <f t="shared" si="6"/>
        <v/>
      </c>
      <c r="AC21" s="23" t="str">
        <f t="shared" si="7"/>
        <v/>
      </c>
    </row>
    <row r="22" spans="1:35" x14ac:dyDescent="0.3">
      <c r="A22" t="str">
        <f>IF(ISBLANK(Display!A26),,Display!A26)</f>
        <v>Tegan Budd</v>
      </c>
      <c r="B22" s="2" t="str">
        <f>IF($C22&gt;0,Display!I26,)</f>
        <v xml:space="preserve">GK </v>
      </c>
      <c r="C22" s="2">
        <f>IF(ISBLANK(Display!C26),"",Display!C26)</f>
        <v>17</v>
      </c>
      <c r="D22" s="2">
        <f>IF(ISBLANK(Display!D26),"",Display!D26)</f>
        <v>92</v>
      </c>
      <c r="E22" s="2">
        <f>IF(ISBLANK(Display!E26),"",Display!E26)</f>
        <v>154</v>
      </c>
      <c r="F22" s="14">
        <f t="array" ref="F22">IF(ISBLANK(Display!J26),NULL,Display!J26)</f>
        <v>80.853172897865619</v>
      </c>
      <c r="G22" s="14">
        <f t="array" ref="G22">IF(ISBLANK(Display!K26),NULL,Display!K26)</f>
        <v>82.48875958741074</v>
      </c>
      <c r="H22" s="14">
        <f t="array" ref="H22">IF(ISBLANK(Display!L26),NULL,Display!L26)</f>
        <v>82.674332870147182</v>
      </c>
      <c r="I22" s="14">
        <f t="array" ref="I22">IF(ISBLANK(Display!M26),NULL,Display!M26)</f>
        <v>82.567606862460025</v>
      </c>
      <c r="J22" s="14">
        <f t="array" ref="J22">IF(ISBLANK(Display!N26),NULL,Display!N26)</f>
        <v>86.375215424386056</v>
      </c>
      <c r="K22" s="14">
        <f t="array" ref="K22">IF(ISBLANK(Display!O26),NULL,Display!O26)</f>
        <v>88.676523084245602</v>
      </c>
      <c r="L22" s="14">
        <f t="array" ref="L22">IF(ISBLANK(Display!P26),NULL,Display!P26)</f>
        <v>88.44780219780219</v>
      </c>
      <c r="M22" s="14">
        <f t="array" ref="M22">IF(ISBLANK(Display!Q26),NULL,Display!Q26)</f>
        <v>87.306633291614517</v>
      </c>
      <c r="N22" s="14">
        <f t="array" ref="N22">IF(ISBLANK(Display!R26),NULL,Display!R26)</f>
        <v>108.71446121446124</v>
      </c>
      <c r="O22" s="14">
        <f t="shared" si="0"/>
        <v>108.71446121446124</v>
      </c>
      <c r="P22" s="2" t="str">
        <f>IF(ISBLANK(Display!I26),"",Display!I26)</f>
        <v xml:space="preserve">GK </v>
      </c>
      <c r="S22" s="30" t="s">
        <v>16</v>
      </c>
      <c r="T22" s="21" t="s">
        <v>132</v>
      </c>
      <c r="U22" s="2" t="str">
        <f t="shared" si="2"/>
        <v/>
      </c>
      <c r="V22" s="2" t="str">
        <f t="shared" si="3"/>
        <v/>
      </c>
      <c r="W22" s="23" t="str">
        <f t="shared" si="4"/>
        <v/>
      </c>
      <c r="Y22" s="30" t="s">
        <v>16</v>
      </c>
      <c r="Z22" s="21" t="s">
        <v>117</v>
      </c>
      <c r="AA22" s="2" t="str">
        <f t="shared" si="5"/>
        <v/>
      </c>
      <c r="AB22" s="2" t="str">
        <f t="shared" si="6"/>
        <v/>
      </c>
      <c r="AC22" s="23" t="str">
        <f t="shared" si="7"/>
        <v/>
      </c>
    </row>
    <row r="23" spans="1:35" x14ac:dyDescent="0.3">
      <c r="A23" t="str">
        <f>IF(ISBLANK(Display!A19),,Display!A19)</f>
        <v>Luis Gardner</v>
      </c>
      <c r="B23" s="2" t="str">
        <f>IF($C23&gt;0,Display!I19,)</f>
        <v>DM/M C</v>
      </c>
      <c r="C23" s="2">
        <f>IF(ISBLANK(Display!C19),"",Display!C19)</f>
        <v>21</v>
      </c>
      <c r="D23" s="2">
        <f>IF(ISBLANK(Display!D19),"",Display!D19)</f>
        <v>113</v>
      </c>
      <c r="E23" s="2">
        <f>IF(ISBLANK(Display!E19),"",Display!E19)</f>
        <v>125</v>
      </c>
      <c r="F23" s="14">
        <f t="array" ref="F23">IF(ISBLANK(Display!J19),NULL,Display!J19)</f>
        <v>95.354676980375302</v>
      </c>
      <c r="G23" s="14">
        <f t="array" ref="G23">IF(ISBLANK(Display!K19),NULL,Display!K19)</f>
        <v>96.933644832348875</v>
      </c>
      <c r="H23" s="14">
        <f t="array" ref="H23">IF(ISBLANK(Display!L19),NULL,Display!L19)</f>
        <v>99.507415704846437</v>
      </c>
      <c r="I23" s="14">
        <f t="array" ref="I23">IF(ISBLANK(Display!M19),NULL,Display!M19)</f>
        <v>94.543795030855222</v>
      </c>
      <c r="J23" s="14">
        <f t="array" ref="J23">IF(ISBLANK(Display!N19),NULL,Display!N19)</f>
        <v>100.60843925032313</v>
      </c>
      <c r="K23" s="14">
        <f t="array" ref="K23">IF(ISBLANK(Display!O19),NULL,Display!O19)</f>
        <v>97.939522846263685</v>
      </c>
      <c r="L23" s="14">
        <f t="array" ref="L23">IF(ISBLANK(Display!P19),NULL,Display!P19)</f>
        <v>98.159340659340657</v>
      </c>
      <c r="M23" s="14">
        <f t="array" ref="M23">IF(ISBLANK(Display!Q19),NULL,Display!Q19)</f>
        <v>95.777221526908647</v>
      </c>
      <c r="N23" s="14">
        <f t="array" ref="N23">IF(ISBLANK(Display!R19),NULL,Display!R19)</f>
        <v>65.573008073008069</v>
      </c>
      <c r="O23" s="14">
        <f t="shared" si="0"/>
        <v>100.60843925032313</v>
      </c>
      <c r="P23" s="2" t="str">
        <f>IF(ISBLANK(Display!I19),"",Display!I19)</f>
        <v>DM/M C</v>
      </c>
      <c r="S23" s="30" t="s">
        <v>450</v>
      </c>
      <c r="T23" s="21" t="s">
        <v>96</v>
      </c>
      <c r="U23" s="2">
        <f t="shared" si="2"/>
        <v>19</v>
      </c>
      <c r="V23" s="2" t="str">
        <f t="shared" si="3"/>
        <v>119 / 135</v>
      </c>
      <c r="W23" s="23">
        <f t="shared" si="4"/>
        <v>70.935415935415932</v>
      </c>
      <c r="Y23" s="30" t="s">
        <v>450</v>
      </c>
      <c r="Z23" s="21" t="s">
        <v>170</v>
      </c>
      <c r="AA23" s="2" t="str">
        <f t="shared" si="5"/>
        <v/>
      </c>
      <c r="AB23" s="2" t="str">
        <f t="shared" si="6"/>
        <v/>
      </c>
      <c r="AC23" s="23" t="str">
        <f t="shared" si="7"/>
        <v/>
      </c>
    </row>
    <row r="24" spans="1:35" x14ac:dyDescent="0.3">
      <c r="A24" t="str">
        <f>IF(ISBLANK(Display!A57),,Display!A57)</f>
        <v>Glen Gregory</v>
      </c>
      <c r="B24" s="2" t="str">
        <f>IF($C24&gt;0,Display!I57,)</f>
        <v xml:space="preserve">ST </v>
      </c>
      <c r="C24" s="2">
        <f>IF(ISBLANK(Display!C57),"",Display!C57)</f>
        <v>17</v>
      </c>
      <c r="D24" s="2">
        <f>IF(ISBLANK(Display!D57),"",Display!D57)</f>
        <v>48</v>
      </c>
      <c r="E24" s="2">
        <f>IF(ISBLANK(Display!E57),"",Display!E57)</f>
        <v>86</v>
      </c>
      <c r="F24" s="14">
        <f t="array" ref="F24">IF(ISBLANK(Display!J57),NULL,Display!J57)</f>
        <v>71.650909611803471</v>
      </c>
      <c r="G24" s="14">
        <f t="array" ref="G24">IF(ISBLANK(Display!K57),NULL,Display!K57)</f>
        <v>65.581268917687851</v>
      </c>
      <c r="H24" s="14">
        <f t="array" ref="H24">IF(ISBLANK(Display!L57),NULL,Display!L57)</f>
        <v>65.468196126251314</v>
      </c>
      <c r="I24" s="14">
        <f t="array" ref="I24">IF(ISBLANK(Display!M57),NULL,Display!M57)</f>
        <v>63.010403541081068</v>
      </c>
      <c r="J24" s="14">
        <f t="array" ref="J24">IF(ISBLANK(Display!N57),NULL,Display!N57)</f>
        <v>60.56077660491168</v>
      </c>
      <c r="K24" s="14">
        <f t="array" ref="K24">IF(ISBLANK(Display!O57),NULL,Display!O57)</f>
        <v>58.904242027605903</v>
      </c>
      <c r="L24" s="14">
        <f t="array" ref="L24">IF(ISBLANK(Display!P57),NULL,Display!P57)</f>
        <v>69.821428571428584</v>
      </c>
      <c r="M24" s="14">
        <f t="array" ref="M24">IF(ISBLANK(Display!Q57),NULL,Display!Q57)</f>
        <v>57.204317897371709</v>
      </c>
      <c r="N24" s="14">
        <f t="array" ref="N24">IF(ISBLANK(Display!R57),NULL,Display!R57)</f>
        <v>47.303439803439808</v>
      </c>
      <c r="O24" s="14">
        <f t="shared" si="0"/>
        <v>71.650909611803471</v>
      </c>
      <c r="P24" s="2" t="str">
        <f>IF(ISBLANK(Display!I57),"",Display!I57)</f>
        <v xml:space="preserve">ST </v>
      </c>
      <c r="S24" s="30" t="s">
        <v>451</v>
      </c>
      <c r="T24" s="21" t="s">
        <v>125</v>
      </c>
      <c r="U24" s="2" t="str">
        <f t="shared" si="2"/>
        <v/>
      </c>
      <c r="V24" s="2" t="str">
        <f t="shared" si="3"/>
        <v/>
      </c>
      <c r="W24" s="23" t="str">
        <f t="shared" si="4"/>
        <v/>
      </c>
      <c r="Y24" s="30" t="s">
        <v>451</v>
      </c>
      <c r="Z24" s="21" t="s">
        <v>167</v>
      </c>
      <c r="AA24" s="2" t="str">
        <f t="shared" si="5"/>
        <v/>
      </c>
      <c r="AB24" s="2" t="str">
        <f t="shared" si="6"/>
        <v/>
      </c>
      <c r="AC24" s="23" t="str">
        <f t="shared" si="7"/>
        <v/>
      </c>
    </row>
    <row r="25" spans="1:35" x14ac:dyDescent="0.3">
      <c r="A25" t="str">
        <f>IF(ISBLANK(Display!A38),,Display!A38)</f>
        <v>Erdal Peker</v>
      </c>
      <c r="B25" s="2" t="str">
        <f>IF($C25&gt;0,Display!I38,)</f>
        <v>M/AM R</v>
      </c>
      <c r="C25" s="2">
        <f>IF(ISBLANK(Display!C38),"",Display!C38)</f>
        <v>19</v>
      </c>
      <c r="D25" s="2">
        <f>IF(ISBLANK(Display!D38),"",Display!D38)</f>
        <v>76</v>
      </c>
      <c r="E25" s="2">
        <f>IF(ISBLANK(Display!E38),"",Display!E38)</f>
        <v>98</v>
      </c>
      <c r="F25" s="14">
        <f t="array" ref="F25">IF(ISBLANK(Display!J38),NULL,Display!J38)</f>
        <v>70.613522417991689</v>
      </c>
      <c r="G25" s="14">
        <f t="array" ref="G25">IF(ISBLANK(Display!K38),NULL,Display!K38)</f>
        <v>75.913779423432956</v>
      </c>
      <c r="H25" s="14">
        <f t="array" ref="H25">IF(ISBLANK(Display!L38),NULL,Display!L38)</f>
        <v>76.569350310523774</v>
      </c>
      <c r="I25" s="14">
        <f t="array" ref="I25">IF(ISBLANK(Display!M38),NULL,Display!M38)</f>
        <v>76.177667926722876</v>
      </c>
      <c r="J25" s="14">
        <f t="array" ref="J25">IF(ISBLANK(Display!N38),NULL,Display!N38)</f>
        <v>69.092390133563114</v>
      </c>
      <c r="K25" s="14">
        <f t="array" ref="K25">IF(ISBLANK(Display!O38),NULL,Display!O38)</f>
        <v>65.957728462636837</v>
      </c>
      <c r="L25" s="14">
        <f t="array" ref="L25">IF(ISBLANK(Display!P38),NULL,Display!P38)</f>
        <v>62.204670329670328</v>
      </c>
      <c r="M25" s="14">
        <f t="array" ref="M25">IF(ISBLANK(Display!Q38),NULL,Display!Q38)</f>
        <v>65.949311639549435</v>
      </c>
      <c r="N25" s="14">
        <f t="array" ref="N25">IF(ISBLANK(Display!R38),NULL,Display!R38)</f>
        <v>46.165321165321167</v>
      </c>
      <c r="O25" s="14">
        <f t="shared" si="0"/>
        <v>76.569350310523774</v>
      </c>
      <c r="P25" s="2" t="str">
        <f>IF(ISBLANK(Display!I38),"",Display!I38)</f>
        <v>M/AM R</v>
      </c>
      <c r="S25" s="30" t="s">
        <v>14</v>
      </c>
      <c r="T25" s="21" t="s">
        <v>85</v>
      </c>
      <c r="U25" s="2" t="str">
        <f t="shared" si="2"/>
        <v/>
      </c>
      <c r="V25" s="2" t="str">
        <f t="shared" si="3"/>
        <v/>
      </c>
      <c r="W25" s="23" t="str">
        <f t="shared" si="4"/>
        <v/>
      </c>
      <c r="Y25" s="30" t="s">
        <v>14</v>
      </c>
      <c r="Z25" s="21" t="s">
        <v>142</v>
      </c>
      <c r="AA25" s="2">
        <f t="shared" si="5"/>
        <v>19</v>
      </c>
      <c r="AB25" s="2" t="str">
        <f t="shared" si="6"/>
        <v>123 / 165</v>
      </c>
      <c r="AC25" s="23">
        <f t="shared" si="7"/>
        <v>66.317567567567565</v>
      </c>
    </row>
    <row r="26" spans="1:35" x14ac:dyDescent="0.3">
      <c r="A26" t="str">
        <f>IF(ISBLANK(Display!A21),,Display!A21)</f>
        <v>Mateusz Widz</v>
      </c>
      <c r="B26" s="2" t="str">
        <f>IF($C26&gt;0,Display!I21,)</f>
        <v>AM/ST R</v>
      </c>
      <c r="C26" s="2">
        <f>IF(ISBLANK(Display!C21),"",Display!C21)</f>
        <v>19</v>
      </c>
      <c r="D26" s="2">
        <f>IF(ISBLANK(Display!D21),"",Display!D21)</f>
        <v>123</v>
      </c>
      <c r="E26" s="2">
        <f>IF(ISBLANK(Display!E21),"",Display!E21)</f>
        <v>165</v>
      </c>
      <c r="F26" s="14">
        <f t="array" ref="F26">IF(ISBLANK(Display!J21),NULL,Display!J21)</f>
        <v>108.0630282194528</v>
      </c>
      <c r="G26" s="14">
        <f t="array" ref="G26">IF(ISBLANK(Display!K21),NULL,Display!K21)</f>
        <v>109.56919098416058</v>
      </c>
      <c r="H26" s="14">
        <f t="array" ref="H26">IF(ISBLANK(Display!L21),NULL,Display!L21)</f>
        <v>109.68011797067747</v>
      </c>
      <c r="I26" s="14">
        <f t="array" ref="I26">IF(ISBLANK(Display!M21),NULL,Display!M21)</f>
        <v>111.17653710704016</v>
      </c>
      <c r="J26" s="14">
        <f t="array" ref="J26">IF(ISBLANK(Display!N21),NULL,Display!N21)</f>
        <v>104.17519388194745</v>
      </c>
      <c r="K26" s="14">
        <f t="array" ref="K26">IF(ISBLANK(Display!O21),NULL,Display!O21)</f>
        <v>101.8196692051404</v>
      </c>
      <c r="L26" s="14">
        <f t="array" ref="L26">IF(ISBLANK(Display!P21),NULL,Display!P21)</f>
        <v>99.206730769230774</v>
      </c>
      <c r="M26" s="14">
        <f t="array" ref="M26">IF(ISBLANK(Display!Q21),NULL,Display!Q21)</f>
        <v>102.91927409261578</v>
      </c>
      <c r="N26" s="14">
        <f t="array" ref="N26">IF(ISBLANK(Display!R21),NULL,Display!R21)</f>
        <v>66.317567567567565</v>
      </c>
      <c r="O26" s="14">
        <f t="shared" si="0"/>
        <v>111.17653710704016</v>
      </c>
      <c r="P26" s="2" t="str">
        <f>IF(ISBLANK(Display!I21),"",Display!I21)</f>
        <v>AM/ST R</v>
      </c>
      <c r="S26" s="30" t="s">
        <v>13</v>
      </c>
      <c r="T26" s="21" t="s">
        <v>80</v>
      </c>
      <c r="U26" s="2" t="str">
        <f t="shared" si="2"/>
        <v/>
      </c>
      <c r="V26" s="2" t="str">
        <f t="shared" si="3"/>
        <v/>
      </c>
      <c r="W26" s="23" t="str">
        <f t="shared" si="4"/>
        <v/>
      </c>
      <c r="Y26" s="30" t="s">
        <v>13</v>
      </c>
      <c r="Z26" s="21" t="s">
        <v>104</v>
      </c>
      <c r="AA26" s="2" t="str">
        <f t="shared" si="5"/>
        <v/>
      </c>
      <c r="AB26" s="2" t="str">
        <f t="shared" si="6"/>
        <v/>
      </c>
      <c r="AC26" s="23" t="str">
        <f t="shared" si="7"/>
        <v/>
      </c>
    </row>
    <row r="27" spans="1:35" x14ac:dyDescent="0.3">
      <c r="A27" t="str">
        <f>IF(ISBLANK(Display!A36),,Display!A36)</f>
        <v>Eddie Sampson</v>
      </c>
      <c r="B27" s="2" t="str">
        <f>IF($C27&gt;0,Display!I36,)</f>
        <v>D C</v>
      </c>
      <c r="C27" s="2">
        <f>IF(ISBLANK(Display!C36),"",Display!C36)</f>
        <v>17</v>
      </c>
      <c r="D27" s="2">
        <f>IF(ISBLANK(Display!D36),"",Display!D36)</f>
        <v>71</v>
      </c>
      <c r="E27" s="2">
        <f>IF(ISBLANK(Display!E36),"",Display!E36)</f>
        <v>129</v>
      </c>
      <c r="F27" s="14">
        <f t="array" ref="F27">IF(ISBLANK(Display!J36),NULL,Display!J36)</f>
        <v>72.131070047271166</v>
      </c>
      <c r="G27" s="14">
        <f t="array" ref="G27">IF(ISBLANK(Display!K36),NULL,Display!K36)</f>
        <v>74.879955332216639</v>
      </c>
      <c r="H27" s="14">
        <f t="array" ref="H27">IF(ISBLANK(Display!L36),NULL,Display!L36)</f>
        <v>75.101664634319263</v>
      </c>
      <c r="I27" s="14">
        <f t="array" ref="I27">IF(ISBLANK(Display!M36),NULL,Display!M36)</f>
        <v>77.188459177409442</v>
      </c>
      <c r="J27" s="14">
        <f t="array" ref="J27">IF(ISBLANK(Display!N36),NULL,Display!N36)</f>
        <v>78.520169108143051</v>
      </c>
      <c r="K27" s="14">
        <f t="array" ref="K27">IF(ISBLANK(Display!O36),NULL,Display!O36)</f>
        <v>81.50954902427415</v>
      </c>
      <c r="L27" s="14">
        <f t="array" ref="L27">IF(ISBLANK(Display!P36),NULL,Display!P36)</f>
        <v>85.460164835164832</v>
      </c>
      <c r="M27" s="14">
        <f t="array" ref="M27">IF(ISBLANK(Display!Q36),NULL,Display!Q36)</f>
        <v>83.982478097622035</v>
      </c>
      <c r="N27" s="14">
        <f t="array" ref="N27">IF(ISBLANK(Display!R36),NULL,Display!R36)</f>
        <v>61.742277992277991</v>
      </c>
      <c r="O27" s="14">
        <f t="shared" si="0"/>
        <v>85.460164835164832</v>
      </c>
      <c r="P27" s="2" t="str">
        <f>IF(ISBLANK(Display!I36),"",Display!I36)</f>
        <v>D C</v>
      </c>
      <c r="S27" s="30" t="s">
        <v>12</v>
      </c>
      <c r="T27" s="21" t="s">
        <v>69</v>
      </c>
      <c r="U27" s="2">
        <f t="shared" si="2"/>
        <v>20</v>
      </c>
      <c r="V27" s="2" t="str">
        <f t="shared" si="3"/>
        <v>93 / 163</v>
      </c>
      <c r="W27" s="23">
        <f t="shared" si="4"/>
        <v>50.140400140400139</v>
      </c>
      <c r="Y27" s="30" t="s">
        <v>12</v>
      </c>
      <c r="Z27" s="21" t="s">
        <v>129</v>
      </c>
      <c r="AA27" s="2" t="str">
        <f t="shared" si="5"/>
        <v/>
      </c>
      <c r="AB27" s="2" t="str">
        <f t="shared" si="6"/>
        <v/>
      </c>
      <c r="AC27" s="23" t="str">
        <f t="shared" si="7"/>
        <v/>
      </c>
    </row>
    <row r="28" spans="1:35" ht="15" customHeight="1" thickBot="1" x14ac:dyDescent="0.35">
      <c r="A28" t="str">
        <f>IF(ISBLANK(Display!A48),,Display!A48)</f>
        <v>Nathan Vaughan</v>
      </c>
      <c r="B28" s="2" t="str">
        <f>IF($C28&gt;0,Display!I48,)</f>
        <v>M/AM R</v>
      </c>
      <c r="C28" s="2">
        <f>IF(ISBLANK(Display!C48),"",Display!C48)</f>
        <v>18</v>
      </c>
      <c r="D28" s="2">
        <f>IF(ISBLANK(Display!D48),"",Display!D48)</f>
        <v>73</v>
      </c>
      <c r="E28" s="2">
        <f>IF(ISBLANK(Display!E48),"",Display!E48)</f>
        <v>97</v>
      </c>
      <c r="F28" s="14">
        <f t="array" ref="F28">IF(ISBLANK(Display!J48),NULL,Display!J48)</f>
        <v>74.213579716373005</v>
      </c>
      <c r="G28" s="14">
        <f t="array" ref="G28">IF(ISBLANK(Display!K48),NULL,Display!K48)</f>
        <v>80.255517352846098</v>
      </c>
      <c r="H28" s="14">
        <f t="array" ref="H28">IF(ISBLANK(Display!L48),NULL,Display!L48)</f>
        <v>81.092221308453617</v>
      </c>
      <c r="I28" s="14">
        <f t="array" ref="I28">IF(ISBLANK(Display!M48),NULL,Display!M48)</f>
        <v>82.051791541468774</v>
      </c>
      <c r="J28" s="14">
        <f t="array" ref="J28">IF(ISBLANK(Display!N48),NULL,Display!N48)</f>
        <v>75.40997953468333</v>
      </c>
      <c r="K28" s="14">
        <f t="array" ref="K28">IF(ISBLANK(Display!O48),NULL,Display!O48)</f>
        <v>75.691486197049031</v>
      </c>
      <c r="L28" s="14">
        <f t="array" ref="L28">IF(ISBLANK(Display!P48),NULL,Display!P48)</f>
        <v>74.574175824175825</v>
      </c>
      <c r="M28" s="14">
        <f t="array" ref="M28">IF(ISBLANK(Display!Q48),NULL,Display!Q48)</f>
        <v>75.837609511889866</v>
      </c>
      <c r="N28" s="14">
        <f t="array" ref="N28">IF(ISBLANK(Display!R48),NULL,Display!R48)</f>
        <v>49.67269217269218</v>
      </c>
      <c r="O28" s="14">
        <f t="shared" si="0"/>
        <v>82.051791541468774</v>
      </c>
      <c r="P28" s="2" t="str">
        <f>IF(ISBLANK(Display!I48),"",Display!I48)</f>
        <v>M/AM R</v>
      </c>
      <c r="S28" s="31" t="s">
        <v>453</v>
      </c>
      <c r="T28" s="26" t="s">
        <v>75</v>
      </c>
      <c r="U28" s="27" t="str">
        <f t="shared" si="2"/>
        <v/>
      </c>
      <c r="V28" s="27" t="str">
        <f t="shared" si="3"/>
        <v/>
      </c>
      <c r="W28" s="28" t="str">
        <f t="shared" si="4"/>
        <v/>
      </c>
      <c r="Y28" s="31" t="s">
        <v>453</v>
      </c>
      <c r="Z28" s="26" t="s">
        <v>100</v>
      </c>
      <c r="AA28" s="27">
        <f t="shared" si="5"/>
        <v>19</v>
      </c>
      <c r="AB28" s="27" t="str">
        <f t="shared" si="6"/>
        <v>120 / 149</v>
      </c>
      <c r="AC28" s="28">
        <f t="shared" si="7"/>
        <v>56.317567567567565</v>
      </c>
    </row>
    <row r="29" spans="1:35" ht="15" customHeight="1" thickBot="1" x14ac:dyDescent="0.35">
      <c r="A29" t="str">
        <f>IF(ISBLANK(Display!A23),,Display!A23)</f>
        <v>Miracle Adewole</v>
      </c>
      <c r="B29" s="2" t="str">
        <f>IF($C29&gt;0,Display!I23,)</f>
        <v>D/AM R</v>
      </c>
      <c r="C29" s="2">
        <f>IF(ISBLANK(Display!C23),"",Display!C23)</f>
        <v>22</v>
      </c>
      <c r="D29" s="2">
        <f>IF(ISBLANK(Display!D23),"",Display!D23)</f>
        <v>97</v>
      </c>
      <c r="E29" s="2">
        <f>IF(ISBLANK(Display!E23),"",Display!E23)</f>
        <v>107</v>
      </c>
      <c r="F29" s="14">
        <f t="array" ref="F29">IF(ISBLANK(Display!J23),NULL,Display!J23)</f>
        <v>77.196246956023487</v>
      </c>
      <c r="G29" s="14">
        <f t="array" ref="G29">IF(ISBLANK(Display!K23),NULL,Display!K23)</f>
        <v>83.809691733521404</v>
      </c>
      <c r="H29" s="14">
        <f t="array" ref="H29">IF(ISBLANK(Display!L23),NULL,Display!L23)</f>
        <v>84.541587499645516</v>
      </c>
      <c r="I29" s="14">
        <f t="array" ref="I29">IF(ISBLANK(Display!M23),NULL,Display!M23)</f>
        <v>84.810830021647121</v>
      </c>
      <c r="J29" s="14">
        <f t="array" ref="J29">IF(ISBLANK(Display!N23),NULL,Display!N23)</f>
        <v>79.39021434726412</v>
      </c>
      <c r="K29" s="14">
        <f t="array" ref="K29">IF(ISBLANK(Display!O23),NULL,Display!O23)</f>
        <v>78.24532960495003</v>
      </c>
      <c r="L29" s="14">
        <f t="array" ref="L29">IF(ISBLANK(Display!P23),NULL,Display!P23)</f>
        <v>74.165521978021985</v>
      </c>
      <c r="M29" s="14">
        <f t="array" ref="M29">IF(ISBLANK(Display!Q23),NULL,Display!Q23)</f>
        <v>78.360450563203997</v>
      </c>
      <c r="N29" s="14">
        <f t="array" ref="N29">IF(ISBLANK(Display!R23),NULL,Display!R23)</f>
        <v>50.074148824148821</v>
      </c>
      <c r="O29" s="14">
        <f t="shared" si="0"/>
        <v>84.810830021647121</v>
      </c>
      <c r="P29" s="2" t="str">
        <f>IF(ISBLANK(Display!I23),"",Display!I23)</f>
        <v>D/AM R</v>
      </c>
    </row>
    <row r="30" spans="1:35" x14ac:dyDescent="0.3">
      <c r="A30" t="str">
        <f>IF(ISBLANK(Display!A25),,Display!A25)</f>
        <v>Scot Little</v>
      </c>
      <c r="B30" s="2" t="str">
        <f>IF($C30&gt;0,Display!I25,)</f>
        <v>AM/ST L</v>
      </c>
      <c r="C30" s="2">
        <f>IF(ISBLANK(Display!C25),"",Display!C25)</f>
        <v>20</v>
      </c>
      <c r="D30" s="2">
        <f>IF(ISBLANK(Display!D25),"",Display!D25)</f>
        <v>93</v>
      </c>
      <c r="E30" s="2">
        <f>IF(ISBLANK(Display!E25),"",Display!E25)</f>
        <v>163</v>
      </c>
      <c r="F30" s="14">
        <f t="array" ref="F30">IF(ISBLANK(Display!J25),NULL,Display!J25)</f>
        <v>86.618822518263855</v>
      </c>
      <c r="G30" s="14">
        <f t="array" ref="G30">IF(ISBLANK(Display!K25),NULL,Display!K25)</f>
        <v>92.892679773134688</v>
      </c>
      <c r="H30" s="14">
        <f t="array" ref="H30">IF(ISBLANK(Display!L25),NULL,Display!L25)</f>
        <v>93.553583075745124</v>
      </c>
      <c r="I30" s="14">
        <f t="array" ref="I30">IF(ISBLANK(Display!M25),NULL,Display!M25)</f>
        <v>93.722658395528413</v>
      </c>
      <c r="J30" s="14">
        <f t="array" ref="J30">IF(ISBLANK(Display!N25),NULL,Display!N25)</f>
        <v>84.403543731150364</v>
      </c>
      <c r="K30" s="14">
        <f t="array" ref="K30">IF(ISBLANK(Display!O25),NULL,Display!O25)</f>
        <v>80.51790813898144</v>
      </c>
      <c r="L30" s="14">
        <f t="array" ref="L30">IF(ISBLANK(Display!P25),NULL,Display!P25)</f>
        <v>73.16277472527473</v>
      </c>
      <c r="M30" s="14">
        <f t="array" ref="M30">IF(ISBLANK(Display!Q25),NULL,Display!Q25)</f>
        <v>81.437734668335423</v>
      </c>
      <c r="N30" s="14">
        <f t="array" ref="N30">IF(ISBLANK(Display!R25),NULL,Display!R25)</f>
        <v>50.140400140400139</v>
      </c>
      <c r="O30" s="14">
        <f t="shared" si="0"/>
        <v>93.722658395528413</v>
      </c>
      <c r="P30" s="2" t="str">
        <f>IF(ISBLANK(Display!I25),"",Display!I25)</f>
        <v>AM/ST L</v>
      </c>
      <c r="S30" s="34"/>
      <c r="T30" s="46" t="s">
        <v>460</v>
      </c>
      <c r="U30" s="44"/>
      <c r="V30" s="44"/>
      <c r="W30" s="45"/>
      <c r="Y30" s="34"/>
      <c r="Z30" s="43" t="s">
        <v>461</v>
      </c>
      <c r="AA30" s="44"/>
      <c r="AB30" s="44"/>
      <c r="AC30" s="45"/>
      <c r="AE30" s="34"/>
      <c r="AF30" s="43" t="s">
        <v>462</v>
      </c>
      <c r="AG30" s="44"/>
      <c r="AH30" s="44"/>
      <c r="AI30" s="45"/>
    </row>
    <row r="31" spans="1:35" ht="15" customHeight="1" thickBot="1" x14ac:dyDescent="0.35">
      <c r="A31" t="str">
        <f>IF(ISBLANK(Display!A42),,Display!A42)</f>
        <v>Jayden Nunes-Wickham</v>
      </c>
      <c r="B31" s="2" t="str">
        <f>IF($C31&gt;0,Display!I42,)</f>
        <v xml:space="preserve">ST </v>
      </c>
      <c r="C31" s="2">
        <f>IF(ISBLANK(Display!C42),"",Display!C42)</f>
        <v>20</v>
      </c>
      <c r="D31" s="2">
        <f>IF(ISBLANK(Display!D42),"",Display!D42)</f>
        <v>72</v>
      </c>
      <c r="E31" s="2">
        <f>IF(ISBLANK(Display!E42),"",Display!E42)</f>
        <v>102</v>
      </c>
      <c r="F31" s="14">
        <f t="array" ref="F31">IF(ISBLANK(Display!J42),NULL,Display!J42)</f>
        <v>78.997421572840565</v>
      </c>
      <c r="G31" s="14">
        <f t="array" ref="G31">IF(ISBLANK(Display!K42),NULL,Display!K42)</f>
        <v>79.224484998089864</v>
      </c>
      <c r="H31" s="14">
        <f t="array" ref="H31">IF(ISBLANK(Display!L42),NULL,Display!L42)</f>
        <v>77.4629214757678</v>
      </c>
      <c r="I31" s="14">
        <f t="array" ref="I31">IF(ISBLANK(Display!M42),NULL,Display!M42)</f>
        <v>77.23692287809763</v>
      </c>
      <c r="J31" s="14">
        <f t="array" ref="J31">IF(ISBLANK(Display!N42),NULL,Display!N42)</f>
        <v>67.737640025850936</v>
      </c>
      <c r="K31" s="14">
        <f t="array" ref="K31">IF(ISBLANK(Display!O42),NULL,Display!O42)</f>
        <v>65.507050214183721</v>
      </c>
      <c r="L31" s="14">
        <f t="array" ref="L31">IF(ISBLANK(Display!P42),NULL,Display!P42)</f>
        <v>66.699862637362642</v>
      </c>
      <c r="M31" s="14">
        <f t="array" ref="M31">IF(ISBLANK(Display!Q42),NULL,Display!Q42)</f>
        <v>63.521589486858581</v>
      </c>
      <c r="N31" s="14">
        <f t="array" ref="N31">IF(ISBLANK(Display!R42),NULL,Display!R42)</f>
        <v>47.291593541593535</v>
      </c>
      <c r="O31" s="14">
        <f t="shared" si="0"/>
        <v>79.224484998089864</v>
      </c>
      <c r="P31" s="2" t="str">
        <f>IF(ISBLANK(Display!I42),"",Display!I42)</f>
        <v xml:space="preserve">ST </v>
      </c>
      <c r="S31" s="35"/>
      <c r="T31" s="32" t="s">
        <v>1</v>
      </c>
      <c r="U31" s="32" t="s">
        <v>2</v>
      </c>
      <c r="V31" s="32" t="s">
        <v>458</v>
      </c>
      <c r="W31" s="33" t="s">
        <v>459</v>
      </c>
      <c r="Y31" s="35"/>
      <c r="Z31" s="20" t="s">
        <v>1</v>
      </c>
      <c r="AA31" s="32" t="s">
        <v>2</v>
      </c>
      <c r="AB31" s="32" t="s">
        <v>458</v>
      </c>
      <c r="AC31" s="33" t="s">
        <v>459</v>
      </c>
      <c r="AE31" s="35"/>
      <c r="AF31" s="32" t="s">
        <v>1</v>
      </c>
      <c r="AG31" s="32" t="s">
        <v>2</v>
      </c>
      <c r="AH31" s="32" t="s">
        <v>458</v>
      </c>
      <c r="AI31" s="33" t="s">
        <v>459</v>
      </c>
    </row>
    <row r="32" spans="1:35" ht="15" customHeight="1" thickBot="1" x14ac:dyDescent="0.35">
      <c r="A32" t="str">
        <f>IF(ISBLANK(Display!A53),,Display!A53)</f>
        <v>Anthony Michael</v>
      </c>
      <c r="B32" s="2" t="str">
        <f>IF($C32&gt;0,Display!I53,)</f>
        <v xml:space="preserve">GK </v>
      </c>
      <c r="C32" s="2">
        <f>IF(ISBLANK(Display!C53),"",Display!C53)</f>
        <v>16</v>
      </c>
      <c r="D32" s="2">
        <f>IF(ISBLANK(Display!D53),"",Display!D53)</f>
        <v>26</v>
      </c>
      <c r="E32" s="2">
        <f>IF(ISBLANK(Display!E53),"",Display!E53)</f>
        <v>67</v>
      </c>
      <c r="F32" s="14">
        <f t="array" ref="F32">IF(ISBLANK(Display!J53),NULL,Display!J53)</f>
        <v>53.174760063028224</v>
      </c>
      <c r="G32" s="14">
        <f t="array" ref="G32">IF(ISBLANK(Display!K53),NULL,Display!K53)</f>
        <v>51.047782773516701</v>
      </c>
      <c r="H32" s="14">
        <f t="array" ref="H32">IF(ISBLANK(Display!L53),NULL,Display!L53)</f>
        <v>50.699316564104024</v>
      </c>
      <c r="I32" s="14">
        <f t="array" ref="I32">IF(ISBLANK(Display!M53),NULL,Display!M53)</f>
        <v>53.037704759135408</v>
      </c>
      <c r="J32" s="14">
        <f t="array" ref="J32">IF(ISBLANK(Display!N53),NULL,Display!N53)</f>
        <v>54.522834984920294</v>
      </c>
      <c r="K32" s="14">
        <f t="array" ref="K32">IF(ISBLANK(Display!O53),NULL,Display!O53)</f>
        <v>56.864588291289863</v>
      </c>
      <c r="L32" s="14">
        <f t="array" ref="L32">IF(ISBLANK(Display!P53),NULL,Display!P53)</f>
        <v>58.166208791208796</v>
      </c>
      <c r="M32" s="14">
        <f t="array" ref="M32">IF(ISBLANK(Display!Q53),NULL,Display!Q53)</f>
        <v>57.112015018773469</v>
      </c>
      <c r="N32" s="14">
        <f t="array" ref="N32">IF(ISBLANK(Display!R53),NULL,Display!R53)</f>
        <v>78.457353457353463</v>
      </c>
      <c r="O32" s="14">
        <f t="shared" si="0"/>
        <v>78.457353457353463</v>
      </c>
      <c r="P32" s="2" t="str">
        <f>IF(ISBLANK(Display!I53),"",Display!I53)</f>
        <v xml:space="preserve">GK </v>
      </c>
      <c r="S32" s="29" t="s">
        <v>19</v>
      </c>
      <c r="T32" s="21" t="str">
        <f>T18</f>
        <v>Ashley Sarahs</v>
      </c>
      <c r="U32" s="2">
        <f t="shared" ref="U32:U42" si="8">IFERROR(VLOOKUP($T32,$A$2:$P$500,3,FALSE),"")</f>
        <v>20</v>
      </c>
      <c r="V32" s="2" t="str">
        <f t="shared" ref="V32:V42" si="9">IFERROR(VLOOKUP($T32,$A$2:$P$500,4,FALSE)&amp;" / "&amp;VLOOKUP($T32,$A$2:$P$500,5,FALSE),"")</f>
        <v>99 / 146</v>
      </c>
      <c r="W32" s="23">
        <f t="shared" ref="W32:W42" si="10">IFERROR(VLOOKUP(T32,$A$2:$P$500,14,FALSE),"")</f>
        <v>103.00105300105301</v>
      </c>
      <c r="Y32" s="22" t="s">
        <v>19</v>
      </c>
      <c r="Z32" s="36" t="str">
        <f>$Z18</f>
        <v>Michael Shaw</v>
      </c>
      <c r="AA32" s="2" t="str">
        <f t="shared" ref="AA32:AA42" si="11">IFERROR(VLOOKUP($Z32,$A$2:$P$500,3,FALSE),"")</f>
        <v/>
      </c>
      <c r="AB32" s="2" t="str">
        <f t="shared" ref="AB32:AB42" si="12">IFERROR(VLOOKUP($Z32,$A$2:$P$500,4,FALSE)&amp;" / "&amp;VLOOKUP($Z32,$A$2:$P$500,5,FALSE),"")</f>
        <v/>
      </c>
      <c r="AC32" s="23" t="str">
        <f t="shared" ref="AC32:AC42" si="13">IFERROR(VLOOKUP(Z32,$A$2:$P$500,14,FALSE),"")</f>
        <v/>
      </c>
      <c r="AE32" s="29" t="s">
        <v>19</v>
      </c>
      <c r="AF32" s="21" t="str">
        <f>$T18</f>
        <v>Ashley Sarahs</v>
      </c>
      <c r="AG32" s="2">
        <f t="shared" ref="AG32:AG42" si="14">IFERROR(VLOOKUP($AF32,$A$2:$P$500,3,FALSE),"")</f>
        <v>20</v>
      </c>
      <c r="AH32" s="2" t="str">
        <f t="shared" ref="AH32:AH42" si="15">IFERROR(VLOOKUP($AF32,$A$2:$P$500,4,FALSE)&amp;" / "&amp;VLOOKUP($AF32,$A$2:$P$500,5,FALSE),"")</f>
        <v>99 / 146</v>
      </c>
      <c r="AI32" s="23">
        <f t="shared" ref="AI32:AI42" si="16">IFERROR(VLOOKUP($AF32,$A$2:$P$500,14,FALSE),"")</f>
        <v>103.00105300105301</v>
      </c>
    </row>
    <row r="33" spans="1:35" ht="15" customHeight="1" thickBot="1" x14ac:dyDescent="0.35">
      <c r="A33" t="str">
        <f>IF(ISBLANK(Display!A35),,Display!A35)</f>
        <v>Conor Prior</v>
      </c>
      <c r="B33" s="2" t="str">
        <f>IF($C33&gt;0,Display!I35,)</f>
        <v>AM/ST RC</v>
      </c>
      <c r="C33" s="2">
        <f>IF(ISBLANK(Display!C35),"",Display!C35)</f>
        <v>19</v>
      </c>
      <c r="D33" s="2">
        <f>IF(ISBLANK(Display!D35),"",Display!D35)</f>
        <v>44</v>
      </c>
      <c r="E33" s="2">
        <f>IF(ISBLANK(Display!E35),"",Display!E35)</f>
        <v>110</v>
      </c>
      <c r="F33" s="14">
        <f t="array" ref="F33">IF(ISBLANK(Display!J35),NULL,Display!J35)</f>
        <v>63.864632574129779</v>
      </c>
      <c r="G33" s="14">
        <f t="array" ref="G33">IF(ISBLANK(Display!K35),NULL,Display!K35)</f>
        <v>67.464074759763719</v>
      </c>
      <c r="H33" s="14">
        <f t="array" ref="H33">IF(ISBLANK(Display!L35),NULL,Display!L35)</f>
        <v>66.509514221705473</v>
      </c>
      <c r="I33" s="14">
        <f t="array" ref="I33">IF(ISBLANK(Display!M35),NULL,Display!M35)</f>
        <v>70.099350586410779</v>
      </c>
      <c r="J33" s="14">
        <f t="array" ref="J33">IF(ISBLANK(Display!N35),NULL,Display!N35)</f>
        <v>61.379389271865577</v>
      </c>
      <c r="K33" s="14">
        <f t="array" ref="K33">IF(ISBLANK(Display!O35),NULL,Display!O35)</f>
        <v>60.739082579723949</v>
      </c>
      <c r="L33" s="14">
        <f t="array" ref="L33">IF(ISBLANK(Display!P35),NULL,Display!P35)</f>
        <v>56.892170329670328</v>
      </c>
      <c r="M33" s="14">
        <f t="array" ref="M33">IF(ISBLANK(Display!Q35),NULL,Display!Q35)</f>
        <v>62.561013767209005</v>
      </c>
      <c r="N33" s="14">
        <f t="array" ref="N33">IF(ISBLANK(Display!R35),NULL,Display!R35)</f>
        <v>42.057739557739559</v>
      </c>
      <c r="O33" s="14">
        <f t="shared" si="0"/>
        <v>70.099350586410779</v>
      </c>
      <c r="P33" s="2" t="str">
        <f>IF(ISBLANK(Display!I35),"",Display!I35)</f>
        <v>AM/ST RC</v>
      </c>
      <c r="S33" s="24" t="s">
        <v>18</v>
      </c>
      <c r="T33" s="36" t="str">
        <f>Z19</f>
        <v>Joseph James</v>
      </c>
      <c r="U33" s="2" t="str">
        <f t="shared" si="8"/>
        <v/>
      </c>
      <c r="V33" s="2" t="str">
        <f t="shared" si="9"/>
        <v/>
      </c>
      <c r="W33" s="23" t="str">
        <f t="shared" si="10"/>
        <v/>
      </c>
      <c r="Y33" s="30" t="s">
        <v>18</v>
      </c>
      <c r="Z33" s="21" t="str">
        <f>$T19</f>
        <v>Hisashi Roddy</v>
      </c>
      <c r="AA33" s="2" t="str">
        <f t="shared" si="11"/>
        <v/>
      </c>
      <c r="AB33" s="2" t="str">
        <f t="shared" si="12"/>
        <v/>
      </c>
      <c r="AC33" s="23" t="str">
        <f t="shared" si="13"/>
        <v/>
      </c>
      <c r="AE33" s="30" t="s">
        <v>18</v>
      </c>
      <c r="AF33" s="21" t="str">
        <f>$T19</f>
        <v>Hisashi Roddy</v>
      </c>
      <c r="AG33" s="2" t="str">
        <f t="shared" si="14"/>
        <v/>
      </c>
      <c r="AH33" s="2" t="str">
        <f t="shared" si="15"/>
        <v/>
      </c>
      <c r="AI33" s="23" t="str">
        <f t="shared" si="16"/>
        <v/>
      </c>
    </row>
    <row r="34" spans="1:35" x14ac:dyDescent="0.3">
      <c r="A34" t="str">
        <f>IF(ISBLANK(Display!A44),,Display!A44)</f>
        <v>José Carlos</v>
      </c>
      <c r="B34" s="2" t="str">
        <f>IF($C34&gt;0,Display!I44,)</f>
        <v>D RL</v>
      </c>
      <c r="C34" s="2">
        <f>IF(ISBLANK(Display!C44),"",Display!C44)</f>
        <v>20</v>
      </c>
      <c r="D34" s="2">
        <f>IF(ISBLANK(Display!D44),"",Display!D44)</f>
        <v>84</v>
      </c>
      <c r="E34" s="2">
        <f>IF(ISBLANK(Display!E44),"",Display!E44)</f>
        <v>99</v>
      </c>
      <c r="F34" s="14">
        <f t="array" ref="F34">IF(ISBLANK(Display!J44),NULL,Display!J44)</f>
        <v>82.698037530439763</v>
      </c>
      <c r="G34" s="14">
        <f t="array" ref="G34">IF(ISBLANK(Display!K44),NULL,Display!K44)</f>
        <v>90.218049310881895</v>
      </c>
      <c r="H34" s="14">
        <f t="array" ref="H34">IF(ISBLANK(Display!L44),NULL,Display!L44)</f>
        <v>91.376371834500745</v>
      </c>
      <c r="I34" s="14">
        <f t="array" ref="I34">IF(ISBLANK(Display!M44),NULL,Display!M44)</f>
        <v>91.107718652062943</v>
      </c>
      <c r="J34" s="14">
        <f t="array" ref="J34">IF(ISBLANK(Display!N44),NULL,Display!N44)</f>
        <v>90.360431925894019</v>
      </c>
      <c r="K34" s="14">
        <f t="array" ref="K34">IF(ISBLANK(Display!O44),NULL,Display!O44)</f>
        <v>89.430182056163716</v>
      </c>
      <c r="L34" s="14">
        <f t="array" ref="L34">IF(ISBLANK(Display!P44),NULL,Display!P44)</f>
        <v>85.099587912087912</v>
      </c>
      <c r="M34" s="14">
        <f t="array" ref="M34">IF(ISBLANK(Display!Q44),NULL,Display!Q44)</f>
        <v>92.26408010012517</v>
      </c>
      <c r="N34" s="14">
        <f t="array" ref="N34">IF(ISBLANK(Display!R44),NULL,Display!R44)</f>
        <v>65.841962091962088</v>
      </c>
      <c r="O34" s="14">
        <f t="shared" ref="O34:O65" si="17">IF(ISBLANK(A34),"",MAX($F34:$N34))</f>
        <v>92.26408010012517</v>
      </c>
      <c r="P34" s="2" t="str">
        <f>IF(ISBLANK(Display!I44),"",Display!I44)</f>
        <v>D RL</v>
      </c>
      <c r="S34" s="30" t="s">
        <v>17</v>
      </c>
      <c r="T34" s="21" t="str">
        <f>T20</f>
        <v>Asa Hall</v>
      </c>
      <c r="U34" s="2" t="str">
        <f t="shared" si="8"/>
        <v/>
      </c>
      <c r="V34" s="2" t="str">
        <f t="shared" si="9"/>
        <v/>
      </c>
      <c r="W34" s="23" t="str">
        <f t="shared" si="10"/>
        <v/>
      </c>
      <c r="Y34" s="24" t="s">
        <v>17</v>
      </c>
      <c r="Z34" s="37" t="str">
        <f>$Z20</f>
        <v>Jayden Cumberbatch</v>
      </c>
      <c r="AA34" s="2">
        <f t="shared" si="11"/>
        <v>19</v>
      </c>
      <c r="AB34" s="2" t="str">
        <f t="shared" si="12"/>
        <v>98 / 144</v>
      </c>
      <c r="AC34" s="23">
        <f t="shared" si="13"/>
        <v>63.398560898560902</v>
      </c>
      <c r="AE34" s="30" t="s">
        <v>17</v>
      </c>
      <c r="AF34" s="21" t="str">
        <f>$T20</f>
        <v>Asa Hall</v>
      </c>
      <c r="AG34" s="2" t="str">
        <f t="shared" si="14"/>
        <v/>
      </c>
      <c r="AH34" s="2" t="str">
        <f t="shared" si="15"/>
        <v/>
      </c>
      <c r="AI34" s="23" t="str">
        <f t="shared" si="16"/>
        <v/>
      </c>
    </row>
    <row r="35" spans="1:35" ht="15" customHeight="1" thickBot="1" x14ac:dyDescent="0.35">
      <c r="A35" t="str">
        <f>IF(ISBLANK(Display!A31),,Display!A31)</f>
        <v>Blade Earley</v>
      </c>
      <c r="B35" s="2" t="str">
        <f>IF($C35&gt;0,Display!I31,)</f>
        <v xml:space="preserve">GK </v>
      </c>
      <c r="C35" s="2">
        <f>IF(ISBLANK(Display!C31),"",Display!C31)</f>
        <v>21</v>
      </c>
      <c r="D35" s="2">
        <f>IF(ISBLANK(Display!D31),"",Display!D31)</f>
        <v>38</v>
      </c>
      <c r="E35" s="2">
        <f>IF(ISBLANK(Display!E31),"",Display!E31)</f>
        <v>96</v>
      </c>
      <c r="F35" s="14">
        <f t="array" ref="F35">IF(ISBLANK(Display!J31),NULL,Display!J31)</f>
        <v>51.701188941412404</v>
      </c>
      <c r="G35" s="14">
        <f t="array" ref="G35">IF(ISBLANK(Display!K31),NULL,Display!K31)</f>
        <v>49.649857474507044</v>
      </c>
      <c r="H35" s="14">
        <f t="array" ref="H35">IF(ISBLANK(Display!L31),NULL,Display!L31)</f>
        <v>50.41984516348581</v>
      </c>
      <c r="I35" s="14">
        <f t="array" ref="I35">IF(ISBLANK(Display!M31),NULL,Display!M31)</f>
        <v>51.640334722626093</v>
      </c>
      <c r="J35" s="14">
        <f t="array" ref="J35">IF(ISBLANK(Display!N31),NULL,Display!N31)</f>
        <v>52.490575183110728</v>
      </c>
      <c r="K35" s="14">
        <f t="array" ref="K35">IF(ISBLANK(Display!O31),NULL,Display!O31)</f>
        <v>54.432710613993329</v>
      </c>
      <c r="L35" s="14">
        <f t="array" ref="L35">IF(ISBLANK(Display!P31),NULL,Display!P31)</f>
        <v>56.806318681318686</v>
      </c>
      <c r="M35" s="14">
        <f t="array" ref="M35">IF(ISBLANK(Display!Q31),NULL,Display!Q31)</f>
        <v>55.263767209011263</v>
      </c>
      <c r="N35" s="14">
        <f t="array" ref="N35">IF(ISBLANK(Display!R31),NULL,Display!R31)</f>
        <v>76.177167427167433</v>
      </c>
      <c r="O35" s="14">
        <f t="shared" si="17"/>
        <v>76.177167427167433</v>
      </c>
      <c r="P35" s="2" t="str">
        <f>IF(ISBLANK(Display!I31),"",Display!I31)</f>
        <v xml:space="preserve">GK </v>
      </c>
      <c r="S35" s="30" t="s">
        <v>17</v>
      </c>
      <c r="T35" s="21" t="str">
        <f>T21</f>
        <v>Jada Mawongo</v>
      </c>
      <c r="U35" s="2" t="str">
        <f t="shared" si="8"/>
        <v/>
      </c>
      <c r="V35" s="2" t="str">
        <f t="shared" si="9"/>
        <v/>
      </c>
      <c r="W35" s="23" t="str">
        <f t="shared" si="10"/>
        <v/>
      </c>
      <c r="Y35" s="24" t="s">
        <v>17</v>
      </c>
      <c r="Z35" s="38" t="str">
        <f>$Z21</f>
        <v>Maxwell Redman</v>
      </c>
      <c r="AA35" s="2" t="str">
        <f t="shared" si="11"/>
        <v/>
      </c>
      <c r="AB35" s="2" t="str">
        <f t="shared" si="12"/>
        <v/>
      </c>
      <c r="AC35" s="23" t="str">
        <f t="shared" si="13"/>
        <v/>
      </c>
      <c r="AE35" s="30" t="s">
        <v>17</v>
      </c>
      <c r="AF35" s="21" t="str">
        <f>$T21</f>
        <v>Jada Mawongo</v>
      </c>
      <c r="AG35" s="2" t="str">
        <f t="shared" si="14"/>
        <v/>
      </c>
      <c r="AH35" s="2" t="str">
        <f t="shared" si="15"/>
        <v/>
      </c>
      <c r="AI35" s="23" t="str">
        <f t="shared" si="16"/>
        <v/>
      </c>
    </row>
    <row r="36" spans="1:35" ht="15" customHeight="1" thickBot="1" x14ac:dyDescent="0.35">
      <c r="A36" t="str">
        <f>IF(ISBLANK(Display!A3),,Display!A3)</f>
        <v>Andrii Khrystenko</v>
      </c>
      <c r="B36" s="2" t="str">
        <f>IF($C36&gt;0,Display!I3,)</f>
        <v>D C</v>
      </c>
      <c r="C36" s="2">
        <f>IF(ISBLANK(Display!C3),"",Display!C3)</f>
        <v>20</v>
      </c>
      <c r="D36" s="2">
        <f>IF(ISBLANK(Display!D3),"",Display!D3)</f>
        <v>73</v>
      </c>
      <c r="E36" s="2">
        <f>IF(ISBLANK(Display!E3),"",Display!E3)</f>
        <v>109</v>
      </c>
      <c r="F36" s="14">
        <f t="array" ref="F36">IF(ISBLANK(Display!J3),NULL,Display!J3)</f>
        <v>71.867354247242503</v>
      </c>
      <c r="G36" s="14">
        <f t="array" ref="G36">IF(ISBLANK(Display!K3),NULL,Display!K3)</f>
        <v>73.333480266831231</v>
      </c>
      <c r="H36" s="14">
        <f t="array" ref="H36">IF(ISBLANK(Display!L3),NULL,Display!L3)</f>
        <v>73.753651135751355</v>
      </c>
      <c r="I36" s="14">
        <f t="array" ref="I36">IF(ISBLANK(Display!M3),NULL,Display!M3)</f>
        <v>75.245387871151181</v>
      </c>
      <c r="J36" s="14">
        <f t="array" ref="J36">IF(ISBLANK(Display!N3),NULL,Display!N3)</f>
        <v>78.406532744506677</v>
      </c>
      <c r="K36" s="14">
        <f t="array" ref="K36">IF(ISBLANK(Display!O3),NULL,Display!O3)</f>
        <v>80.819996430271303</v>
      </c>
      <c r="L36" s="14">
        <f t="array" ref="L36">IF(ISBLANK(Display!P3),NULL,Display!P3)</f>
        <v>83.066620879120876</v>
      </c>
      <c r="M36" s="14">
        <f t="array" ref="M36">IF(ISBLANK(Display!Q3),NULL,Display!Q3)</f>
        <v>82.033479349186479</v>
      </c>
      <c r="N36" s="14">
        <f t="array" ref="N36">IF(ISBLANK(Display!R3),NULL,Display!R3)</f>
        <v>54.583187083187084</v>
      </c>
      <c r="O36" s="14">
        <f t="shared" si="17"/>
        <v>83.066620879120876</v>
      </c>
      <c r="P36" s="2" t="str">
        <f>IF(ISBLANK(Display!I3),"",Display!I3)</f>
        <v>D C</v>
      </c>
      <c r="S36" s="24" t="s">
        <v>16</v>
      </c>
      <c r="T36" s="36" t="str">
        <f>Z22</f>
        <v>Taye Weir</v>
      </c>
      <c r="U36" s="2" t="str">
        <f t="shared" si="8"/>
        <v/>
      </c>
      <c r="V36" s="2" t="str">
        <f t="shared" si="9"/>
        <v/>
      </c>
      <c r="W36" s="23" t="str">
        <f t="shared" si="10"/>
        <v/>
      </c>
      <c r="Y36" s="30" t="s">
        <v>16</v>
      </c>
      <c r="Z36" s="21" t="str">
        <f t="shared" ref="Z36:Z41" si="18">$T22</f>
        <v>Ryan Penny</v>
      </c>
      <c r="AA36" s="2" t="str">
        <f t="shared" si="11"/>
        <v/>
      </c>
      <c r="AB36" s="2" t="str">
        <f t="shared" si="12"/>
        <v/>
      </c>
      <c r="AC36" s="23" t="str">
        <f t="shared" si="13"/>
        <v/>
      </c>
      <c r="AE36" s="30" t="s">
        <v>16</v>
      </c>
      <c r="AF36" s="21" t="str">
        <f>$T22</f>
        <v>Ryan Penny</v>
      </c>
      <c r="AG36" s="2" t="str">
        <f t="shared" si="14"/>
        <v/>
      </c>
      <c r="AH36" s="2" t="str">
        <f t="shared" si="15"/>
        <v/>
      </c>
      <c r="AI36" s="23" t="str">
        <f t="shared" si="16"/>
        <v/>
      </c>
    </row>
    <row r="37" spans="1:35" x14ac:dyDescent="0.3">
      <c r="A37" t="str">
        <f>IF(ISBLANK(Display!A40),,Display!A40)</f>
        <v>Ian Webster</v>
      </c>
      <c r="B37" s="2" t="str">
        <f>IF($C37&gt;0,Display!I40,)</f>
        <v>M/AM R</v>
      </c>
      <c r="C37" s="2">
        <f>IF(ISBLANK(Display!C40),"",Display!C40)</f>
        <v>17</v>
      </c>
      <c r="D37" s="2">
        <f>IF(ISBLANK(Display!D40),"",Display!D40)</f>
        <v>53</v>
      </c>
      <c r="E37" s="2">
        <f>IF(ISBLANK(Display!E40),"",Display!E40)</f>
        <v>90</v>
      </c>
      <c r="F37" s="14">
        <f t="array" ref="F37">IF(ISBLANK(Display!J40),NULL,Display!J40)</f>
        <v>66.645466265577994</v>
      </c>
      <c r="G37" s="14">
        <f t="array" ref="G37">IF(ISBLANK(Display!K40),NULL,Display!K40)</f>
        <v>72.940727026947613</v>
      </c>
      <c r="H37" s="14">
        <f t="array" ref="H37">IF(ISBLANK(Display!L40),NULL,Display!L40)</f>
        <v>73.355925474293173</v>
      </c>
      <c r="I37" s="14">
        <f t="array" ref="I37">IF(ISBLANK(Display!M40),NULL,Display!M40)</f>
        <v>75.373332040967981</v>
      </c>
      <c r="J37" s="14">
        <f t="array" ref="J37">IF(ISBLANK(Display!N40),NULL,Display!N40)</f>
        <v>66.685157259801812</v>
      </c>
      <c r="K37" s="14">
        <f t="array" ref="K37">IF(ISBLANK(Display!O40),NULL,Display!O40)</f>
        <v>65.745478343645885</v>
      </c>
      <c r="L37" s="14">
        <f t="array" ref="L37">IF(ISBLANK(Display!P40),NULL,Display!P40)</f>
        <v>59.144917582417584</v>
      </c>
      <c r="M37" s="14">
        <f t="array" ref="M37">IF(ISBLANK(Display!Q40),NULL,Display!Q40)</f>
        <v>66.607321652065082</v>
      </c>
      <c r="N37" s="14">
        <f t="array" ref="N37">IF(ISBLANK(Display!R40),NULL,Display!R40)</f>
        <v>44.711740961740958</v>
      </c>
      <c r="O37" s="14">
        <f t="shared" si="17"/>
        <v>75.373332040967981</v>
      </c>
      <c r="P37" s="2" t="str">
        <f>IF(ISBLANK(Display!I40),"",Display!I40)</f>
        <v>M/AM R</v>
      </c>
      <c r="S37" s="30" t="s">
        <v>450</v>
      </c>
      <c r="T37" s="21" t="str">
        <f>T23</f>
        <v>Aydin Webb</v>
      </c>
      <c r="U37" s="2">
        <f t="shared" si="8"/>
        <v>19</v>
      </c>
      <c r="V37" s="2" t="str">
        <f t="shared" si="9"/>
        <v>119 / 135</v>
      </c>
      <c r="W37" s="23">
        <f t="shared" si="10"/>
        <v>70.935415935415932</v>
      </c>
      <c r="Y37" s="30" t="s">
        <v>450</v>
      </c>
      <c r="Z37" s="21" t="str">
        <f t="shared" si="18"/>
        <v>Aydin Webb</v>
      </c>
      <c r="AA37" s="2">
        <f t="shared" si="11"/>
        <v>19</v>
      </c>
      <c r="AB37" s="2" t="str">
        <f t="shared" si="12"/>
        <v>119 / 135</v>
      </c>
      <c r="AC37" s="23">
        <f t="shared" si="13"/>
        <v>70.935415935415932</v>
      </c>
      <c r="AE37" s="24" t="s">
        <v>450</v>
      </c>
      <c r="AF37" s="37" t="str">
        <f>$Z23</f>
        <v>Connor Underhill</v>
      </c>
      <c r="AG37" s="2" t="str">
        <f t="shared" si="14"/>
        <v/>
      </c>
      <c r="AH37" s="2" t="str">
        <f t="shared" si="15"/>
        <v/>
      </c>
      <c r="AI37" s="23" t="str">
        <f t="shared" si="16"/>
        <v/>
      </c>
    </row>
    <row r="38" spans="1:35" ht="15" customHeight="1" thickBot="1" x14ac:dyDescent="0.35">
      <c r="A38" t="str">
        <f>IF(ISBLANK(Display!A11),,Display!A11)</f>
        <v>Ernie Weaver</v>
      </c>
      <c r="B38" s="2" t="str">
        <f>IF($C38&gt;0,Display!I11,)</f>
        <v>D C</v>
      </c>
      <c r="C38" s="2">
        <f>IF(ISBLANK(Display!C11),"",Display!C11)</f>
        <v>23</v>
      </c>
      <c r="D38" s="2">
        <f>IF(ISBLANK(Display!D11),"",Display!D11)</f>
        <v>111</v>
      </c>
      <c r="E38" s="2">
        <f>IF(ISBLANK(Display!E11),"",Display!E11)</f>
        <v>131</v>
      </c>
      <c r="F38" s="14">
        <f t="array" ref="F38">IF(ISBLANK(Display!J11),NULL,Display!J11)</f>
        <v>92.36284199971351</v>
      </c>
      <c r="G38" s="14">
        <f t="array" ref="G38">IF(ISBLANK(Display!K11),NULL,Display!K11)</f>
        <v>93.010520438449561</v>
      </c>
      <c r="H38" s="14">
        <f t="array" ref="H38">IF(ISBLANK(Display!L11),NULL,Display!L11)</f>
        <v>94.304511811246925</v>
      </c>
      <c r="I38" s="14">
        <f t="array" ref="I38">IF(ISBLANK(Display!M11),NULL,Display!M11)</f>
        <v>93.184872863558539</v>
      </c>
      <c r="J38" s="14">
        <f t="array" ref="J38">IF(ISBLANK(Display!N11),NULL,Display!N11)</f>
        <v>98.705972641102989</v>
      </c>
      <c r="K38" s="14">
        <f t="array" ref="K38">IF(ISBLANK(Display!O11),NULL,Display!O11)</f>
        <v>101.03655997144216</v>
      </c>
      <c r="L38" s="14">
        <f t="array" ref="L38">IF(ISBLANK(Display!P11),NULL,Display!P11)</f>
        <v>104.41277472527473</v>
      </c>
      <c r="M38" s="14">
        <f t="array" ref="M38">IF(ISBLANK(Display!Q11),NULL,Display!Q11)</f>
        <v>100.37453066332915</v>
      </c>
      <c r="N38" s="14">
        <f t="array" ref="N38">IF(ISBLANK(Display!R11),NULL,Display!R11)</f>
        <v>67.895752895752892</v>
      </c>
      <c r="O38" s="14">
        <f t="shared" si="17"/>
        <v>104.41277472527473</v>
      </c>
      <c r="P38" s="2" t="str">
        <f>IF(ISBLANK(Display!I11),"",Display!I11)</f>
        <v>D C</v>
      </c>
      <c r="S38" s="30" t="s">
        <v>451</v>
      </c>
      <c r="T38" s="21" t="str">
        <f>T24</f>
        <v>Andrey Quintino</v>
      </c>
      <c r="U38" s="2" t="str">
        <f t="shared" si="8"/>
        <v/>
      </c>
      <c r="V38" s="2" t="str">
        <f t="shared" si="9"/>
        <v/>
      </c>
      <c r="W38" s="23" t="str">
        <f t="shared" si="10"/>
        <v/>
      </c>
      <c r="Y38" s="30" t="s">
        <v>451</v>
      </c>
      <c r="Z38" s="21" t="str">
        <f t="shared" si="18"/>
        <v>Andrey Quintino</v>
      </c>
      <c r="AA38" s="2" t="str">
        <f t="shared" si="11"/>
        <v/>
      </c>
      <c r="AB38" s="2" t="str">
        <f t="shared" si="12"/>
        <v/>
      </c>
      <c r="AC38" s="23" t="str">
        <f t="shared" si="13"/>
        <v/>
      </c>
      <c r="AE38" s="24" t="s">
        <v>451</v>
      </c>
      <c r="AF38" s="38" t="str">
        <f>$Z24</f>
        <v>Joshua Adepoju</v>
      </c>
      <c r="AG38" s="2" t="str">
        <f t="shared" si="14"/>
        <v/>
      </c>
      <c r="AH38" s="2" t="str">
        <f t="shared" si="15"/>
        <v/>
      </c>
      <c r="AI38" s="23" t="str">
        <f t="shared" si="16"/>
        <v/>
      </c>
    </row>
    <row r="39" spans="1:35" ht="15" customHeight="1" thickBot="1" x14ac:dyDescent="0.35">
      <c r="A39" t="str">
        <f>IF(ISBLANK(Display!A33),,Display!A33)</f>
        <v>Chinedu Agu</v>
      </c>
      <c r="B39" s="2" t="str">
        <f>IF($C39&gt;0,Display!I33,)</f>
        <v>M/AM/ST C</v>
      </c>
      <c r="C39" s="2">
        <f>IF(ISBLANK(Display!C33),"",Display!C33)</f>
        <v>21</v>
      </c>
      <c r="D39" s="2">
        <f>IF(ISBLANK(Display!D33),"",Display!D33)</f>
        <v>64</v>
      </c>
      <c r="E39" s="2">
        <f>IF(ISBLANK(Display!E33),"",Display!E33)</f>
        <v>107</v>
      </c>
      <c r="F39" s="14">
        <f t="array" ref="F39">IF(ISBLANK(Display!J33),NULL,Display!J33)</f>
        <v>77.911903738719388</v>
      </c>
      <c r="G39" s="14">
        <f t="array" ref="G39">IF(ISBLANK(Display!K33),NULL,Display!K33)</f>
        <v>81.075406271121693</v>
      </c>
      <c r="H39" s="14">
        <f t="array" ref="H39">IF(ISBLANK(Display!L33),NULL,Display!L33)</f>
        <v>81.327737288375914</v>
      </c>
      <c r="I39" s="14">
        <f t="array" ref="I39">IF(ISBLANK(Display!M33),NULL,Display!M33)</f>
        <v>79.354786598171302</v>
      </c>
      <c r="J39" s="14">
        <f t="array" ref="J39">IF(ISBLANK(Display!N33),NULL,Display!N33)</f>
        <v>75.87583476949591</v>
      </c>
      <c r="K39" s="14">
        <f t="array" ref="K39">IF(ISBLANK(Display!O33),NULL,Display!O33)</f>
        <v>73.140915040456932</v>
      </c>
      <c r="L39" s="14">
        <f t="array" ref="L39">IF(ISBLANK(Display!P33),NULL,Display!P33)</f>
        <v>73.327609890109898</v>
      </c>
      <c r="M39" s="14">
        <f t="array" ref="M39">IF(ISBLANK(Display!Q33),NULL,Display!Q33)</f>
        <v>73.538485607008766</v>
      </c>
      <c r="N39" s="14">
        <f t="array" ref="N39">IF(ISBLANK(Display!R33),NULL,Display!R33)</f>
        <v>48.951825201825201</v>
      </c>
      <c r="O39" s="14">
        <f t="shared" si="17"/>
        <v>81.327737288375914</v>
      </c>
      <c r="P39" s="2" t="str">
        <f>IF(ISBLANK(Display!I33),"",Display!I33)</f>
        <v>M/AM/ST C</v>
      </c>
      <c r="S39" s="24" t="s">
        <v>14</v>
      </c>
      <c r="T39" s="36" t="str">
        <f>Z25</f>
        <v>Mateusz Widz</v>
      </c>
      <c r="U39" s="2">
        <f t="shared" si="8"/>
        <v>19</v>
      </c>
      <c r="V39" s="2" t="str">
        <f t="shared" si="9"/>
        <v>123 / 165</v>
      </c>
      <c r="W39" s="23">
        <f t="shared" si="10"/>
        <v>66.317567567567565</v>
      </c>
      <c r="Y39" s="30" t="s">
        <v>14</v>
      </c>
      <c r="Z39" s="21" t="str">
        <f t="shared" si="18"/>
        <v>Paul Stroud</v>
      </c>
      <c r="AA39" s="2" t="str">
        <f t="shared" si="11"/>
        <v/>
      </c>
      <c r="AB39" s="2" t="str">
        <f t="shared" si="12"/>
        <v/>
      </c>
      <c r="AC39" s="23" t="str">
        <f t="shared" si="13"/>
        <v/>
      </c>
      <c r="AE39" s="30" t="s">
        <v>14</v>
      </c>
      <c r="AF39" s="21" t="str">
        <f>$T25</f>
        <v>Paul Stroud</v>
      </c>
      <c r="AG39" s="2" t="str">
        <f t="shared" si="14"/>
        <v/>
      </c>
      <c r="AH39" s="2" t="str">
        <f t="shared" si="15"/>
        <v/>
      </c>
      <c r="AI39" s="23" t="str">
        <f t="shared" si="16"/>
        <v/>
      </c>
    </row>
    <row r="40" spans="1:35" ht="15" customHeight="1" thickBot="1" x14ac:dyDescent="0.35">
      <c r="A40" t="str">
        <f>IF(ISBLANK(Display!A28),,Display!A28)</f>
        <v>Ahmed Kilic</v>
      </c>
      <c r="B40" s="2" t="str">
        <f>IF($C40&gt;0,Display!I28,)</f>
        <v>M/AM LC</v>
      </c>
      <c r="C40" s="2">
        <f>IF(ISBLANK(Display!C28),"",Display!C28)</f>
        <v>20</v>
      </c>
      <c r="D40" s="2">
        <f>IF(ISBLANK(Display!D28),"",Display!D28)</f>
        <v>70</v>
      </c>
      <c r="E40" s="2">
        <f>IF(ISBLANK(Display!E28),"",Display!E28)</f>
        <v>108</v>
      </c>
      <c r="F40" s="14">
        <f t="array" ref="F40">IF(ISBLANK(Display!J28),NULL,Display!J28)</f>
        <v>71.192665807190949</v>
      </c>
      <c r="G40" s="14">
        <f t="array" ref="G40">IF(ISBLANK(Display!K28),NULL,Display!K28)</f>
        <v>75.292103793822918</v>
      </c>
      <c r="H40" s="14">
        <f t="array" ref="H40">IF(ISBLANK(Display!L28),NULL,Display!L28)</f>
        <v>75.635510308255107</v>
      </c>
      <c r="I40" s="14">
        <f t="array" ref="I40">IF(ISBLANK(Display!M28),NULL,Display!M28)</f>
        <v>75.832929469160931</v>
      </c>
      <c r="J40" s="14">
        <f t="array" ref="J40">IF(ISBLANK(Display!N28),NULL,Display!N28)</f>
        <v>67.950102326583362</v>
      </c>
      <c r="K40" s="14">
        <f t="array" ref="K40">IF(ISBLANK(Display!O28),NULL,Display!O28)</f>
        <v>66.071364826273197</v>
      </c>
      <c r="L40" s="14">
        <f t="array" ref="L40">IF(ISBLANK(Display!P28),NULL,Display!P28)</f>
        <v>65.23695054945054</v>
      </c>
      <c r="M40" s="14">
        <f t="array" ref="M40">IF(ISBLANK(Display!Q28),NULL,Display!Q28)</f>
        <v>65.120463078848559</v>
      </c>
      <c r="N40" s="14">
        <f t="array" ref="N40">IF(ISBLANK(Display!R28),NULL,Display!R28)</f>
        <v>42.260442260442261</v>
      </c>
      <c r="O40" s="14">
        <f t="shared" si="17"/>
        <v>75.832929469160931</v>
      </c>
      <c r="P40" s="2" t="str">
        <f>IF(ISBLANK(Display!I28),"",Display!I28)</f>
        <v>M/AM LC</v>
      </c>
      <c r="S40" s="30" t="s">
        <v>13</v>
      </c>
      <c r="T40" s="21" t="str">
        <f>T26</f>
        <v>Marc Mitchell</v>
      </c>
      <c r="U40" s="2" t="str">
        <f t="shared" si="8"/>
        <v/>
      </c>
      <c r="V40" s="2" t="str">
        <f t="shared" si="9"/>
        <v/>
      </c>
      <c r="W40" s="23" t="str">
        <f t="shared" si="10"/>
        <v/>
      </c>
      <c r="Y40" s="30" t="s">
        <v>13</v>
      </c>
      <c r="Z40" s="21" t="str">
        <f t="shared" si="18"/>
        <v>Marc Mitchell</v>
      </c>
      <c r="AA40" s="2" t="str">
        <f t="shared" si="11"/>
        <v/>
      </c>
      <c r="AB40" s="2" t="str">
        <f t="shared" si="12"/>
        <v/>
      </c>
      <c r="AC40" s="23" t="str">
        <f t="shared" si="13"/>
        <v/>
      </c>
      <c r="AE40" s="24" t="s">
        <v>13</v>
      </c>
      <c r="AF40" s="36" t="str">
        <f>$Z26</f>
        <v>Allan Hall</v>
      </c>
      <c r="AG40" s="2" t="str">
        <f t="shared" si="14"/>
        <v/>
      </c>
      <c r="AH40" s="2" t="str">
        <f t="shared" si="15"/>
        <v/>
      </c>
      <c r="AI40" s="23" t="str">
        <f t="shared" si="16"/>
        <v/>
      </c>
    </row>
    <row r="41" spans="1:35" ht="15" customHeight="1" thickBot="1" x14ac:dyDescent="0.35">
      <c r="A41" t="str">
        <f>IF(ISBLANK(Display!A27),,Display!A27)</f>
        <v>Tom Dando</v>
      </c>
      <c r="B41" s="2" t="str">
        <f>IF($C41&gt;0,Display!I27,)</f>
        <v>D RL</v>
      </c>
      <c r="C41" s="2">
        <f>IF(ISBLANK(Display!C27),"",Display!C27)</f>
        <v>17</v>
      </c>
      <c r="D41" s="2">
        <f>IF(ISBLANK(Display!D27),"",Display!D27)</f>
        <v>88</v>
      </c>
      <c r="E41" s="2">
        <f>IF(ISBLANK(Display!E27),"",Display!E27)</f>
        <v>151</v>
      </c>
      <c r="F41" s="14">
        <f t="array" ref="F41">IF(ISBLANK(Display!J27),NULL,Display!J27)</f>
        <v>92.600773528147826</v>
      </c>
      <c r="G41" s="14">
        <f t="array" ref="G41">IF(ISBLANK(Display!K27),NULL,Display!K27)</f>
        <v>94.820741132563398</v>
      </c>
      <c r="H41" s="14">
        <f t="array" ref="H41">IF(ISBLANK(Display!L27),NULL,Display!L27)</f>
        <v>95.118112469160309</v>
      </c>
      <c r="I41" s="14">
        <f t="array" ref="I41">IF(ISBLANK(Display!M27),NULL,Display!M27)</f>
        <v>95.829375464443814</v>
      </c>
      <c r="J41" s="14">
        <f t="array" ref="J41">IF(ISBLANK(Display!N27),NULL,Display!N27)</f>
        <v>91.744129685480402</v>
      </c>
      <c r="K41" s="14">
        <f t="array" ref="K41">IF(ISBLANK(Display!O27),NULL,Display!O27)</f>
        <v>91.409150404569246</v>
      </c>
      <c r="L41" s="14">
        <f t="array" ref="L41">IF(ISBLANK(Display!P27),NULL,Display!P27)</f>
        <v>93.36195054945054</v>
      </c>
      <c r="M41" s="14">
        <f t="array" ref="M41">IF(ISBLANK(Display!Q27),NULL,Display!Q27)</f>
        <v>93.885481852315394</v>
      </c>
      <c r="N41" s="14">
        <f t="array" ref="N41">IF(ISBLANK(Display!R27),NULL,Display!R27)</f>
        <v>60.354949104949107</v>
      </c>
      <c r="O41" s="14">
        <f t="shared" si="17"/>
        <v>95.829375464443814</v>
      </c>
      <c r="P41" s="2" t="str">
        <f>IF(ISBLANK(Display!I27),"",Display!I27)</f>
        <v>D RL</v>
      </c>
      <c r="S41" s="24" t="s">
        <v>12</v>
      </c>
      <c r="T41" s="36" t="str">
        <f>Z27</f>
        <v>Peter Purcell</v>
      </c>
      <c r="U41" s="2" t="str">
        <f t="shared" si="8"/>
        <v/>
      </c>
      <c r="V41" s="2" t="str">
        <f t="shared" si="9"/>
        <v/>
      </c>
      <c r="W41" s="23" t="str">
        <f t="shared" si="10"/>
        <v/>
      </c>
      <c r="Y41" s="30" t="s">
        <v>12</v>
      </c>
      <c r="Z41" s="21" t="str">
        <f t="shared" si="18"/>
        <v>Scot Little</v>
      </c>
      <c r="AA41" s="2">
        <f t="shared" si="11"/>
        <v>20</v>
      </c>
      <c r="AB41" s="2" t="str">
        <f t="shared" si="12"/>
        <v>93 / 163</v>
      </c>
      <c r="AC41" s="23">
        <f t="shared" si="13"/>
        <v>50.140400140400139</v>
      </c>
      <c r="AE41" s="30" t="s">
        <v>12</v>
      </c>
      <c r="AF41" s="21" t="str">
        <f>$T27</f>
        <v>Scot Little</v>
      </c>
      <c r="AG41" s="2">
        <f t="shared" si="14"/>
        <v>20</v>
      </c>
      <c r="AH41" s="2" t="str">
        <f t="shared" si="15"/>
        <v>93 / 163</v>
      </c>
      <c r="AI41" s="23">
        <f t="shared" si="16"/>
        <v>50.140400140400139</v>
      </c>
    </row>
    <row r="42" spans="1:35" ht="15" customHeight="1" thickBot="1" x14ac:dyDescent="0.35">
      <c r="A42" t="str">
        <f>IF(ISBLANK(Display!A50),,Display!A50)</f>
        <v>Rhys Thomas</v>
      </c>
      <c r="B42" s="2" t="str">
        <f>IF($C42&gt;0,Display!I50,)</f>
        <v>AM L</v>
      </c>
      <c r="C42" s="2">
        <f>IF(ISBLANK(Display!C50),"",Display!C50)</f>
        <v>20</v>
      </c>
      <c r="D42" s="2">
        <f>IF(ISBLANK(Display!D50),"",Display!D50)</f>
        <v>30</v>
      </c>
      <c r="E42" s="2">
        <f>IF(ISBLANK(Display!E50),"",Display!E50)</f>
        <v>102</v>
      </c>
      <c r="F42" s="14">
        <f t="array" ref="F42">IF(ISBLANK(Display!J50),NULL,Display!J50)</f>
        <v>54.930955450508527</v>
      </c>
      <c r="G42" s="14">
        <f t="array" ref="G42">IF(ISBLANK(Display!K50),NULL,Display!K50)</f>
        <v>58.097945869699373</v>
      </c>
      <c r="H42" s="14">
        <f t="array" ref="H42">IF(ISBLANK(Display!L50),NULL,Display!L50)</f>
        <v>58.110342285114704</v>
      </c>
      <c r="I42" s="14">
        <f t="array" ref="I42">IF(ISBLANK(Display!M50),NULL,Display!M50)</f>
        <v>58.177764854124263</v>
      </c>
      <c r="J42" s="14">
        <f t="array" ref="J42">IF(ISBLANK(Display!N50),NULL,Display!N50)</f>
        <v>50.982200560103408</v>
      </c>
      <c r="K42" s="14">
        <f t="array" ref="K42">IF(ISBLANK(Display!O50),NULL,Display!O50)</f>
        <v>48.176314850071392</v>
      </c>
      <c r="L42" s="14">
        <f t="array" ref="L42">IF(ISBLANK(Display!P50),NULL,Display!P50)</f>
        <v>48.901098901098905</v>
      </c>
      <c r="M42" s="14">
        <f t="array" ref="M42">IF(ISBLANK(Display!Q50),NULL,Display!Q50)</f>
        <v>49.32916145181477</v>
      </c>
      <c r="N42" s="14">
        <f t="array" ref="N42">IF(ISBLANK(Display!R50),NULL,Display!R50)</f>
        <v>37.611003861003866</v>
      </c>
      <c r="O42" s="14">
        <f t="shared" si="17"/>
        <v>58.177764854124263</v>
      </c>
      <c r="P42" s="2" t="str">
        <f>IF(ISBLANK(Display!I50),"",Display!I50)</f>
        <v>AM L</v>
      </c>
      <c r="S42" s="31" t="s">
        <v>453</v>
      </c>
      <c r="T42" s="26" t="str">
        <f>T28</f>
        <v>Alan Hackney</v>
      </c>
      <c r="U42" s="27" t="str">
        <f t="shared" si="8"/>
        <v/>
      </c>
      <c r="V42" s="27" t="str">
        <f t="shared" si="9"/>
        <v/>
      </c>
      <c r="W42" s="28" t="str">
        <f t="shared" si="10"/>
        <v/>
      </c>
      <c r="Y42" s="25" t="s">
        <v>453</v>
      </c>
      <c r="Z42" s="36" t="str">
        <f>$Z28</f>
        <v>Daniel Willard</v>
      </c>
      <c r="AA42" s="27">
        <f t="shared" si="11"/>
        <v>19</v>
      </c>
      <c r="AB42" s="27" t="str">
        <f t="shared" si="12"/>
        <v>120 / 149</v>
      </c>
      <c r="AC42" s="28">
        <f t="shared" si="13"/>
        <v>56.317567567567565</v>
      </c>
      <c r="AE42" s="31" t="s">
        <v>453</v>
      </c>
      <c r="AF42" s="26" t="str">
        <f>$T28</f>
        <v>Alan Hackney</v>
      </c>
      <c r="AG42" s="27" t="str">
        <f t="shared" si="14"/>
        <v/>
      </c>
      <c r="AH42" s="27" t="str">
        <f t="shared" si="15"/>
        <v/>
      </c>
      <c r="AI42" s="28" t="str">
        <f t="shared" si="16"/>
        <v/>
      </c>
    </row>
    <row r="43" spans="1:35" x14ac:dyDescent="0.3">
      <c r="A43" t="str">
        <f>IF(ISBLANK(Display!A55),,Display!A55)</f>
        <v>Christos Petras</v>
      </c>
      <c r="B43" s="2" t="str">
        <f>IF($C43&gt;0,Display!I55,)</f>
        <v>M/AM RC</v>
      </c>
      <c r="C43" s="2">
        <f>IF(ISBLANK(Display!C55),"",Display!C55)</f>
        <v>16</v>
      </c>
      <c r="D43" s="2">
        <f>IF(ISBLANK(Display!D55),"",Display!D55)</f>
        <v>48</v>
      </c>
      <c r="E43" s="2">
        <f>IF(ISBLANK(Display!E55),"",Display!E55)</f>
        <v>87</v>
      </c>
      <c r="F43" s="14">
        <f t="array" ref="F43">IF(ISBLANK(Display!J55),NULL,Display!J55)</f>
        <v>67.922933677123623</v>
      </c>
      <c r="G43" s="14">
        <f t="array" ref="G43">IF(ISBLANK(Display!K55),NULL,Display!K55)</f>
        <v>70.742748831878686</v>
      </c>
      <c r="H43" s="14">
        <f t="array" ref="H43">IF(ISBLANK(Display!L55),NULL,Display!L55)</f>
        <v>71.867963587896654</v>
      </c>
      <c r="I43" s="14">
        <f t="array" ref="I43">IF(ISBLANK(Display!M55),NULL,Display!M55)</f>
        <v>71.04342347581661</v>
      </c>
      <c r="J43" s="14">
        <f t="array" ref="J43">IF(ISBLANK(Display!N55),NULL,Display!N55)</f>
        <v>68.139810426540279</v>
      </c>
      <c r="K43" s="14">
        <f t="array" ref="K43">IF(ISBLANK(Display!O55),NULL,Display!O55)</f>
        <v>65.143979057591622</v>
      </c>
      <c r="L43" s="14">
        <f t="array" ref="L43">IF(ISBLANK(Display!P55),NULL,Display!P55)</f>
        <v>61.854395604395606</v>
      </c>
      <c r="M43" s="14">
        <f t="array" ref="M43">IF(ISBLANK(Display!Q55),NULL,Display!Q55)</f>
        <v>64.435544430538172</v>
      </c>
      <c r="N43" s="14">
        <f t="array" ref="N43">IF(ISBLANK(Display!R55),NULL,Display!R55)</f>
        <v>49.67269217269218</v>
      </c>
      <c r="O43" s="14">
        <f t="shared" si="17"/>
        <v>71.867963587896654</v>
      </c>
      <c r="P43" s="2" t="str">
        <f>IF(ISBLANK(Display!I55),"",Display!I55)</f>
        <v>M/AM RC</v>
      </c>
    </row>
    <row r="44" spans="1:35" x14ac:dyDescent="0.3">
      <c r="A44" t="str">
        <f>IF(ISBLANK(Display!A52),,Display!A52)</f>
        <v>Thomas Clementi</v>
      </c>
      <c r="B44" s="2" t="str">
        <f>IF($C44&gt;0,Display!I52,)</f>
        <v xml:space="preserve">ST </v>
      </c>
      <c r="C44" s="2">
        <f>IF(ISBLANK(Display!C52),"",Display!C52)</f>
        <v>21</v>
      </c>
      <c r="D44" s="2">
        <f>IF(ISBLANK(Display!D52),"",Display!D52)</f>
        <v>83</v>
      </c>
      <c r="E44" s="2">
        <f>IF(ISBLANK(Display!E52),"",Display!E52)</f>
        <v>112</v>
      </c>
      <c r="F44" s="14">
        <f t="array" ref="F44">IF(ISBLANK(Display!J52),NULL,Display!J52)</f>
        <v>80.007019051711779</v>
      </c>
      <c r="G44" s="14">
        <f t="array" ref="G44">IF(ISBLANK(Display!K52),NULL,Display!K52)</f>
        <v>77.115695436245559</v>
      </c>
      <c r="H44" s="14">
        <f t="array" ref="H44">IF(ISBLANK(Display!L52),NULL,Display!L52)</f>
        <v>75.721436066131645</v>
      </c>
      <c r="I44" s="14">
        <f t="array" ref="I44">IF(ISBLANK(Display!M52),NULL,Display!M52)</f>
        <v>74.546218215889638</v>
      </c>
      <c r="J44" s="14">
        <f t="array" ref="J44">IF(ISBLANK(Display!N52),NULL,Display!N52)</f>
        <v>68.784063981042664</v>
      </c>
      <c r="K44" s="14">
        <f t="array" ref="K44">IF(ISBLANK(Display!O52),NULL,Display!O52)</f>
        <v>67.000981675392666</v>
      </c>
      <c r="L44" s="14">
        <f t="array" ref="L44">IF(ISBLANK(Display!P52),NULL,Display!P52)</f>
        <v>72.345467032967036</v>
      </c>
      <c r="M44" s="14">
        <f t="array" ref="M44">IF(ISBLANK(Display!Q52),NULL,Display!Q52)</f>
        <v>64.755006257822288</v>
      </c>
      <c r="N44" s="14">
        <f t="array" ref="N44">IF(ISBLANK(Display!R52),NULL,Display!R52)</f>
        <v>45.101351351351354</v>
      </c>
      <c r="O44" s="14">
        <f t="shared" si="17"/>
        <v>80.007019051711779</v>
      </c>
      <c r="P44" s="2" t="str">
        <f>IF(ISBLANK(Display!I52),"",Display!I52)</f>
        <v xml:space="preserve">ST </v>
      </c>
    </row>
    <row r="45" spans="1:35" x14ac:dyDescent="0.3">
      <c r="A45" t="str">
        <f>IF(ISBLANK(Display!A45),,Display!A45)</f>
        <v>Joseph Green</v>
      </c>
      <c r="B45" s="2" t="str">
        <f>IF($C45&gt;0,Display!I45,)</f>
        <v>M/AM LC</v>
      </c>
      <c r="C45" s="2">
        <f>IF(ISBLANK(Display!C45),"",Display!C45)</f>
        <v>19</v>
      </c>
      <c r="D45" s="2">
        <f>IF(ISBLANK(Display!D45),"",Display!D45)</f>
        <v>63</v>
      </c>
      <c r="E45" s="2">
        <f>IF(ISBLANK(Display!E45),"",Display!E45)</f>
        <v>110</v>
      </c>
      <c r="F45" s="14">
        <f t="array" ref="F45">IF(ISBLANK(Display!J45),NULL,Display!J45)</f>
        <v>71.320584443489466</v>
      </c>
      <c r="G45" s="14">
        <f t="array" ref="G45">IF(ISBLANK(Display!K45),NULL,Display!K45)</f>
        <v>75.646213523759144</v>
      </c>
      <c r="H45" s="14">
        <f t="array" ref="H45">IF(ISBLANK(Display!L45),NULL,Display!L45)</f>
        <v>75.488755919802628</v>
      </c>
      <c r="I45" s="14">
        <f t="array" ref="I45">IF(ISBLANK(Display!M45),NULL,Display!M45)</f>
        <v>79.32635456043424</v>
      </c>
      <c r="J45" s="14">
        <f t="array" ref="J45">IF(ISBLANK(Display!N45),NULL,Display!N45)</f>
        <v>70.934133993968118</v>
      </c>
      <c r="K45" s="14">
        <f t="array" ref="K45">IF(ISBLANK(Display!O45),NULL,Display!O45)</f>
        <v>69.828950499762016</v>
      </c>
      <c r="L45" s="14">
        <f t="array" ref="L45">IF(ISBLANK(Display!P45),NULL,Display!P45)</f>
        <v>63.571428571428577</v>
      </c>
      <c r="M45" s="14">
        <f t="array" ref="M45">IF(ISBLANK(Display!Q45),NULL,Display!Q45)</f>
        <v>70.767209011264086</v>
      </c>
      <c r="N45" s="14">
        <f t="array" ref="N45">IF(ISBLANK(Display!R45),NULL,Display!R45)</f>
        <v>51.78878553878554</v>
      </c>
      <c r="O45" s="14">
        <f t="shared" si="17"/>
        <v>79.32635456043424</v>
      </c>
      <c r="P45" s="2" t="str">
        <f>IF(ISBLANK(Display!I45),"",Display!I45)</f>
        <v>M/AM LC</v>
      </c>
    </row>
    <row r="46" spans="1:35" x14ac:dyDescent="0.3">
      <c r="A46" t="str">
        <f>IF(ISBLANK(Display!A34),,Display!A34)</f>
        <v>Connor Austin</v>
      </c>
      <c r="B46" s="2" t="str">
        <f>IF($C46&gt;0,Display!I34,)</f>
        <v>DM/M C</v>
      </c>
      <c r="C46" s="2">
        <f>IF(ISBLANK(Display!C34),"",Display!C34)</f>
        <v>21</v>
      </c>
      <c r="D46" s="2">
        <f>IF(ISBLANK(Display!D34),"",Display!D34)</f>
        <v>60</v>
      </c>
      <c r="E46" s="2">
        <f>IF(ISBLANK(Display!E34),"",Display!E34)</f>
        <v>102</v>
      </c>
      <c r="F46" s="14">
        <f t="array" ref="F46">IF(ISBLANK(Display!J34),NULL,Display!J34)</f>
        <v>70.316860048703631</v>
      </c>
      <c r="G46" s="14">
        <f t="array" ref="G46">IF(ISBLANK(Display!K34),NULL,Display!K34)</f>
        <v>72.576625819154259</v>
      </c>
      <c r="H46" s="14">
        <f t="array" ref="H46">IF(ISBLANK(Display!L34),NULL,Display!L34)</f>
        <v>74.594759379519616</v>
      </c>
      <c r="I46" s="14">
        <f t="array" ref="I46">IF(ISBLANK(Display!M34),NULL,Display!M34)</f>
        <v>72.302187328357732</v>
      </c>
      <c r="J46" s="14">
        <f t="array" ref="J46">IF(ISBLANK(Display!N34),NULL,Display!N34)</f>
        <v>76.277601249461441</v>
      </c>
      <c r="K46" s="14">
        <f t="array" ref="K46">IF(ISBLANK(Display!O34),NULL,Display!O34)</f>
        <v>74.696126844359839</v>
      </c>
      <c r="L46" s="14">
        <f t="array" ref="L46">IF(ISBLANK(Display!P34),NULL,Display!P34)</f>
        <v>75.58722527472527</v>
      </c>
      <c r="M46" s="14">
        <f t="array" ref="M46">IF(ISBLANK(Display!Q34),NULL,Display!Q34)</f>
        <v>75.489674593241546</v>
      </c>
      <c r="N46" s="14">
        <f t="array" ref="N46">IF(ISBLANK(Display!R34),NULL,Display!R34)</f>
        <v>53.979027729027734</v>
      </c>
      <c r="O46" s="14">
        <f t="shared" si="17"/>
        <v>76.277601249461441</v>
      </c>
      <c r="P46" s="2" t="str">
        <f>IF(ISBLANK(Display!I34),"",Display!I34)</f>
        <v>DM/M C</v>
      </c>
    </row>
    <row r="47" spans="1:35" x14ac:dyDescent="0.3">
      <c r="A47" t="str">
        <f>IF(ISBLANK(Display!A51),,Display!A51)</f>
        <v>Steve Johnson</v>
      </c>
      <c r="B47" s="2" t="str">
        <f>IF($C47&gt;0,Display!I51,)</f>
        <v>D/DM C</v>
      </c>
      <c r="C47" s="2">
        <f>IF(ISBLANK(Display!C51),"",Display!C51)</f>
        <v>17</v>
      </c>
      <c r="D47" s="2">
        <f>IF(ISBLANK(Display!D51),"",Display!D51)</f>
        <v>70</v>
      </c>
      <c r="E47" s="2">
        <f>IF(ISBLANK(Display!E51),"",Display!E51)</f>
        <v>87</v>
      </c>
      <c r="F47" s="14">
        <f t="array" ref="F47">IF(ISBLANK(Display!J51),NULL,Display!J51)</f>
        <v>74.863343360550076</v>
      </c>
      <c r="G47" s="14">
        <f t="array" ref="G47">IF(ISBLANK(Display!K51),NULL,Display!K51)</f>
        <v>81.321519880102272</v>
      </c>
      <c r="H47" s="14">
        <f t="array" ref="H47">IF(ISBLANK(Display!L51),NULL,Display!L51)</f>
        <v>81.415364546408426</v>
      </c>
      <c r="I47" s="14">
        <f t="array" ref="I47">IF(ISBLANK(Display!M51),NULL,Display!M51)</f>
        <v>83.70359600659107</v>
      </c>
      <c r="J47" s="14">
        <f t="array" ref="J47">IF(ISBLANK(Display!N51),NULL,Display!N51)</f>
        <v>83.494318181818187</v>
      </c>
      <c r="K47" s="14">
        <f t="array" ref="K47">IF(ISBLANK(Display!O51),NULL,Display!O51)</f>
        <v>86.949815564017143</v>
      </c>
      <c r="L47" s="14">
        <f t="array" ref="L47">IF(ISBLANK(Display!P51),NULL,Display!P51)</f>
        <v>86.929945054945051</v>
      </c>
      <c r="M47" s="14">
        <f t="array" ref="M47">IF(ISBLANK(Display!Q51),NULL,Display!Q51)</f>
        <v>88.239048811013774</v>
      </c>
      <c r="N47" s="14">
        <f t="array" ref="N47">IF(ISBLANK(Display!R51),NULL,Display!R51)</f>
        <v>62.404791154791155</v>
      </c>
      <c r="O47" s="14">
        <f t="shared" si="17"/>
        <v>88.239048811013774</v>
      </c>
      <c r="P47" s="2" t="str">
        <f>IF(ISBLANK(Display!I51),"",Display!I51)</f>
        <v>D/DM C</v>
      </c>
    </row>
    <row r="48" spans="1:35" x14ac:dyDescent="0.3">
      <c r="A48" t="str">
        <f>IF(ISBLANK(Display!A43),,Display!A43)</f>
        <v>Jess Blewitt</v>
      </c>
      <c r="B48" s="2" t="str">
        <f>IF($C48&gt;0,Display!I43,)</f>
        <v>D R</v>
      </c>
      <c r="C48" s="2">
        <f>IF(ISBLANK(Display!C43),"",Display!C43)</f>
        <v>19</v>
      </c>
      <c r="D48" s="2">
        <f>IF(ISBLANK(Display!D43),"",Display!D43)</f>
        <v>50</v>
      </c>
      <c r="E48" s="2">
        <f>IF(ISBLANK(Display!E43),"",Display!E43)</f>
        <v>104</v>
      </c>
      <c r="F48" s="14">
        <f t="array" ref="F48">IF(ISBLANK(Display!J43),NULL,Display!J43)</f>
        <v>64.026786993267436</v>
      </c>
      <c r="G48" s="14">
        <f t="array" ref="G48">IF(ISBLANK(Display!K43),NULL,Display!K43)</f>
        <v>72.452613946927613</v>
      </c>
      <c r="H48" s="14">
        <f t="array" ref="H48">IF(ISBLANK(Display!L43),NULL,Display!L43)</f>
        <v>73.945920653376064</v>
      </c>
      <c r="I48" s="14">
        <f t="array" ref="I48">IF(ISBLANK(Display!M43),NULL,Display!M43)</f>
        <v>74.384511001260051</v>
      </c>
      <c r="J48" s="14">
        <f t="array" ref="J48">IF(ISBLANK(Display!N43),NULL,Display!N43)</f>
        <v>72.424466824644554</v>
      </c>
      <c r="K48" s="14">
        <f t="array" ref="K48">IF(ISBLANK(Display!O43),NULL,Display!O43)</f>
        <v>73.810536649214654</v>
      </c>
      <c r="L48" s="14">
        <f t="array" ref="L48">IF(ISBLANK(Display!P43),NULL,Display!P43)</f>
        <v>73.289835164835168</v>
      </c>
      <c r="M48" s="14">
        <f t="array" ref="M48">IF(ISBLANK(Display!Q43),NULL,Display!Q43)</f>
        <v>77.654881101376716</v>
      </c>
      <c r="N48" s="14">
        <f t="array" ref="N48">IF(ISBLANK(Display!R43),NULL,Display!R43)</f>
        <v>52.806247806247804</v>
      </c>
      <c r="O48" s="14">
        <f t="shared" si="17"/>
        <v>77.654881101376716</v>
      </c>
      <c r="P48" s="2" t="str">
        <f>IF(ISBLANK(Display!I43),"",Display!I43)</f>
        <v>D R</v>
      </c>
    </row>
    <row r="49" spans="1:16" x14ac:dyDescent="0.3">
      <c r="A49" t="str">
        <f>IF(ISBLANK(Display!A32),,Display!A32)</f>
        <v>Charlie McLoughlin</v>
      </c>
      <c r="B49" s="2" t="str">
        <f>IF($C49&gt;0,Display!I32,)</f>
        <v>M/AM RL</v>
      </c>
      <c r="C49" s="2">
        <f>IF(ISBLANK(Display!C32),"",Display!C32)</f>
        <v>20</v>
      </c>
      <c r="D49" s="2">
        <f>IF(ISBLANK(Display!D32),"",Display!D32)</f>
        <v>53</v>
      </c>
      <c r="E49" s="2">
        <f>IF(ISBLANK(Display!E32),"",Display!E32)</f>
        <v>97</v>
      </c>
      <c r="F49" s="14">
        <f t="array" ref="F49">IF(ISBLANK(Display!J32),NULL,Display!J32)</f>
        <v>71.505944707062028</v>
      </c>
      <c r="G49" s="14">
        <f t="array" ref="G49">IF(ISBLANK(Display!K32),NULL,Display!K32)</f>
        <v>75.655617267624677</v>
      </c>
      <c r="H49" s="14">
        <f t="array" ref="H49">IF(ISBLANK(Display!L32),NULL,Display!L32)</f>
        <v>77.305107336301518</v>
      </c>
      <c r="I49" s="14">
        <f t="array" ref="I49">IF(ISBLANK(Display!M32),NULL,Display!M32)</f>
        <v>74.018286969726347</v>
      </c>
      <c r="J49" s="14">
        <f t="array" ref="J49">IF(ISBLANK(Display!N32),NULL,Display!N32)</f>
        <v>71.736185911245158</v>
      </c>
      <c r="K49" s="14">
        <f t="array" ref="K49">IF(ISBLANK(Display!O32),NULL,Display!O32)</f>
        <v>68.690355782960495</v>
      </c>
      <c r="L49" s="14">
        <f t="array" ref="L49">IF(ISBLANK(Display!P32),NULL,Display!P32)</f>
        <v>65.559752747252745</v>
      </c>
      <c r="M49" s="14">
        <f t="array" ref="M49">IF(ISBLANK(Display!Q32),NULL,Display!Q32)</f>
        <v>66.888610763454309</v>
      </c>
      <c r="N49" s="14">
        <f t="array" ref="N49">IF(ISBLANK(Display!R32),NULL,Display!R32)</f>
        <v>49.867497367497364</v>
      </c>
      <c r="O49" s="14">
        <f t="shared" si="17"/>
        <v>77.305107336301518</v>
      </c>
      <c r="P49" s="2" t="str">
        <f>IF(ISBLANK(Display!I32),"",Display!I32)</f>
        <v>M/AM RL</v>
      </c>
    </row>
    <row r="50" spans="1:16" x14ac:dyDescent="0.3">
      <c r="A50" t="str">
        <f>IF(ISBLANK(Display!A49),,Display!A49)</f>
        <v>Regan Edge-Lucas</v>
      </c>
      <c r="B50" s="2" t="str">
        <f>IF($C50&gt;0,Display!I49,)</f>
        <v>AM/ST RL</v>
      </c>
      <c r="C50" s="2">
        <f>IF(ISBLANK(Display!C49),"",Display!C49)</f>
        <v>20</v>
      </c>
      <c r="D50" s="2">
        <f>IF(ISBLANK(Display!D49),"",Display!D49)</f>
        <v>81</v>
      </c>
      <c r="E50" s="2">
        <f>IF(ISBLANK(Display!E49),"",Display!E49)</f>
        <v>89</v>
      </c>
      <c r="F50" s="14">
        <f t="array" ref="F50">IF(ISBLANK(Display!J49),NULL,Display!J49)</f>
        <v>88.044549491476857</v>
      </c>
      <c r="G50" s="14">
        <f t="array" ref="G50">IF(ISBLANK(Display!K49),NULL,Display!K49)</f>
        <v>84.875253460283886</v>
      </c>
      <c r="H50" s="14">
        <f t="array" ref="H50">IF(ISBLANK(Display!L49),NULL,Display!L49)</f>
        <v>85.162493264895218</v>
      </c>
      <c r="I50" s="14">
        <f t="array" ref="I50">IF(ISBLANK(Display!M49),NULL,Display!M49)</f>
        <v>81.886691867791015</v>
      </c>
      <c r="J50" s="14">
        <f t="array" ref="J50">IF(ISBLANK(Display!N49),NULL,Display!N49)</f>
        <v>78.898373545885391</v>
      </c>
      <c r="K50" s="14">
        <f t="array" ref="K50">IF(ISBLANK(Display!O49),NULL,Display!O49)</f>
        <v>75.776118514992859</v>
      </c>
      <c r="L50" s="14">
        <f t="array" ref="L50">IF(ISBLANK(Display!P49),NULL,Display!P49)</f>
        <v>80.219780219780219</v>
      </c>
      <c r="M50" s="14">
        <f t="array" ref="M50">IF(ISBLANK(Display!Q49),NULL,Display!Q49)</f>
        <v>73.88923654568211</v>
      </c>
      <c r="N50" s="14">
        <f t="array" ref="N50">IF(ISBLANK(Display!R49),NULL,Display!R49)</f>
        <v>57.096788346788344</v>
      </c>
      <c r="O50" s="14">
        <f t="shared" si="17"/>
        <v>88.044549491476857</v>
      </c>
      <c r="P50" s="2" t="str">
        <f>IF(ISBLANK(Display!I49),"",Display!I49)</f>
        <v>AM/ST RL</v>
      </c>
    </row>
    <row r="51" spans="1:16" x14ac:dyDescent="0.3">
      <c r="A51" t="str">
        <f>IF(ISBLANK(Display!A46),,Display!A46)</f>
        <v>Jowan Purnell</v>
      </c>
      <c r="B51" s="2" t="str">
        <f>IF($C51&gt;0,Display!I46,)</f>
        <v>DM/M/AM C</v>
      </c>
      <c r="C51" s="2">
        <f>IF(ISBLANK(Display!C46),"",Display!C46)</f>
        <v>18</v>
      </c>
      <c r="D51" s="2">
        <f>IF(ISBLANK(Display!D46),"",Display!D46)</f>
        <v>66</v>
      </c>
      <c r="E51" s="2">
        <f>IF(ISBLANK(Display!E46),"",Display!E46)</f>
        <v>95</v>
      </c>
      <c r="F51" s="14">
        <f t="array" ref="F51">IF(ISBLANK(Display!J46),NULL,Display!J46)</f>
        <v>68.612662942271882</v>
      </c>
      <c r="G51" s="14">
        <f t="array" ref="G51">IF(ISBLANK(Display!K46),NULL,Display!K46)</f>
        <v>74.208175379823089</v>
      </c>
      <c r="H51" s="14">
        <f t="array" ref="H51">IF(ISBLANK(Display!L46),NULL,Display!L46)</f>
        <v>76.380200209851679</v>
      </c>
      <c r="I51" s="14">
        <f t="array" ref="I51">IF(ISBLANK(Display!M46),NULL,Display!M46)</f>
        <v>73.755775257665334</v>
      </c>
      <c r="J51" s="14">
        <f t="array" ref="J51">IF(ISBLANK(Display!N46),NULL,Display!N46)</f>
        <v>76.704006893580342</v>
      </c>
      <c r="K51" s="14">
        <f t="array" ref="K51">IF(ISBLANK(Display!O46),NULL,Display!O46)</f>
        <v>75.649690623512612</v>
      </c>
      <c r="L51" s="14">
        <f t="array" ref="L51">IF(ISBLANK(Display!P46),NULL,Display!P46)</f>
        <v>72.118818681318686</v>
      </c>
      <c r="M51" s="14">
        <f t="array" ref="M51">IF(ISBLANK(Display!Q46),NULL,Display!Q46)</f>
        <v>74.364518147684606</v>
      </c>
      <c r="N51" s="14">
        <f t="array" ref="N51">IF(ISBLANK(Display!R46),NULL,Display!R46)</f>
        <v>53.647771147771152</v>
      </c>
      <c r="O51" s="14">
        <f t="shared" si="17"/>
        <v>76.704006893580342</v>
      </c>
      <c r="P51" s="2" t="str">
        <f>IF(ISBLANK(Display!I46),"",Display!I46)</f>
        <v>DM/M/AM C</v>
      </c>
    </row>
    <row r="52" spans="1:16" x14ac:dyDescent="0.3">
      <c r="A52" t="str">
        <f>IF(ISBLANK(Display!A47),,Display!A47)</f>
        <v>Marcel Guzynski</v>
      </c>
      <c r="B52" s="2" t="str">
        <f>IF($C52&gt;0,Display!I47,)</f>
        <v>AM RL</v>
      </c>
      <c r="C52" s="2">
        <f>IF(ISBLANK(Display!C47),"",Display!C47)</f>
        <v>22</v>
      </c>
      <c r="D52" s="2">
        <f>IF(ISBLANK(Display!D47),"",Display!D47)</f>
        <v>60</v>
      </c>
      <c r="E52" s="2">
        <f>IF(ISBLANK(Display!E47),"",Display!E47)</f>
        <v>96</v>
      </c>
      <c r="F52" s="14">
        <f t="array" ref="F52">IF(ISBLANK(Display!J47),NULL,Display!J47)</f>
        <v>71.704197106431735</v>
      </c>
      <c r="G52" s="14">
        <f t="array" ref="G52">IF(ISBLANK(Display!K47),NULL,Display!K47)</f>
        <v>78.577389873343321</v>
      </c>
      <c r="H52" s="14">
        <f t="array" ref="H52">IF(ISBLANK(Display!L47),NULL,Display!L47)</f>
        <v>79.667356719507708</v>
      </c>
      <c r="I52" s="14">
        <f t="array" ref="I52">IF(ISBLANK(Display!M47),NULL,Display!M47)</f>
        <v>80.112274239927629</v>
      </c>
      <c r="J52" s="14">
        <f t="array" ref="J52">IF(ISBLANK(Display!N47),NULL,Display!N47)</f>
        <v>70.891587677725113</v>
      </c>
      <c r="K52" s="14">
        <f t="array" ref="K52">IF(ISBLANK(Display!O47),NULL,Display!O47)</f>
        <v>68.563481675392666</v>
      </c>
      <c r="L52" s="14">
        <f t="array" ref="L52">IF(ISBLANK(Display!P47),NULL,Display!P47)</f>
        <v>66.871565934065927</v>
      </c>
      <c r="M52" s="14">
        <f t="array" ref="M52">IF(ISBLANK(Display!Q47),NULL,Display!Q47)</f>
        <v>69.801314142678336</v>
      </c>
      <c r="N52" s="14">
        <f t="array" ref="N52">IF(ISBLANK(Display!R47),NULL,Display!R47)</f>
        <v>48.889522639522639</v>
      </c>
      <c r="O52" s="14">
        <f t="shared" si="17"/>
        <v>80.112274239927629</v>
      </c>
      <c r="P52" s="2" t="str">
        <f>IF(ISBLANK(Display!I47),"",Display!I47)</f>
        <v>AM RL</v>
      </c>
    </row>
    <row r="53" spans="1:16" x14ac:dyDescent="0.3">
      <c r="A53" t="str">
        <f>IF(ISBLANK(Display!A54),,Display!A54)</f>
        <v>Bevan Boyland</v>
      </c>
      <c r="B53" s="2" t="str">
        <f>IF($C53&gt;0,Display!I54,)</f>
        <v>M/AM RL</v>
      </c>
      <c r="C53" s="2">
        <f>IF(ISBLANK(Display!C54),"",Display!C54)</f>
        <v>16</v>
      </c>
      <c r="D53" s="2">
        <f>IF(ISBLANK(Display!D54),"",Display!D54)</f>
        <v>60</v>
      </c>
      <c r="E53" s="2">
        <f>IF(ISBLANK(Display!E54),"",Display!E54)</f>
        <v>72</v>
      </c>
      <c r="F53" s="14">
        <f t="array" ref="F53">IF(ISBLANK(Display!J54),NULL,Display!J54)</f>
        <v>70.126772668672118</v>
      </c>
      <c r="G53" s="14">
        <f t="array" ref="G53">IF(ISBLANK(Display!K54),NULL,Display!K54)</f>
        <v>75.381292427047526</v>
      </c>
      <c r="H53" s="14">
        <f t="array" ref="H53">IF(ISBLANK(Display!L54),NULL,Display!L54)</f>
        <v>75.450755749652615</v>
      </c>
      <c r="I53" s="14">
        <f t="array" ref="I53">IF(ISBLANK(Display!M54),NULL,Display!M54)</f>
        <v>75.980420664921965</v>
      </c>
      <c r="J53" s="14">
        <f t="array" ref="J53">IF(ISBLANK(Display!N54),NULL,Display!N54)</f>
        <v>70.21811719086601</v>
      </c>
      <c r="K53" s="14">
        <f t="array" ref="K53">IF(ISBLANK(Display!O54),NULL,Display!O54)</f>
        <v>70.331389814374106</v>
      </c>
      <c r="L53" s="14">
        <f t="array" ref="L53">IF(ISBLANK(Display!P54),NULL,Display!P54)</f>
        <v>69.797390109890102</v>
      </c>
      <c r="M53" s="14">
        <f t="array" ref="M53">IF(ISBLANK(Display!Q54),NULL,Display!Q54)</f>
        <v>70.684918648310386</v>
      </c>
      <c r="N53" s="14">
        <f t="array" ref="N53">IF(ISBLANK(Display!R54),NULL,Display!R54)</f>
        <v>52.206037206037209</v>
      </c>
      <c r="O53" s="14">
        <f t="shared" si="17"/>
        <v>75.980420664921965</v>
      </c>
      <c r="P53" s="2" t="str">
        <f>IF(ISBLANK(Display!I54),"",Display!I54)</f>
        <v>M/AM RL</v>
      </c>
    </row>
    <row r="54" spans="1:16" x14ac:dyDescent="0.3">
      <c r="A54" t="str">
        <f>IF(ISBLANK(Display!A37),,Display!A37)</f>
        <v>Eleazar Lokote</v>
      </c>
      <c r="B54" s="2" t="str">
        <f>IF($C54&gt;0,Display!I37,)</f>
        <v>DM/M C</v>
      </c>
      <c r="C54" s="2">
        <f>IF(ISBLANK(Display!C37),"",Display!C37)</f>
        <v>20</v>
      </c>
      <c r="D54" s="2">
        <f>IF(ISBLANK(Display!D37),"",Display!D37)</f>
        <v>70</v>
      </c>
      <c r="E54" s="2">
        <f>IF(ISBLANK(Display!E37),"",Display!E37)</f>
        <v>82</v>
      </c>
      <c r="F54" s="14">
        <f t="array" ref="F54">IF(ISBLANK(Display!J37),NULL,Display!J37)</f>
        <v>76.48144964904742</v>
      </c>
      <c r="G54" s="14">
        <f t="array" ref="G54">IF(ISBLANK(Display!K37),NULL,Display!K37)</f>
        <v>80.78947368421052</v>
      </c>
      <c r="H54" s="14">
        <f t="array" ref="H54">IF(ISBLANK(Display!L37),NULL,Display!L37)</f>
        <v>81.906389133085668</v>
      </c>
      <c r="I54" s="14">
        <f t="array" ref="I54">IF(ISBLANK(Display!M37),NULL,Display!M37)</f>
        <v>81.010468159348648</v>
      </c>
      <c r="J54" s="14">
        <f t="array" ref="J54">IF(ISBLANK(Display!N37),NULL,Display!N37)</f>
        <v>77.732119775958637</v>
      </c>
      <c r="K54" s="14">
        <f t="array" ref="K54">IF(ISBLANK(Display!O37),NULL,Display!O37)</f>
        <v>75.362327463112806</v>
      </c>
      <c r="L54" s="14">
        <f t="array" ref="L54">IF(ISBLANK(Display!P37),NULL,Display!P37)</f>
        <v>74.179258241758248</v>
      </c>
      <c r="M54" s="14">
        <f t="array" ref="M54">IF(ISBLANK(Display!Q37),NULL,Display!Q37)</f>
        <v>75.568523153942436</v>
      </c>
      <c r="N54" s="14">
        <f t="array" ref="N54">IF(ISBLANK(Display!R37),NULL,Display!R37)</f>
        <v>47.552650052650058</v>
      </c>
      <c r="O54" s="14">
        <f t="shared" si="17"/>
        <v>81.906389133085668</v>
      </c>
      <c r="P54" s="2" t="str">
        <f>IF(ISBLANK(Display!I37),"",Display!I37)</f>
        <v>DM/M C</v>
      </c>
    </row>
    <row r="55" spans="1:16" x14ac:dyDescent="0.3">
      <c r="A55" t="str">
        <f>IF(ISBLANK(Display!A41),,Display!A41)</f>
        <v>Jay Brown</v>
      </c>
      <c r="B55" s="2" t="str">
        <f>IF($C55&gt;0,Display!I41,)</f>
        <v>DM/M C</v>
      </c>
      <c r="C55" s="2">
        <f>IF(ISBLANK(Display!C41),"",Display!C41)</f>
        <v>20</v>
      </c>
      <c r="D55" s="2">
        <f>IF(ISBLANK(Display!D41),"",Display!D41)</f>
        <v>63</v>
      </c>
      <c r="E55" s="2">
        <f>IF(ISBLANK(Display!E41),"",Display!E41)</f>
        <v>105</v>
      </c>
      <c r="F55" s="14">
        <f t="array" ref="F55">IF(ISBLANK(Display!J41),NULL,Display!J41)</f>
        <v>69.570118894141245</v>
      </c>
      <c r="G55" s="14">
        <f t="array" ref="G55">IF(ISBLANK(Display!K41),NULL,Display!K41)</f>
        <v>73.852743248405773</v>
      </c>
      <c r="H55" s="14">
        <f t="array" ref="H55">IF(ISBLANK(Display!L41),NULL,Display!L41)</f>
        <v>76.014519467997616</v>
      </c>
      <c r="I55" s="14">
        <f t="array" ref="I55">IF(ISBLANK(Display!M41),NULL,Display!M41)</f>
        <v>74.352201867467926</v>
      </c>
      <c r="J55" s="14">
        <f t="array" ref="J55">IF(ISBLANK(Display!N41),NULL,Display!N41)</f>
        <v>78.049062903920714</v>
      </c>
      <c r="K55" s="14">
        <f t="array" ref="K55">IF(ISBLANK(Display!O41),NULL,Display!O41)</f>
        <v>76.903557829604949</v>
      </c>
      <c r="L55" s="14">
        <f t="array" ref="L55">IF(ISBLANK(Display!P41),NULL,Display!P41)</f>
        <v>71.050824175824175</v>
      </c>
      <c r="M55" s="14">
        <f t="array" ref="M55">IF(ISBLANK(Display!Q41),NULL,Display!Q41)</f>
        <v>74.199311639549435</v>
      </c>
      <c r="N55" s="14">
        <f t="array" ref="N55">IF(ISBLANK(Display!R41),NULL,Display!R41)</f>
        <v>57.096788346788344</v>
      </c>
      <c r="O55" s="14">
        <f t="shared" si="17"/>
        <v>78.049062903920714</v>
      </c>
      <c r="P55" s="2" t="str">
        <f>IF(ISBLANK(Display!I41),"",Display!I41)</f>
        <v>DM/M C</v>
      </c>
    </row>
    <row r="56" spans="1:16" x14ac:dyDescent="0.3">
      <c r="A56" t="str">
        <f>IF(ISBLANK(Display!A24),,Display!A24)</f>
        <v>Nesbert Ncube</v>
      </c>
      <c r="B56" s="2" t="str">
        <f>IF($C56&gt;0,Display!I24,)</f>
        <v>D RL</v>
      </c>
      <c r="C56" s="2">
        <f>IF(ISBLANK(Display!C24),"",Display!C24)</f>
        <v>18</v>
      </c>
      <c r="D56" s="2">
        <f>IF(ISBLANK(Display!D24),"",Display!D24)</f>
        <v>104</v>
      </c>
      <c r="E56" s="2">
        <f>IF(ISBLANK(Display!E24),"",Display!E24)</f>
        <v>139</v>
      </c>
      <c r="F56" s="14">
        <f t="array" ref="F56">IF(ISBLANK(Display!J24),NULL,Display!J24)</f>
        <v>84.10027216731126</v>
      </c>
      <c r="G56" s="14">
        <f t="array" ref="G56">IF(ISBLANK(Display!K24),NULL,Display!K24)</f>
        <v>90.627699903023881</v>
      </c>
      <c r="H56" s="14">
        <f t="array" ref="H56">IF(ISBLANK(Display!L24),NULL,Display!L24)</f>
        <v>91.78132887162181</v>
      </c>
      <c r="I56" s="14">
        <f t="array" ref="I56">IF(ISBLANK(Display!M24),NULL,Display!M24)</f>
        <v>95.037317049529904</v>
      </c>
      <c r="J56" s="14">
        <f t="array" ref="J56">IF(ISBLANK(Display!N24),NULL,Display!N24)</f>
        <v>96.226976518741907</v>
      </c>
      <c r="K56" s="14">
        <f t="array" ref="K56">IF(ISBLANK(Display!O24),NULL,Display!O24)</f>
        <v>99.702076392194186</v>
      </c>
      <c r="L56" s="14">
        <f t="array" ref="L56">IF(ISBLANK(Display!P24),NULL,Display!P24)</f>
        <v>92.40384615384616</v>
      </c>
      <c r="M56" s="14">
        <f t="array" ref="M56">IF(ISBLANK(Display!Q24),NULL,Display!Q24)</f>
        <v>102.64518147684605</v>
      </c>
      <c r="N56" s="14">
        <f t="array" ref="N56">IF(ISBLANK(Display!R24),NULL,Display!R24)</f>
        <v>66.835731835731849</v>
      </c>
      <c r="O56" s="14">
        <f t="shared" si="17"/>
        <v>102.64518147684605</v>
      </c>
      <c r="P56" s="2" t="str">
        <f>IF(ISBLANK(Display!I24),"",Display!I24)</f>
        <v>D RL</v>
      </c>
    </row>
    <row r="57" spans="1:16" x14ac:dyDescent="0.3">
      <c r="A57" t="str">
        <f>IF(ISBLANK(Display!A69),,Display!A69)</f>
        <v/>
      </c>
      <c r="B57" s="2" t="str">
        <f>IF($C57&gt;0,Display!I69,)</f>
        <v/>
      </c>
      <c r="C57" s="2" t="str">
        <f>IF(ISBLANK(Display!C69),"",Display!C69)</f>
        <v/>
      </c>
      <c r="D57" s="2" t="str">
        <f>IF(ISBLANK(Display!D69),"",Display!D69)</f>
        <v/>
      </c>
      <c r="E57" s="2" t="str">
        <f>IF(ISBLANK(Display!E69),"",Display!E69)</f>
        <v/>
      </c>
      <c r="F57" s="14">
        <f t="array" ref="F57">IF(ISBLANK(Display!J69),NULL,Display!J69)</f>
        <v>0</v>
      </c>
      <c r="G57" s="14">
        <f t="array" ref="G57">IF(ISBLANK(Display!K69),NULL,Display!K69)</f>
        <v>0</v>
      </c>
      <c r="H57" s="14">
        <f t="array" ref="H57">IF(ISBLANK(Display!L69),NULL,Display!L69)</f>
        <v>0</v>
      </c>
      <c r="I57" s="14">
        <f t="array" ref="I57">IF(ISBLANK(Display!M69),NULL,Display!M69)</f>
        <v>0</v>
      </c>
      <c r="J57" s="14">
        <f t="array" ref="J57">IF(ISBLANK(Display!N69),NULL,Display!N69)</f>
        <v>0</v>
      </c>
      <c r="K57" s="14">
        <f t="array" ref="K57">IF(ISBLANK(Display!O69),NULL,Display!O69)</f>
        <v>0</v>
      </c>
      <c r="L57" s="14">
        <f t="array" ref="L57">IF(ISBLANK(Display!P69),NULL,Display!P69)</f>
        <v>0</v>
      </c>
      <c r="M57" s="14">
        <f t="array" ref="M57">IF(ISBLANK(Display!Q69),NULL,Display!Q69)</f>
        <v>0</v>
      </c>
      <c r="N57" s="14">
        <f t="array" ref="N57">IF(ISBLANK(Display!R69),NULL,Display!R69)</f>
        <v>0</v>
      </c>
      <c r="O57" s="14">
        <f t="shared" si="17"/>
        <v>0</v>
      </c>
      <c r="P57" s="2" t="str">
        <f>IF(ISBLANK(Display!I69),"",Display!I69)</f>
        <v/>
      </c>
    </row>
    <row r="58" spans="1:16" x14ac:dyDescent="0.3">
      <c r="A58" t="str">
        <f>IF(ISBLANK(Display!A73),,Display!A73)</f>
        <v/>
      </c>
      <c r="B58" s="2" t="str">
        <f>IF($C58&gt;0,Display!I73,)</f>
        <v/>
      </c>
      <c r="C58" s="2" t="str">
        <f>IF(ISBLANK(Display!C73),"",Display!C73)</f>
        <v/>
      </c>
      <c r="D58" s="2" t="str">
        <f>IF(ISBLANK(Display!D73),"",Display!D73)</f>
        <v/>
      </c>
      <c r="E58" s="2" t="str">
        <f>IF(ISBLANK(Display!E73),"",Display!E73)</f>
        <v/>
      </c>
      <c r="F58" s="14">
        <f t="array" ref="F58">IF(ISBLANK(Display!J73),NULL,Display!J73)</f>
        <v>0</v>
      </c>
      <c r="G58" s="14">
        <f t="array" ref="G58">IF(ISBLANK(Display!K73),NULL,Display!K73)</f>
        <v>0</v>
      </c>
      <c r="H58" s="14">
        <f t="array" ref="H58">IF(ISBLANK(Display!L73),NULL,Display!L73)</f>
        <v>0</v>
      </c>
      <c r="I58" s="14">
        <f t="array" ref="I58">IF(ISBLANK(Display!M73),NULL,Display!M73)</f>
        <v>0</v>
      </c>
      <c r="J58" s="14">
        <f t="array" ref="J58">IF(ISBLANK(Display!N73),NULL,Display!N73)</f>
        <v>0</v>
      </c>
      <c r="K58" s="14">
        <f t="array" ref="K58">IF(ISBLANK(Display!O73),NULL,Display!O73)</f>
        <v>0</v>
      </c>
      <c r="L58" s="14">
        <f t="array" ref="L58">IF(ISBLANK(Display!P73),NULL,Display!P73)</f>
        <v>0</v>
      </c>
      <c r="M58" s="14">
        <f t="array" ref="M58">IF(ISBLANK(Display!Q73),NULL,Display!Q73)</f>
        <v>0</v>
      </c>
      <c r="N58" s="14">
        <f t="array" ref="N58">IF(ISBLANK(Display!R73),NULL,Display!R73)</f>
        <v>0</v>
      </c>
      <c r="O58" s="14">
        <f t="shared" si="17"/>
        <v>0</v>
      </c>
      <c r="P58" s="2" t="str">
        <f>IF(ISBLANK(Display!I73),"",Display!I73)</f>
        <v/>
      </c>
    </row>
    <row r="59" spans="1:16" x14ac:dyDescent="0.3">
      <c r="A59" t="str">
        <f>IF(ISBLANK(Display!A68),,Display!A68)</f>
        <v/>
      </c>
      <c r="B59" s="2" t="str">
        <f>IF($C59&gt;0,Display!I68,)</f>
        <v/>
      </c>
      <c r="C59" s="2" t="str">
        <f>IF(ISBLANK(Display!C68),"",Display!C68)</f>
        <v/>
      </c>
      <c r="D59" s="2" t="str">
        <f>IF(ISBLANK(Display!D68),"",Display!D68)</f>
        <v/>
      </c>
      <c r="E59" s="2" t="str">
        <f>IF(ISBLANK(Display!E68),"",Display!E68)</f>
        <v/>
      </c>
      <c r="F59" s="14">
        <f t="array" ref="F59">IF(ISBLANK(Display!J68),NULL,Display!J68)</f>
        <v>0</v>
      </c>
      <c r="G59" s="14">
        <f t="array" ref="G59">IF(ISBLANK(Display!K68),NULL,Display!K68)</f>
        <v>0</v>
      </c>
      <c r="H59" s="14">
        <f t="array" ref="H59">IF(ISBLANK(Display!L68),NULL,Display!L68)</f>
        <v>0</v>
      </c>
      <c r="I59" s="14">
        <f t="array" ref="I59">IF(ISBLANK(Display!M68),NULL,Display!M68)</f>
        <v>0</v>
      </c>
      <c r="J59" s="14">
        <f t="array" ref="J59">IF(ISBLANK(Display!N68),NULL,Display!N68)</f>
        <v>0</v>
      </c>
      <c r="K59" s="14">
        <f t="array" ref="K59">IF(ISBLANK(Display!O68),NULL,Display!O68)</f>
        <v>0</v>
      </c>
      <c r="L59" s="14">
        <f t="array" ref="L59">IF(ISBLANK(Display!P68),NULL,Display!P68)</f>
        <v>0</v>
      </c>
      <c r="M59" s="14">
        <f t="array" ref="M59">IF(ISBLANK(Display!Q68),NULL,Display!Q68)</f>
        <v>0</v>
      </c>
      <c r="N59" s="14">
        <f t="array" ref="N59">IF(ISBLANK(Display!R68),NULL,Display!R68)</f>
        <v>0</v>
      </c>
      <c r="O59" s="14">
        <f t="shared" si="17"/>
        <v>0</v>
      </c>
      <c r="P59" s="2" t="str">
        <f>IF(ISBLANK(Display!I68),"",Display!I68)</f>
        <v/>
      </c>
    </row>
    <row r="60" spans="1:16" x14ac:dyDescent="0.3">
      <c r="A60" t="str">
        <f>IF(ISBLANK(Display!A58),,Display!A58)</f>
        <v>Hisashi Whisken</v>
      </c>
      <c r="B60" s="2" t="str">
        <f>IF($C60&gt;0,Display!I58,)</f>
        <v>DM/M C</v>
      </c>
      <c r="C60" s="2">
        <f>IF(ISBLANK(Display!C58),"",Display!C58)</f>
        <v>18</v>
      </c>
      <c r="D60" s="2">
        <f>IF(ISBLANK(Display!D58),"",Display!D58)</f>
        <v>45</v>
      </c>
      <c r="E60" s="2">
        <f>IF(ISBLANK(Display!E58),"",Display!E58)</f>
        <v>86</v>
      </c>
      <c r="F60" s="14">
        <f t="array" ref="F60">IF(ISBLANK(Display!J58),NULL,Display!J58)</f>
        <v>64.269015900300815</v>
      </c>
      <c r="G60" s="14">
        <f t="array" ref="G60">IF(ISBLANK(Display!K58),NULL,Display!K58)</f>
        <v>68.107349613564892</v>
      </c>
      <c r="H60" s="14">
        <f t="array" ref="H60">IF(ISBLANK(Display!L58),NULL,Display!L58)</f>
        <v>70.870884496497752</v>
      </c>
      <c r="I60" s="14">
        <f t="array" ref="I60">IF(ISBLANK(Display!M58),NULL,Display!M58)</f>
        <v>68.201188976123547</v>
      </c>
      <c r="J60" s="14">
        <f t="array" ref="J60">IF(ISBLANK(Display!N58),NULL,Display!N58)</f>
        <v>71.095029082292115</v>
      </c>
      <c r="K60" s="14">
        <f t="array" ref="K60">IF(ISBLANK(Display!O58),NULL,Display!O58)</f>
        <v>70.032276297001431</v>
      </c>
      <c r="L60" s="14">
        <f t="array" ref="L60">IF(ISBLANK(Display!P58),NULL,Display!P58)</f>
        <v>66.229395604395606</v>
      </c>
      <c r="M60" s="14">
        <f t="array" ref="M60">IF(ISBLANK(Display!Q58),NULL,Display!Q58)</f>
        <v>68.536921151439302</v>
      </c>
      <c r="N60" s="14">
        <f t="array" ref="N60">IF(ISBLANK(Display!R58),NULL,Display!R58)</f>
        <v>46.831783081783087</v>
      </c>
      <c r="O60" s="14">
        <f t="shared" si="17"/>
        <v>71.095029082292115</v>
      </c>
      <c r="P60" s="2" t="str">
        <f>IF(ISBLANK(Display!I58),"",Display!I58)</f>
        <v>DM/M C</v>
      </c>
    </row>
    <row r="61" spans="1:16" x14ac:dyDescent="0.3">
      <c r="A61" t="str">
        <f>IF(ISBLANK(Display!A63),,Display!A63)</f>
        <v>Scott Sykes</v>
      </c>
      <c r="B61" s="2" t="str">
        <f>IF($C61&gt;0,Display!I63,)</f>
        <v>D L</v>
      </c>
      <c r="C61" s="2">
        <f>IF(ISBLANK(Display!C63),"",Display!C63)</f>
        <v>16</v>
      </c>
      <c r="D61" s="2">
        <f>IF(ISBLANK(Display!D63),"",Display!D63)</f>
        <v>53</v>
      </c>
      <c r="E61" s="2">
        <f>IF(ISBLANK(Display!E63),"",Display!E63)</f>
        <v>124</v>
      </c>
      <c r="F61" s="14">
        <f t="array" ref="F61">IF(ISBLANK(Display!J63),NULL,Display!J63)</f>
        <v>68.53158573270305</v>
      </c>
      <c r="G61" s="14">
        <f t="array" ref="G61">IF(ISBLANK(Display!K63),NULL,Display!K63)</f>
        <v>75.505157365776242</v>
      </c>
      <c r="H61" s="14">
        <f t="array" ref="H61">IF(ISBLANK(Display!L63),NULL,Display!L63)</f>
        <v>74.933074327198483</v>
      </c>
      <c r="I61" s="14">
        <f t="array" ref="I61">IF(ISBLANK(Display!M63),NULL,Display!M63)</f>
        <v>79.582727537074732</v>
      </c>
      <c r="J61" s="14">
        <f t="array" ref="J61">IF(ISBLANK(Display!N63),NULL,Display!N63)</f>
        <v>71.273965962947003</v>
      </c>
      <c r="K61" s="14">
        <f t="array" ref="K61">IF(ISBLANK(Display!O63),NULL,Display!O63)</f>
        <v>72.850725844835793</v>
      </c>
      <c r="L61" s="14">
        <f t="array" ref="L61">IF(ISBLANK(Display!P63),NULL,Display!P63)</f>
        <v>67.249313186813183</v>
      </c>
      <c r="M61" s="14">
        <f t="array" ref="M61">IF(ISBLANK(Display!Q63),NULL,Display!Q63)</f>
        <v>77.282227784730907</v>
      </c>
      <c r="N61" s="14">
        <f t="array" ref="N61">IF(ISBLANK(Display!R63),NULL,Display!R63)</f>
        <v>52.4008424008424</v>
      </c>
      <c r="O61" s="14">
        <f t="shared" si="17"/>
        <v>79.582727537074732</v>
      </c>
      <c r="P61" s="2" t="str">
        <f>IF(ISBLANK(Display!I63),"",Display!I63)</f>
        <v>D L</v>
      </c>
    </row>
    <row r="62" spans="1:16" x14ac:dyDescent="0.3">
      <c r="A62" t="str">
        <f>IF(ISBLANK(Display!A64),,Display!A64)</f>
        <v>Tony Clarke</v>
      </c>
      <c r="B62" s="2" t="str">
        <f>IF($C62&gt;0,Display!I64,)</f>
        <v>DM/M/AM C</v>
      </c>
      <c r="C62" s="2">
        <f>IF(ISBLANK(Display!C64),"",Display!C64)</f>
        <v>16</v>
      </c>
      <c r="D62" s="2">
        <f>IF(ISBLANK(Display!D64),"",Display!D64)</f>
        <v>65</v>
      </c>
      <c r="E62" s="2">
        <f>IF(ISBLANK(Display!E64),"",Display!E64)</f>
        <v>129</v>
      </c>
      <c r="F62" s="14">
        <f t="array" ref="F62">IF(ISBLANK(Display!J64),NULL,Display!J64)</f>
        <v>79.426299957026202</v>
      </c>
      <c r="G62" s="14">
        <f t="array" ref="G62">IF(ISBLANK(Display!K64),NULL,Display!K64)</f>
        <v>85.248317611449067</v>
      </c>
      <c r="H62" s="14">
        <f t="array" ref="H62">IF(ISBLANK(Display!L64),NULL,Display!L64)</f>
        <v>87.438107931826579</v>
      </c>
      <c r="I62" s="14">
        <f t="array" ref="I62">IF(ISBLANK(Display!M64),NULL,Display!M64)</f>
        <v>84.466091564085161</v>
      </c>
      <c r="J62" s="14">
        <f t="array" ref="J62">IF(ISBLANK(Display!N64),NULL,Display!N64)</f>
        <v>85.903974579922462</v>
      </c>
      <c r="K62" s="14">
        <f t="array" ref="K62">IF(ISBLANK(Display!O64),NULL,Display!O64)</f>
        <v>84.134043312708243</v>
      </c>
      <c r="L62" s="14">
        <f t="array" ref="L62">IF(ISBLANK(Display!P64),NULL,Display!P64)</f>
        <v>80.28502747252746</v>
      </c>
      <c r="M62" s="14">
        <f t="array" ref="M62">IF(ISBLANK(Display!Q64),NULL,Display!Q64)</f>
        <v>84.434292866082615</v>
      </c>
      <c r="N62" s="14">
        <f t="array" ref="N62">IF(ISBLANK(Display!R64),NULL,Display!R64)</f>
        <v>60.019743769743776</v>
      </c>
      <c r="O62" s="14">
        <f t="shared" si="17"/>
        <v>87.438107931826579</v>
      </c>
      <c r="P62" s="2" t="str">
        <f>IF(ISBLANK(Display!I64),"",Display!I64)</f>
        <v>DM/M/AM C</v>
      </c>
    </row>
    <row r="63" spans="1:16" x14ac:dyDescent="0.3">
      <c r="A63" t="str">
        <f>IF(ISBLANK(Display!A59),,Display!A59)</f>
        <v>Marcus Cliff</v>
      </c>
      <c r="B63" s="2" t="str">
        <f>IF($C63&gt;0,Display!I59,)</f>
        <v>AM/ST RLC</v>
      </c>
      <c r="C63" s="2">
        <f>IF(ISBLANK(Display!C59),"",Display!C59)</f>
        <v>18</v>
      </c>
      <c r="D63" s="2">
        <f>IF(ISBLANK(Display!D59),"",Display!D59)</f>
        <v>44</v>
      </c>
      <c r="E63" s="2">
        <f>IF(ISBLANK(Display!E59),"",Display!E59)</f>
        <v>92</v>
      </c>
      <c r="F63" s="14">
        <f t="array" ref="F63">IF(ISBLANK(Display!J59),NULL,Display!J59)</f>
        <v>69.116602205987675</v>
      </c>
      <c r="G63" s="14">
        <f t="array" ref="G63">IF(ISBLANK(Display!K59),NULL,Display!K59)</f>
        <v>69.968409297951752</v>
      </c>
      <c r="H63" s="14">
        <f t="array" ref="H63">IF(ISBLANK(Display!L59),NULL,Display!L59)</f>
        <v>70.651958143096167</v>
      </c>
      <c r="I63" s="14">
        <f t="array" ref="I63">IF(ISBLANK(Display!M59),NULL,Display!M59)</f>
        <v>70.261865529385148</v>
      </c>
      <c r="J63" s="14">
        <f t="array" ref="J63">IF(ISBLANK(Display!N59),NULL,Display!N59)</f>
        <v>67.888706376561828</v>
      </c>
      <c r="K63" s="14">
        <f t="array" ref="K63">IF(ISBLANK(Display!O59),NULL,Display!O59)</f>
        <v>66.315296287482141</v>
      </c>
      <c r="L63" s="14">
        <f t="array" ref="L63">IF(ISBLANK(Display!P59),NULL,Display!P59)</f>
        <v>66.964285714285708</v>
      </c>
      <c r="M63" s="14">
        <f t="array" ref="M63">IF(ISBLANK(Display!Q59),NULL,Display!Q59)</f>
        <v>66.423654568210267</v>
      </c>
      <c r="N63" s="14">
        <f t="array" ref="N63">IF(ISBLANK(Display!R59),NULL,Display!R59)</f>
        <v>46.562829062829067</v>
      </c>
      <c r="O63" s="14">
        <f t="shared" si="17"/>
        <v>70.651958143096167</v>
      </c>
      <c r="P63" s="2" t="str">
        <f>IF(ISBLANK(Display!I59),"",Display!I59)</f>
        <v>AM/ST RLC</v>
      </c>
    </row>
    <row r="64" spans="1:16" x14ac:dyDescent="0.3">
      <c r="A64" t="str">
        <f>IF(ISBLANK(Display!A67),,Display!A67)</f>
        <v/>
      </c>
      <c r="B64" s="2" t="str">
        <f>IF($C64&gt;0,Display!I67,)</f>
        <v/>
      </c>
      <c r="C64" s="2" t="str">
        <f>IF(ISBLANK(Display!C67),"",Display!C67)</f>
        <v/>
      </c>
      <c r="D64" s="2" t="str">
        <f>IF(ISBLANK(Display!D67),"",Display!D67)</f>
        <v/>
      </c>
      <c r="E64" s="2" t="str">
        <f>IF(ISBLANK(Display!E67),"",Display!E67)</f>
        <v/>
      </c>
      <c r="F64" s="14">
        <f t="array" ref="F64">IF(ISBLANK(Display!J67),NULL,Display!J67)</f>
        <v>0</v>
      </c>
      <c r="G64" s="14">
        <f t="array" ref="G64">IF(ISBLANK(Display!K67),NULL,Display!K67)</f>
        <v>0</v>
      </c>
      <c r="H64" s="14">
        <f t="array" ref="H64">IF(ISBLANK(Display!L67),NULL,Display!L67)</f>
        <v>0</v>
      </c>
      <c r="I64" s="14">
        <f t="array" ref="I64">IF(ISBLANK(Display!M67),NULL,Display!M67)</f>
        <v>0</v>
      </c>
      <c r="J64" s="14">
        <f t="array" ref="J64">IF(ISBLANK(Display!N67),NULL,Display!N67)</f>
        <v>0</v>
      </c>
      <c r="K64" s="14">
        <f t="array" ref="K64">IF(ISBLANK(Display!O67),NULL,Display!O67)</f>
        <v>0</v>
      </c>
      <c r="L64" s="14">
        <f t="array" ref="L64">IF(ISBLANK(Display!P67),NULL,Display!P67)</f>
        <v>0</v>
      </c>
      <c r="M64" s="14">
        <f t="array" ref="M64">IF(ISBLANK(Display!Q67),NULL,Display!Q67)</f>
        <v>0</v>
      </c>
      <c r="N64" s="14">
        <f t="array" ref="N64">IF(ISBLANK(Display!R67),NULL,Display!R67)</f>
        <v>0</v>
      </c>
      <c r="O64" s="14">
        <f t="shared" si="17"/>
        <v>0</v>
      </c>
      <c r="P64" s="2" t="str">
        <f>IF(ISBLANK(Display!I67),"",Display!I67)</f>
        <v/>
      </c>
    </row>
    <row r="65" spans="1:16" x14ac:dyDescent="0.3">
      <c r="A65" t="str">
        <f>IF(ISBLANK(Display!A71),,Display!A71)</f>
        <v/>
      </c>
      <c r="B65" s="2" t="str">
        <f>IF($C65&gt;0,Display!I71,)</f>
        <v/>
      </c>
      <c r="C65" s="2" t="str">
        <f>IF(ISBLANK(Display!C71),"",Display!C71)</f>
        <v/>
      </c>
      <c r="D65" s="2" t="str">
        <f>IF(ISBLANK(Display!D71),"",Display!D71)</f>
        <v/>
      </c>
      <c r="E65" s="2" t="str">
        <f>IF(ISBLANK(Display!E71),"",Display!E71)</f>
        <v/>
      </c>
      <c r="F65" s="14">
        <f t="array" ref="F65">IF(ISBLANK(Display!J71),NULL,Display!J71)</f>
        <v>0</v>
      </c>
      <c r="G65" s="14">
        <f t="array" ref="G65">IF(ISBLANK(Display!K71),NULL,Display!K71)</f>
        <v>0</v>
      </c>
      <c r="H65" s="14">
        <f t="array" ref="H65">IF(ISBLANK(Display!L71),NULL,Display!L71)</f>
        <v>0</v>
      </c>
      <c r="I65" s="14">
        <f t="array" ref="I65">IF(ISBLANK(Display!M71),NULL,Display!M71)</f>
        <v>0</v>
      </c>
      <c r="J65" s="14">
        <f t="array" ref="J65">IF(ISBLANK(Display!N71),NULL,Display!N71)</f>
        <v>0</v>
      </c>
      <c r="K65" s="14">
        <f t="array" ref="K65">IF(ISBLANK(Display!O71),NULL,Display!O71)</f>
        <v>0</v>
      </c>
      <c r="L65" s="14">
        <f t="array" ref="L65">IF(ISBLANK(Display!P71),NULL,Display!P71)</f>
        <v>0</v>
      </c>
      <c r="M65" s="14">
        <f t="array" ref="M65">IF(ISBLANK(Display!Q71),NULL,Display!Q71)</f>
        <v>0</v>
      </c>
      <c r="N65" s="14">
        <f t="array" ref="N65">IF(ISBLANK(Display!R71),NULL,Display!R71)</f>
        <v>0</v>
      </c>
      <c r="O65" s="14">
        <f t="shared" si="17"/>
        <v>0</v>
      </c>
      <c r="P65" s="2" t="str">
        <f>IF(ISBLANK(Display!I71),"",Display!I71)</f>
        <v/>
      </c>
    </row>
    <row r="66" spans="1:16" x14ac:dyDescent="0.3">
      <c r="A66" t="str">
        <f>IF(ISBLANK(Display!A61),,Display!A61)</f>
        <v>Paddy Masters</v>
      </c>
      <c r="B66" s="2" t="str">
        <f>IF($C66&gt;0,Display!I61,)</f>
        <v>AM/ST R</v>
      </c>
      <c r="C66" s="2">
        <f>IF(ISBLANK(Display!C61),"",Display!C61)</f>
        <v>17</v>
      </c>
      <c r="D66" s="2">
        <f>IF(ISBLANK(Display!D61),"",Display!D61)</f>
        <v>47</v>
      </c>
      <c r="E66" s="2">
        <f>IF(ISBLANK(Display!E61),"",Display!E61)</f>
        <v>87</v>
      </c>
      <c r="F66" s="14">
        <f t="array" ref="F66">IF(ISBLANK(Display!J61),NULL,Display!J61)</f>
        <v>61.858472998137799</v>
      </c>
      <c r="G66" s="14">
        <f t="array" ref="G66">IF(ISBLANK(Display!K61),NULL,Display!K61)</f>
        <v>67.705045696317839</v>
      </c>
      <c r="H66" s="14">
        <f t="array" ref="H66">IF(ISBLANK(Display!L61),NULL,Display!L61)</f>
        <v>67.63037744945126</v>
      </c>
      <c r="I66" s="14">
        <f t="array" ref="I66">IF(ISBLANK(Display!M61),NULL,Display!M61)</f>
        <v>68.935090950211617</v>
      </c>
      <c r="J66" s="14">
        <f t="array" ref="J66">IF(ISBLANK(Display!N61),NULL,Display!N61)</f>
        <v>60.200479319258946</v>
      </c>
      <c r="K66" s="14">
        <f t="array" ref="K66">IF(ISBLANK(Display!O61),NULL,Display!O61)</f>
        <v>57.892223940980486</v>
      </c>
      <c r="L66" s="14">
        <f t="array" ref="L66">IF(ISBLANK(Display!P61),NULL,Display!P61)</f>
        <v>54.749313186813183</v>
      </c>
      <c r="M66" s="14">
        <f t="array" ref="M66">IF(ISBLANK(Display!Q61),NULL,Display!Q61)</f>
        <v>59.375156445556946</v>
      </c>
      <c r="N66" s="14">
        <f t="array" ref="N66">IF(ISBLANK(Display!R61),NULL,Display!R61)</f>
        <v>40.331256581256589</v>
      </c>
      <c r="O66" s="14">
        <f t="shared" ref="O66:O99" si="19">IF(ISBLANK(A66),"",MAX($F66:$N66))</f>
        <v>68.935090950211617</v>
      </c>
      <c r="P66" s="2" t="str">
        <f>IF(ISBLANK(Display!I61),"",Display!I61)</f>
        <v>AM/ST R</v>
      </c>
    </row>
    <row r="67" spans="1:16" x14ac:dyDescent="0.3">
      <c r="A67" t="str">
        <f>IF(ISBLANK(Display!A70),,Display!A70)</f>
        <v/>
      </c>
      <c r="B67" s="2" t="str">
        <f>IF($C67&gt;0,Display!I70,)</f>
        <v/>
      </c>
      <c r="C67" s="2" t="str">
        <f>IF(ISBLANK(Display!C70),"",Display!C70)</f>
        <v/>
      </c>
      <c r="D67" s="2" t="str">
        <f>IF(ISBLANK(Display!D70),"",Display!D70)</f>
        <v/>
      </c>
      <c r="E67" s="2" t="str">
        <f>IF(ISBLANK(Display!E70),"",Display!E70)</f>
        <v/>
      </c>
      <c r="F67" s="14">
        <f t="array" ref="F67">IF(ISBLANK(Display!J70),NULL,Display!J70)</f>
        <v>0</v>
      </c>
      <c r="G67" s="14">
        <f t="array" ref="G67">IF(ISBLANK(Display!K70),NULL,Display!K70)</f>
        <v>0</v>
      </c>
      <c r="H67" s="14">
        <f t="array" ref="H67">IF(ISBLANK(Display!L70),NULL,Display!L70)</f>
        <v>0</v>
      </c>
      <c r="I67" s="14">
        <f t="array" ref="I67">IF(ISBLANK(Display!M70),NULL,Display!M70)</f>
        <v>0</v>
      </c>
      <c r="J67" s="14">
        <f t="array" ref="J67">IF(ISBLANK(Display!N70),NULL,Display!N70)</f>
        <v>0</v>
      </c>
      <c r="K67" s="14">
        <f t="array" ref="K67">IF(ISBLANK(Display!O70),NULL,Display!O70)</f>
        <v>0</v>
      </c>
      <c r="L67" s="14">
        <f t="array" ref="L67">IF(ISBLANK(Display!P70),NULL,Display!P70)</f>
        <v>0</v>
      </c>
      <c r="M67" s="14">
        <f t="array" ref="M67">IF(ISBLANK(Display!Q70),NULL,Display!Q70)</f>
        <v>0</v>
      </c>
      <c r="N67" s="14">
        <f t="array" ref="N67">IF(ISBLANK(Display!R70),NULL,Display!R70)</f>
        <v>0</v>
      </c>
      <c r="O67" s="14">
        <f t="shared" si="19"/>
        <v>0</v>
      </c>
      <c r="P67" s="2" t="str">
        <f>IF(ISBLANK(Display!I70),"",Display!I70)</f>
        <v/>
      </c>
    </row>
    <row r="68" spans="1:16" x14ac:dyDescent="0.3">
      <c r="A68" t="str">
        <f>IF(ISBLANK(Display!A66),,Display!A66)</f>
        <v/>
      </c>
      <c r="B68" s="2" t="str">
        <f>IF($C68&gt;0,Display!I66,)</f>
        <v/>
      </c>
      <c r="C68" s="2" t="str">
        <f>IF(ISBLANK(Display!C66),"",Display!C66)</f>
        <v/>
      </c>
      <c r="D68" s="2" t="str">
        <f>IF(ISBLANK(Display!D66),"",Display!D66)</f>
        <v/>
      </c>
      <c r="E68" s="2" t="str">
        <f>IF(ISBLANK(Display!E66),"",Display!E66)</f>
        <v/>
      </c>
      <c r="F68" s="14">
        <f t="array" ref="F68">IF(ISBLANK(Display!J66),NULL,Display!J66)</f>
        <v>0</v>
      </c>
      <c r="G68" s="14">
        <f t="array" ref="G68">IF(ISBLANK(Display!K66),NULL,Display!K66)</f>
        <v>0</v>
      </c>
      <c r="H68" s="14">
        <f t="array" ref="H68">IF(ISBLANK(Display!L66),NULL,Display!L66)</f>
        <v>0</v>
      </c>
      <c r="I68" s="14">
        <f t="array" ref="I68">IF(ISBLANK(Display!M66),NULL,Display!M66)</f>
        <v>0</v>
      </c>
      <c r="J68" s="14">
        <f t="array" ref="J68">IF(ISBLANK(Display!N66),NULL,Display!N66)</f>
        <v>0</v>
      </c>
      <c r="K68" s="14">
        <f t="array" ref="K68">IF(ISBLANK(Display!O66),NULL,Display!O66)</f>
        <v>0</v>
      </c>
      <c r="L68" s="14">
        <f t="array" ref="L68">IF(ISBLANK(Display!P66),NULL,Display!P66)</f>
        <v>0</v>
      </c>
      <c r="M68" s="14">
        <f t="array" ref="M68">IF(ISBLANK(Display!Q66),NULL,Display!Q66)</f>
        <v>0</v>
      </c>
      <c r="N68" s="14">
        <f t="array" ref="N68">IF(ISBLANK(Display!R66),NULL,Display!R66)</f>
        <v>0</v>
      </c>
      <c r="O68" s="14">
        <f t="shared" si="19"/>
        <v>0</v>
      </c>
      <c r="P68" s="2" t="str">
        <f>IF(ISBLANK(Display!I66),"",Display!I66)</f>
        <v/>
      </c>
    </row>
    <row r="69" spans="1:16" x14ac:dyDescent="0.3">
      <c r="A69" t="str">
        <f>IF(ISBLANK(Display!A72),,Display!A72)</f>
        <v/>
      </c>
      <c r="B69" s="2" t="str">
        <f>IF($C69&gt;0,Display!I72,)</f>
        <v/>
      </c>
      <c r="C69" s="2" t="str">
        <f>IF(ISBLANK(Display!C72),"",Display!C72)</f>
        <v/>
      </c>
      <c r="D69" s="2" t="str">
        <f>IF(ISBLANK(Display!D72),"",Display!D72)</f>
        <v/>
      </c>
      <c r="E69" s="2" t="str">
        <f>IF(ISBLANK(Display!E72),"",Display!E72)</f>
        <v/>
      </c>
      <c r="F69" s="14">
        <f t="array" ref="F69">IF(ISBLANK(Display!J72),NULL,Display!J72)</f>
        <v>0</v>
      </c>
      <c r="G69" s="14">
        <f t="array" ref="G69">IF(ISBLANK(Display!K72),NULL,Display!K72)</f>
        <v>0</v>
      </c>
      <c r="H69" s="14">
        <f t="array" ref="H69">IF(ISBLANK(Display!L72),NULL,Display!L72)</f>
        <v>0</v>
      </c>
      <c r="I69" s="14">
        <f t="array" ref="I69">IF(ISBLANK(Display!M72),NULL,Display!M72)</f>
        <v>0</v>
      </c>
      <c r="J69" s="14">
        <f t="array" ref="J69">IF(ISBLANK(Display!N72),NULL,Display!N72)</f>
        <v>0</v>
      </c>
      <c r="K69" s="14">
        <f t="array" ref="K69">IF(ISBLANK(Display!O72),NULL,Display!O72)</f>
        <v>0</v>
      </c>
      <c r="L69" s="14">
        <f t="array" ref="L69">IF(ISBLANK(Display!P72),NULL,Display!P72)</f>
        <v>0</v>
      </c>
      <c r="M69" s="14">
        <f t="array" ref="M69">IF(ISBLANK(Display!Q72),NULL,Display!Q72)</f>
        <v>0</v>
      </c>
      <c r="N69" s="14">
        <f t="array" ref="N69">IF(ISBLANK(Display!R72),NULL,Display!R72)</f>
        <v>0</v>
      </c>
      <c r="O69" s="14">
        <f t="shared" si="19"/>
        <v>0</v>
      </c>
      <c r="P69" s="2" t="str">
        <f>IF(ISBLANK(Display!I72),"",Display!I72)</f>
        <v/>
      </c>
    </row>
    <row r="70" spans="1:16" x14ac:dyDescent="0.3">
      <c r="A70" t="str">
        <f>IF(ISBLANK(Display!A60),,Display!A60)</f>
        <v>Michael Eduard</v>
      </c>
      <c r="B70" s="2" t="str">
        <f>IF($C70&gt;0,Display!I60,)</f>
        <v>AM C</v>
      </c>
      <c r="C70" s="2">
        <f>IF(ISBLANK(Display!C60),"",Display!C60)</f>
        <v>16</v>
      </c>
      <c r="D70" s="2">
        <f>IF(ISBLANK(Display!D60),"",Display!D60)</f>
        <v>49</v>
      </c>
      <c r="E70" s="2">
        <f>IF(ISBLANK(Display!E60),"",Display!E60)</f>
        <v>92</v>
      </c>
      <c r="F70" s="14">
        <f t="array" ref="F70">IF(ISBLANK(Display!J60),NULL,Display!J60)</f>
        <v>69.776966050709063</v>
      </c>
      <c r="G70" s="14">
        <f t="array" ref="G70">IF(ISBLANK(Display!K60),NULL,Display!K60)</f>
        <v>72.485233183461162</v>
      </c>
      <c r="H70" s="14">
        <f t="array" ref="H70">IF(ISBLANK(Display!L60),NULL,Display!L60)</f>
        <v>73.558971159572351</v>
      </c>
      <c r="I70" s="14">
        <f t="array" ref="I70">IF(ISBLANK(Display!M60),NULL,Display!M60)</f>
        <v>72.838518949306973</v>
      </c>
      <c r="J70" s="14">
        <f t="array" ref="J70">IF(ISBLANK(Display!N60),NULL,Display!N60)</f>
        <v>69.821601680310209</v>
      </c>
      <c r="K70" s="14">
        <f t="array" ref="K70">IF(ISBLANK(Display!O60),NULL,Display!O60)</f>
        <v>67.922269157544022</v>
      </c>
      <c r="L70" s="14">
        <f t="array" ref="L70">IF(ISBLANK(Display!P60),NULL,Display!P60)</f>
        <v>67.657967032967022</v>
      </c>
      <c r="M70" s="14">
        <f t="array" ref="M70">IF(ISBLANK(Display!Q60),NULL,Display!Q60)</f>
        <v>69.133291614518143</v>
      </c>
      <c r="N70" s="14">
        <f t="array" ref="N70">IF(ISBLANK(Display!R60),NULL,Display!R60)</f>
        <v>48.219111969111964</v>
      </c>
      <c r="O70" s="14">
        <f t="shared" si="19"/>
        <v>73.558971159572351</v>
      </c>
      <c r="P70" s="2" t="str">
        <f>IF(ISBLANK(Display!I60),"",Display!I60)</f>
        <v>AM C</v>
      </c>
    </row>
    <row r="71" spans="1:16" x14ac:dyDescent="0.3">
      <c r="A71" t="str">
        <f>IF(ISBLANK(Display!A65),,Display!A65)</f>
        <v>Vashirn Rodney</v>
      </c>
      <c r="B71" s="2" t="str">
        <f>IF($C71&gt;0,Display!I65,)</f>
        <v>D/DM/M C</v>
      </c>
      <c r="C71" s="2">
        <f>IF(ISBLANK(Display!C65),"",Display!C65)</f>
        <v>18</v>
      </c>
      <c r="D71" s="2">
        <f>IF(ISBLANK(Display!D65),"",Display!D65)</f>
        <v>67</v>
      </c>
      <c r="E71" s="2">
        <f>IF(ISBLANK(Display!E65),"",Display!E65)</f>
        <v>94</v>
      </c>
      <c r="F71" s="14">
        <f t="array" ref="F71">IF(ISBLANK(Display!J65),NULL,Display!J65)</f>
        <v>75.922074201403817</v>
      </c>
      <c r="G71" s="14">
        <f t="array" ref="G71">IF(ISBLANK(Display!K65),NULL,Display!K65)</f>
        <v>83.03300126362808</v>
      </c>
      <c r="H71" s="14">
        <f t="array" ref="H71">IF(ISBLANK(Display!L65),NULL,Display!L65)</f>
        <v>84.28976547656184</v>
      </c>
      <c r="I71" s="14">
        <f t="array" ref="I71">IF(ISBLANK(Display!M65),NULL,Display!M65)</f>
        <v>84.624244773997617</v>
      </c>
      <c r="J71" s="14">
        <f t="array" ref="J71">IF(ISBLANK(Display!N65),NULL,Display!N65)</f>
        <v>86.603295993106428</v>
      </c>
      <c r="K71" s="14">
        <f t="array" ref="K71">IF(ISBLANK(Display!O65),NULL,Display!O65)</f>
        <v>88.103879105188014</v>
      </c>
      <c r="L71" s="14">
        <f t="array" ref="L71">IF(ISBLANK(Display!P65),NULL,Display!P65)</f>
        <v>85.638736263736263</v>
      </c>
      <c r="M71" s="14">
        <f t="array" ref="M71">IF(ISBLANK(Display!Q65),NULL,Display!Q65)</f>
        <v>89.40988735919899</v>
      </c>
      <c r="N71" s="14">
        <f t="array" ref="N71">IF(ISBLANK(Display!R65),NULL,Display!R65)</f>
        <v>60.144348894348894</v>
      </c>
      <c r="O71" s="14">
        <f t="shared" si="19"/>
        <v>89.40988735919899</v>
      </c>
      <c r="P71" s="2" t="str">
        <f>IF(ISBLANK(Display!I65),"",Display!I65)</f>
        <v>D/DM/M C</v>
      </c>
    </row>
    <row r="72" spans="1:16" x14ac:dyDescent="0.3">
      <c r="A72" t="str">
        <f>IF(ISBLANK(Display!A62),,Display!A62)</f>
        <v>Roy Lawal</v>
      </c>
      <c r="B72" s="2" t="str">
        <f>IF($C72&gt;0,Display!I62,)</f>
        <v>WB/AM L</v>
      </c>
      <c r="C72" s="2">
        <f>IF(ISBLANK(Display!C62),"",Display!C62)</f>
        <v>16</v>
      </c>
      <c r="D72" s="2">
        <f>IF(ISBLANK(Display!D62),"",Display!D62)</f>
        <v>58</v>
      </c>
      <c r="E72" s="2">
        <f>IF(ISBLANK(Display!E62),"",Display!E62)</f>
        <v>66</v>
      </c>
      <c r="F72" s="14">
        <f t="array" ref="F72">IF(ISBLANK(Display!J62),NULL,Display!J62)</f>
        <v>70.363128491620103</v>
      </c>
      <c r="G72" s="14">
        <f t="array" ref="G72">IF(ISBLANK(Display!K62),NULL,Display!K62)</f>
        <v>75.989009374357167</v>
      </c>
      <c r="H72" s="14">
        <f t="array" ref="H72">IF(ISBLANK(Display!L62),NULL,Display!L62)</f>
        <v>77.195076992882065</v>
      </c>
      <c r="I72" s="14">
        <f t="array" ref="I72">IF(ISBLANK(Display!M62),NULL,Display!M62)</f>
        <v>77.525281897192343</v>
      </c>
      <c r="J72" s="14">
        <f t="array" ref="J72">IF(ISBLANK(Display!N62),NULL,Display!N62)</f>
        <v>74.878958423093493</v>
      </c>
      <c r="K72" s="14">
        <f t="array" ref="K72">IF(ISBLANK(Display!O62),NULL,Display!O62)</f>
        <v>75.421376725368873</v>
      </c>
      <c r="L72" s="14">
        <f t="array" ref="L72">IF(ISBLANK(Display!P62),NULL,Display!P62)</f>
        <v>74.426510989010978</v>
      </c>
      <c r="M72" s="14">
        <f t="array" ref="M72">IF(ISBLANK(Display!Q62),NULL,Display!Q62)</f>
        <v>77.124217772215275</v>
      </c>
      <c r="N72" s="14">
        <f t="array" ref="N72">IF(ISBLANK(Display!R62),NULL,Display!R62)</f>
        <v>52.198139698139698</v>
      </c>
      <c r="O72" s="14">
        <f t="shared" si="19"/>
        <v>77.525281897192343</v>
      </c>
      <c r="P72" s="2" t="str">
        <f>IF(ISBLANK(Display!I62),"",Display!I62)</f>
        <v>WB/AM L</v>
      </c>
    </row>
    <row r="73" spans="1:16" x14ac:dyDescent="0.3">
      <c r="A73" t="str">
        <f>IF(ISBLANK(Display!A74),,Display!A74)</f>
        <v/>
      </c>
      <c r="B73" s="2" t="str">
        <f>IF($C73&gt;0,Display!I74,)</f>
        <v/>
      </c>
      <c r="C73" s="2" t="str">
        <f>IF(ISBLANK(Display!C74),"",Display!C74)</f>
        <v/>
      </c>
      <c r="D73" s="2" t="str">
        <f>IF(ISBLANK(Display!D74),"",Display!D74)</f>
        <v/>
      </c>
      <c r="E73" s="2" t="str">
        <f>IF(ISBLANK(Display!E74),"",Display!E74)</f>
        <v/>
      </c>
      <c r="F73" s="14">
        <f t="array" ref="F73">IF(ISBLANK(Display!J74),NULL,Display!J74)</f>
        <v>0</v>
      </c>
      <c r="G73" s="14">
        <f t="array" ref="G73">IF(ISBLANK(Display!K74),NULL,Display!K74)</f>
        <v>0</v>
      </c>
      <c r="H73" s="14">
        <f t="array" ref="H73">IF(ISBLANK(Display!L74),NULL,Display!L74)</f>
        <v>0</v>
      </c>
      <c r="I73" s="14">
        <f t="array" ref="I73">IF(ISBLANK(Display!M74),NULL,Display!M74)</f>
        <v>0</v>
      </c>
      <c r="J73" s="14">
        <f t="array" ref="J73">IF(ISBLANK(Display!N74),NULL,Display!N74)</f>
        <v>0</v>
      </c>
      <c r="K73" s="14">
        <f t="array" ref="K73">IF(ISBLANK(Display!O74),NULL,Display!O74)</f>
        <v>0</v>
      </c>
      <c r="L73" s="14">
        <f t="array" ref="L73">IF(ISBLANK(Display!P74),NULL,Display!P74)</f>
        <v>0</v>
      </c>
      <c r="M73" s="14">
        <f t="array" ref="M73">IF(ISBLANK(Display!Q74),NULL,Display!Q74)</f>
        <v>0</v>
      </c>
      <c r="N73" s="14">
        <f t="array" ref="N73">IF(ISBLANK(Display!R74),NULL,Display!R74)</f>
        <v>0</v>
      </c>
      <c r="O73" s="14">
        <f t="shared" si="19"/>
        <v>0</v>
      </c>
      <c r="P73" s="2" t="str">
        <f>IF(ISBLANK(Display!I74),"",Display!I74)</f>
        <v/>
      </c>
    </row>
    <row r="74" spans="1:16" x14ac:dyDescent="0.3">
      <c r="A74" t="str">
        <f>IF(ISBLANK(Display!A75),,Display!A75)</f>
        <v/>
      </c>
      <c r="B74" s="2" t="str">
        <f>IF($C74&gt;0,Display!I75,)</f>
        <v/>
      </c>
      <c r="C74" s="2" t="str">
        <f>IF(ISBLANK(Display!C75),"",Display!C75)</f>
        <v/>
      </c>
      <c r="D74" s="2" t="str">
        <f>IF(ISBLANK(Display!D75),"",Display!D75)</f>
        <v/>
      </c>
      <c r="E74" s="2" t="str">
        <f>IF(ISBLANK(Display!E75),"",Display!E75)</f>
        <v/>
      </c>
      <c r="F74" s="14">
        <f t="array" ref="F74">IF(ISBLANK(Display!J75),NULL,Display!J75)</f>
        <v>0</v>
      </c>
      <c r="G74" s="14">
        <f t="array" ref="G74">IF(ISBLANK(Display!K75),NULL,Display!K75)</f>
        <v>0</v>
      </c>
      <c r="H74" s="14">
        <f t="array" ref="H74">IF(ISBLANK(Display!L75),NULL,Display!L75)</f>
        <v>0</v>
      </c>
      <c r="I74" s="14">
        <f t="array" ref="I74">IF(ISBLANK(Display!M75),NULL,Display!M75)</f>
        <v>0</v>
      </c>
      <c r="J74" s="14">
        <f t="array" ref="J74">IF(ISBLANK(Display!N75),NULL,Display!N75)</f>
        <v>0</v>
      </c>
      <c r="K74" s="14">
        <f t="array" ref="K74">IF(ISBLANK(Display!O75),NULL,Display!O75)</f>
        <v>0</v>
      </c>
      <c r="L74" s="14">
        <f t="array" ref="L74">IF(ISBLANK(Display!P75),NULL,Display!P75)</f>
        <v>0</v>
      </c>
      <c r="M74" s="14">
        <f t="array" ref="M74">IF(ISBLANK(Display!Q75),NULL,Display!Q75)</f>
        <v>0</v>
      </c>
      <c r="N74" s="14">
        <f t="array" ref="N74">IF(ISBLANK(Display!R75),NULL,Display!R75)</f>
        <v>0</v>
      </c>
      <c r="O74" s="14">
        <f t="shared" si="19"/>
        <v>0</v>
      </c>
      <c r="P74" s="2" t="str">
        <f>IF(ISBLANK(Display!I75),"",Display!I75)</f>
        <v/>
      </c>
    </row>
    <row r="75" spans="1:16" x14ac:dyDescent="0.3">
      <c r="A75" t="str">
        <f>IF(ISBLANK(Display!A76),,Display!A76)</f>
        <v/>
      </c>
      <c r="B75" s="2" t="str">
        <f>IF($C75&gt;0,Display!I76,)</f>
        <v/>
      </c>
      <c r="C75" s="2" t="str">
        <f>IF(ISBLANK(Display!C76),"",Display!C76)</f>
        <v/>
      </c>
      <c r="D75" s="2" t="str">
        <f>IF(ISBLANK(Display!D76),"",Display!D76)</f>
        <v/>
      </c>
      <c r="E75" s="2" t="str">
        <f>IF(ISBLANK(Display!E76),"",Display!E76)</f>
        <v/>
      </c>
      <c r="F75" s="14">
        <f t="array" ref="F75">IF(ISBLANK(Display!J76),NULL,Display!J76)</f>
        <v>0</v>
      </c>
      <c r="G75" s="14">
        <f t="array" ref="G75">IF(ISBLANK(Display!K76),NULL,Display!K76)</f>
        <v>0</v>
      </c>
      <c r="H75" s="14">
        <f t="array" ref="H75">IF(ISBLANK(Display!L76),NULL,Display!L76)</f>
        <v>0</v>
      </c>
      <c r="I75" s="14">
        <f t="array" ref="I75">IF(ISBLANK(Display!M76),NULL,Display!M76)</f>
        <v>0</v>
      </c>
      <c r="J75" s="14">
        <f t="array" ref="J75">IF(ISBLANK(Display!N76),NULL,Display!N76)</f>
        <v>0</v>
      </c>
      <c r="K75" s="14">
        <f t="array" ref="K75">IF(ISBLANK(Display!O76),NULL,Display!O76)</f>
        <v>0</v>
      </c>
      <c r="L75" s="14">
        <f t="array" ref="L75">IF(ISBLANK(Display!P76),NULL,Display!P76)</f>
        <v>0</v>
      </c>
      <c r="M75" s="14">
        <f t="array" ref="M75">IF(ISBLANK(Display!Q76),NULL,Display!Q76)</f>
        <v>0</v>
      </c>
      <c r="N75" s="14">
        <f t="array" ref="N75">IF(ISBLANK(Display!R76),NULL,Display!R76)</f>
        <v>0</v>
      </c>
      <c r="O75" s="14">
        <f t="shared" si="19"/>
        <v>0</v>
      </c>
      <c r="P75" s="2" t="str">
        <f>IF(ISBLANK(Display!I76),"",Display!I76)</f>
        <v/>
      </c>
    </row>
    <row r="76" spans="1:16" x14ac:dyDescent="0.3">
      <c r="A76" t="str">
        <f>IF(ISBLANK(Display!A77),,Display!A77)</f>
        <v/>
      </c>
      <c r="B76" s="2" t="str">
        <f>IF($C76&gt;0,Display!I77,)</f>
        <v/>
      </c>
      <c r="C76" s="2" t="str">
        <f>IF(ISBLANK(Display!C77),"",Display!C77)</f>
        <v/>
      </c>
      <c r="D76" s="2" t="str">
        <f>IF(ISBLANK(Display!D77),"",Display!D77)</f>
        <v/>
      </c>
      <c r="E76" s="2" t="str">
        <f>IF(ISBLANK(Display!E77),"",Display!E77)</f>
        <v/>
      </c>
      <c r="F76" s="14">
        <f t="array" ref="F76">IF(ISBLANK(Display!J77),NULL,Display!J77)</f>
        <v>0</v>
      </c>
      <c r="G76" s="14">
        <f t="array" ref="G76">IF(ISBLANK(Display!K77),NULL,Display!K77)</f>
        <v>0</v>
      </c>
      <c r="H76" s="14">
        <f t="array" ref="H76">IF(ISBLANK(Display!L77),NULL,Display!L77)</f>
        <v>0</v>
      </c>
      <c r="I76" s="14">
        <f t="array" ref="I76">IF(ISBLANK(Display!M77),NULL,Display!M77)</f>
        <v>0</v>
      </c>
      <c r="J76" s="14">
        <f t="array" ref="J76">IF(ISBLANK(Display!N77),NULL,Display!N77)</f>
        <v>0</v>
      </c>
      <c r="K76" s="14">
        <f t="array" ref="K76">IF(ISBLANK(Display!O77),NULL,Display!O77)</f>
        <v>0</v>
      </c>
      <c r="L76" s="14">
        <f t="array" ref="L76">IF(ISBLANK(Display!P77),NULL,Display!P77)</f>
        <v>0</v>
      </c>
      <c r="M76" s="14">
        <f t="array" ref="M76">IF(ISBLANK(Display!Q77),NULL,Display!Q77)</f>
        <v>0</v>
      </c>
      <c r="N76" s="14">
        <f t="array" ref="N76">IF(ISBLANK(Display!R77),NULL,Display!R77)</f>
        <v>0</v>
      </c>
      <c r="O76" s="14">
        <f t="shared" si="19"/>
        <v>0</v>
      </c>
      <c r="P76" s="2" t="str">
        <f>IF(ISBLANK(Display!I77),"",Display!I77)</f>
        <v/>
      </c>
    </row>
    <row r="77" spans="1:16" x14ac:dyDescent="0.3">
      <c r="A77" t="str">
        <f>IF(ISBLANK(Display!A78),,Display!A78)</f>
        <v/>
      </c>
      <c r="B77" s="2" t="str">
        <f>IF($C77&gt;0,Display!I78,)</f>
        <v/>
      </c>
      <c r="C77" s="2" t="str">
        <f>IF(ISBLANK(Display!C78),"",Display!C78)</f>
        <v/>
      </c>
      <c r="D77" s="2" t="str">
        <f>IF(ISBLANK(Display!D78),"",Display!D78)</f>
        <v/>
      </c>
      <c r="E77" s="2" t="str">
        <f>IF(ISBLANK(Display!E78),"",Display!E78)</f>
        <v/>
      </c>
      <c r="F77" s="14">
        <f t="array" ref="F77">IF(ISBLANK(Display!J78),NULL,Display!J78)</f>
        <v>0</v>
      </c>
      <c r="G77" s="14">
        <f t="array" ref="G77">IF(ISBLANK(Display!K78),NULL,Display!K78)</f>
        <v>0</v>
      </c>
      <c r="H77" s="14">
        <f t="array" ref="H77">IF(ISBLANK(Display!L78),NULL,Display!L78)</f>
        <v>0</v>
      </c>
      <c r="I77" s="14">
        <f t="array" ref="I77">IF(ISBLANK(Display!M78),NULL,Display!M78)</f>
        <v>0</v>
      </c>
      <c r="J77" s="14">
        <f t="array" ref="J77">IF(ISBLANK(Display!N78),NULL,Display!N78)</f>
        <v>0</v>
      </c>
      <c r="K77" s="14">
        <f t="array" ref="K77">IF(ISBLANK(Display!O78),NULL,Display!O78)</f>
        <v>0</v>
      </c>
      <c r="L77" s="14">
        <f t="array" ref="L77">IF(ISBLANK(Display!P78),NULL,Display!P78)</f>
        <v>0</v>
      </c>
      <c r="M77" s="14">
        <f t="array" ref="M77">IF(ISBLANK(Display!Q78),NULL,Display!Q78)</f>
        <v>0</v>
      </c>
      <c r="N77" s="14">
        <f t="array" ref="N77">IF(ISBLANK(Display!R78),NULL,Display!R78)</f>
        <v>0</v>
      </c>
      <c r="O77" s="14">
        <f t="shared" si="19"/>
        <v>0</v>
      </c>
      <c r="P77" s="2" t="str">
        <f>IF(ISBLANK(Display!I78),"",Display!I78)</f>
        <v/>
      </c>
    </row>
    <row r="78" spans="1:16" x14ac:dyDescent="0.3">
      <c r="A78" t="str">
        <f>IF(ISBLANK(Display!A79),,Display!A79)</f>
        <v/>
      </c>
      <c r="B78" s="2" t="str">
        <f>IF($C78&gt;0,Display!I79,)</f>
        <v/>
      </c>
      <c r="C78" s="2" t="str">
        <f>IF(ISBLANK(Display!C79),"",Display!C79)</f>
        <v/>
      </c>
      <c r="D78" s="2" t="str">
        <f>IF(ISBLANK(Display!D79),"",Display!D79)</f>
        <v/>
      </c>
      <c r="E78" s="2" t="str">
        <f>IF(ISBLANK(Display!E79),"",Display!E79)</f>
        <v/>
      </c>
      <c r="F78" s="14">
        <f t="array" ref="F78">IF(ISBLANK(Display!J79),NULL,Display!J79)</f>
        <v>0</v>
      </c>
      <c r="G78" s="14">
        <f t="array" ref="G78">IF(ISBLANK(Display!K79),NULL,Display!K79)</f>
        <v>0</v>
      </c>
      <c r="H78" s="14">
        <f t="array" ref="H78">IF(ISBLANK(Display!L79),NULL,Display!L79)</f>
        <v>0</v>
      </c>
      <c r="I78" s="14">
        <f t="array" ref="I78">IF(ISBLANK(Display!M79),NULL,Display!M79)</f>
        <v>0</v>
      </c>
      <c r="J78" s="14">
        <f t="array" ref="J78">IF(ISBLANK(Display!N79),NULL,Display!N79)</f>
        <v>0</v>
      </c>
      <c r="K78" s="14">
        <f t="array" ref="K78">IF(ISBLANK(Display!O79),NULL,Display!O79)</f>
        <v>0</v>
      </c>
      <c r="L78" s="14">
        <f t="array" ref="L78">IF(ISBLANK(Display!P79),NULL,Display!P79)</f>
        <v>0</v>
      </c>
      <c r="M78" s="14">
        <f t="array" ref="M78">IF(ISBLANK(Display!Q79),NULL,Display!Q79)</f>
        <v>0</v>
      </c>
      <c r="N78" s="14">
        <f t="array" ref="N78">IF(ISBLANK(Display!R79),NULL,Display!R79)</f>
        <v>0</v>
      </c>
      <c r="O78" s="14">
        <f t="shared" si="19"/>
        <v>0</v>
      </c>
      <c r="P78" s="2" t="str">
        <f>IF(ISBLANK(Display!I79),"",Display!I79)</f>
        <v/>
      </c>
    </row>
    <row r="79" spans="1:16" x14ac:dyDescent="0.3">
      <c r="A79" t="str">
        <f>IF(ISBLANK(Display!A80),,Display!A80)</f>
        <v/>
      </c>
      <c r="B79" s="2" t="str">
        <f>IF($C79&gt;0,Display!I80,)</f>
        <v/>
      </c>
      <c r="C79" s="2" t="str">
        <f>IF(ISBLANK(Display!C80),"",Display!C80)</f>
        <v/>
      </c>
      <c r="D79" s="2" t="str">
        <f>IF(ISBLANK(Display!D80),"",Display!D80)</f>
        <v/>
      </c>
      <c r="E79" s="2" t="str">
        <f>IF(ISBLANK(Display!E80),"",Display!E80)</f>
        <v/>
      </c>
      <c r="F79" s="14">
        <f t="array" ref="F79">IF(ISBLANK(Display!J80),NULL,Display!J80)</f>
        <v>0</v>
      </c>
      <c r="G79" s="14">
        <f t="array" ref="G79">IF(ISBLANK(Display!K80),NULL,Display!K80)</f>
        <v>0</v>
      </c>
      <c r="H79" s="14">
        <f t="array" ref="H79">IF(ISBLANK(Display!L80),NULL,Display!L80)</f>
        <v>0</v>
      </c>
      <c r="I79" s="14">
        <f t="array" ref="I79">IF(ISBLANK(Display!M80),NULL,Display!M80)</f>
        <v>0</v>
      </c>
      <c r="J79" s="14">
        <f t="array" ref="J79">IF(ISBLANK(Display!N80),NULL,Display!N80)</f>
        <v>0</v>
      </c>
      <c r="K79" s="14">
        <f t="array" ref="K79">IF(ISBLANK(Display!O80),NULL,Display!O80)</f>
        <v>0</v>
      </c>
      <c r="L79" s="14">
        <f t="array" ref="L79">IF(ISBLANK(Display!P80),NULL,Display!P80)</f>
        <v>0</v>
      </c>
      <c r="M79" s="14">
        <f t="array" ref="M79">IF(ISBLANK(Display!Q80),NULL,Display!Q80)</f>
        <v>0</v>
      </c>
      <c r="N79" s="14">
        <f t="array" ref="N79">IF(ISBLANK(Display!R80),NULL,Display!R80)</f>
        <v>0</v>
      </c>
      <c r="O79" s="14">
        <f t="shared" si="19"/>
        <v>0</v>
      </c>
      <c r="P79" s="2" t="str">
        <f>IF(ISBLANK(Display!I80),"",Display!I80)</f>
        <v/>
      </c>
    </row>
    <row r="80" spans="1:16" x14ac:dyDescent="0.3">
      <c r="A80" t="str">
        <f>IF(ISBLANK(Display!A81),,Display!A81)</f>
        <v/>
      </c>
      <c r="B80" s="2" t="str">
        <f>IF($C80&gt;0,Display!I81,)</f>
        <v/>
      </c>
      <c r="C80" s="2" t="str">
        <f>IF(ISBLANK(Display!C81),"",Display!C81)</f>
        <v/>
      </c>
      <c r="D80" s="2" t="str">
        <f>IF(ISBLANK(Display!D81),"",Display!D81)</f>
        <v/>
      </c>
      <c r="E80" s="2" t="str">
        <f>IF(ISBLANK(Display!E81),"",Display!E81)</f>
        <v/>
      </c>
      <c r="F80" s="14">
        <f t="array" ref="F80">IF(ISBLANK(Display!J81),NULL,Display!J81)</f>
        <v>0</v>
      </c>
      <c r="G80" s="14">
        <f t="array" ref="G80">IF(ISBLANK(Display!K81),NULL,Display!K81)</f>
        <v>0</v>
      </c>
      <c r="H80" s="14">
        <f t="array" ref="H80">IF(ISBLANK(Display!L81),NULL,Display!L81)</f>
        <v>0</v>
      </c>
      <c r="I80" s="14">
        <f t="array" ref="I80">IF(ISBLANK(Display!M81),NULL,Display!M81)</f>
        <v>0</v>
      </c>
      <c r="J80" s="14">
        <f t="array" ref="J80">IF(ISBLANK(Display!N81),NULL,Display!N81)</f>
        <v>0</v>
      </c>
      <c r="K80" s="14">
        <f t="array" ref="K80">IF(ISBLANK(Display!O81),NULL,Display!O81)</f>
        <v>0</v>
      </c>
      <c r="L80" s="14">
        <f t="array" ref="L80">IF(ISBLANK(Display!P81),NULL,Display!P81)</f>
        <v>0</v>
      </c>
      <c r="M80" s="14">
        <f t="array" ref="M80">IF(ISBLANK(Display!Q81),NULL,Display!Q81)</f>
        <v>0</v>
      </c>
      <c r="N80" s="14">
        <f t="array" ref="N80">IF(ISBLANK(Display!R81),NULL,Display!R81)</f>
        <v>0</v>
      </c>
      <c r="O80" s="14">
        <f t="shared" si="19"/>
        <v>0</v>
      </c>
      <c r="P80" s="2" t="str">
        <f>IF(ISBLANK(Display!I81),"",Display!I81)</f>
        <v/>
      </c>
    </row>
    <row r="81" spans="1:16" x14ac:dyDescent="0.3">
      <c r="A81" t="str">
        <f>IF(ISBLANK(Display!A82),,Display!A82)</f>
        <v/>
      </c>
      <c r="B81" s="2" t="str">
        <f>IF($C81&gt;0,Display!I82,)</f>
        <v/>
      </c>
      <c r="C81" s="2" t="str">
        <f>IF(ISBLANK(Display!C82),"",Display!C82)</f>
        <v/>
      </c>
      <c r="D81" s="2" t="str">
        <f>IF(ISBLANK(Display!D82),"",Display!D82)</f>
        <v/>
      </c>
      <c r="E81" s="2" t="str">
        <f>IF(ISBLANK(Display!E82),"",Display!E82)</f>
        <v/>
      </c>
      <c r="F81" s="14">
        <f t="array" ref="F81">IF(ISBLANK(Display!J82),NULL,Display!J82)</f>
        <v>0</v>
      </c>
      <c r="G81" s="14">
        <f t="array" ref="G81">IF(ISBLANK(Display!K82),NULL,Display!K82)</f>
        <v>0</v>
      </c>
      <c r="H81" s="14">
        <f t="array" ref="H81">IF(ISBLANK(Display!L82),NULL,Display!L82)</f>
        <v>0</v>
      </c>
      <c r="I81" s="14">
        <f t="array" ref="I81">IF(ISBLANK(Display!M82),NULL,Display!M82)</f>
        <v>0</v>
      </c>
      <c r="J81" s="14">
        <f t="array" ref="J81">IF(ISBLANK(Display!N82),NULL,Display!N82)</f>
        <v>0</v>
      </c>
      <c r="K81" s="14">
        <f t="array" ref="K81">IF(ISBLANK(Display!O82),NULL,Display!O82)</f>
        <v>0</v>
      </c>
      <c r="L81" s="14">
        <f t="array" ref="L81">IF(ISBLANK(Display!P82),NULL,Display!P82)</f>
        <v>0</v>
      </c>
      <c r="M81" s="14">
        <f t="array" ref="M81">IF(ISBLANK(Display!Q82),NULL,Display!Q82)</f>
        <v>0</v>
      </c>
      <c r="N81" s="14">
        <f t="array" ref="N81">IF(ISBLANK(Display!R82),NULL,Display!R82)</f>
        <v>0</v>
      </c>
      <c r="O81" s="14">
        <f t="shared" si="19"/>
        <v>0</v>
      </c>
      <c r="P81" s="2" t="str">
        <f>IF(ISBLANK(Display!I82),"",Display!I82)</f>
        <v/>
      </c>
    </row>
    <row r="82" spans="1:16" x14ac:dyDescent="0.3">
      <c r="A82" t="str">
        <f>IF(ISBLANK(Display!A83),,Display!A83)</f>
        <v/>
      </c>
      <c r="B82" s="2" t="str">
        <f>IF($C82&gt;0,Display!I83,)</f>
        <v/>
      </c>
      <c r="C82" s="2" t="str">
        <f>IF(ISBLANK(Display!C83),"",Display!C83)</f>
        <v/>
      </c>
      <c r="D82" s="2" t="str">
        <f>IF(ISBLANK(Display!D83),"",Display!D83)</f>
        <v/>
      </c>
      <c r="E82" s="2" t="str">
        <f>IF(ISBLANK(Display!E83),"",Display!E83)</f>
        <v/>
      </c>
      <c r="F82" s="14">
        <f t="array" ref="F82">IF(ISBLANK(Display!J83),NULL,Display!J83)</f>
        <v>0</v>
      </c>
      <c r="G82" s="14">
        <f t="array" ref="G82">IF(ISBLANK(Display!K83),NULL,Display!K83)</f>
        <v>0</v>
      </c>
      <c r="H82" s="14">
        <f t="array" ref="H82">IF(ISBLANK(Display!L83),NULL,Display!L83)</f>
        <v>0</v>
      </c>
      <c r="I82" s="14">
        <f t="array" ref="I82">IF(ISBLANK(Display!M83),NULL,Display!M83)</f>
        <v>0</v>
      </c>
      <c r="J82" s="14">
        <f t="array" ref="J82">IF(ISBLANK(Display!N83),NULL,Display!N83)</f>
        <v>0</v>
      </c>
      <c r="K82" s="14">
        <f t="array" ref="K82">IF(ISBLANK(Display!O83),NULL,Display!O83)</f>
        <v>0</v>
      </c>
      <c r="L82" s="14">
        <f t="array" ref="L82">IF(ISBLANK(Display!P83),NULL,Display!P83)</f>
        <v>0</v>
      </c>
      <c r="M82" s="14">
        <f t="array" ref="M82">IF(ISBLANK(Display!Q83),NULL,Display!Q83)</f>
        <v>0</v>
      </c>
      <c r="N82" s="14">
        <f t="array" ref="N82">IF(ISBLANK(Display!R83),NULL,Display!R83)</f>
        <v>0</v>
      </c>
      <c r="O82" s="14">
        <f t="shared" si="19"/>
        <v>0</v>
      </c>
      <c r="P82" s="2" t="str">
        <f>IF(ISBLANK(Display!I83),"",Display!I83)</f>
        <v/>
      </c>
    </row>
    <row r="83" spans="1:16" x14ac:dyDescent="0.3">
      <c r="A83" t="str">
        <f>IF(ISBLANK(Display!A84),,Display!A84)</f>
        <v/>
      </c>
      <c r="B83" s="2" t="str">
        <f>IF($C83&gt;0,Display!I84,)</f>
        <v/>
      </c>
      <c r="C83" s="2" t="str">
        <f>IF(ISBLANK(Display!C84),"",Display!C84)</f>
        <v/>
      </c>
      <c r="D83" s="2" t="str">
        <f>IF(ISBLANK(Display!D84),"",Display!D84)</f>
        <v/>
      </c>
      <c r="E83" s="2" t="str">
        <f>IF(ISBLANK(Display!E84),"",Display!E84)</f>
        <v/>
      </c>
      <c r="F83" s="14">
        <f t="array" ref="F83">IF(ISBLANK(Display!J84),NULL,Display!J84)</f>
        <v>0</v>
      </c>
      <c r="G83" s="14">
        <f t="array" ref="G83">IF(ISBLANK(Display!K84),NULL,Display!K84)</f>
        <v>0</v>
      </c>
      <c r="H83" s="14">
        <f t="array" ref="H83">IF(ISBLANK(Display!L84),NULL,Display!L84)</f>
        <v>0</v>
      </c>
      <c r="I83" s="14">
        <f t="array" ref="I83">IF(ISBLANK(Display!M84),NULL,Display!M84)</f>
        <v>0</v>
      </c>
      <c r="J83" s="14">
        <f t="array" ref="J83">IF(ISBLANK(Display!N84),NULL,Display!N84)</f>
        <v>0</v>
      </c>
      <c r="K83" s="14">
        <f t="array" ref="K83">IF(ISBLANK(Display!O84),NULL,Display!O84)</f>
        <v>0</v>
      </c>
      <c r="L83" s="14">
        <f t="array" ref="L83">IF(ISBLANK(Display!P84),NULL,Display!P84)</f>
        <v>0</v>
      </c>
      <c r="M83" s="14">
        <f t="array" ref="M83">IF(ISBLANK(Display!Q84),NULL,Display!Q84)</f>
        <v>0</v>
      </c>
      <c r="N83" s="14">
        <f t="array" ref="N83">IF(ISBLANK(Display!R84),NULL,Display!R84)</f>
        <v>0</v>
      </c>
      <c r="O83" s="14">
        <f t="shared" si="19"/>
        <v>0</v>
      </c>
      <c r="P83" s="2" t="str">
        <f>IF(ISBLANK(Display!I84),"",Display!I84)</f>
        <v/>
      </c>
    </row>
    <row r="84" spans="1:16" x14ac:dyDescent="0.3">
      <c r="A84" t="str">
        <f>IF(ISBLANK(Display!A85),,Display!A85)</f>
        <v/>
      </c>
      <c r="B84" s="2" t="str">
        <f>IF($C84&gt;0,Display!I85,)</f>
        <v/>
      </c>
      <c r="C84" s="2" t="str">
        <f>IF(ISBLANK(Display!C85),"",Display!C85)</f>
        <v/>
      </c>
      <c r="D84" s="2" t="str">
        <f>IF(ISBLANK(Display!D85),"",Display!D85)</f>
        <v/>
      </c>
      <c r="E84" s="2" t="str">
        <f>IF(ISBLANK(Display!E85),"",Display!E85)</f>
        <v/>
      </c>
      <c r="F84" s="14">
        <f t="array" ref="F84">IF(ISBLANK(Display!J85),NULL,Display!J85)</f>
        <v>0</v>
      </c>
      <c r="G84" s="14">
        <f t="array" ref="G84">IF(ISBLANK(Display!K85),NULL,Display!K85)</f>
        <v>0</v>
      </c>
      <c r="H84" s="14">
        <f t="array" ref="H84">IF(ISBLANK(Display!L85),NULL,Display!L85)</f>
        <v>0</v>
      </c>
      <c r="I84" s="14">
        <f t="array" ref="I84">IF(ISBLANK(Display!M85),NULL,Display!M85)</f>
        <v>0</v>
      </c>
      <c r="J84" s="14">
        <f t="array" ref="J84">IF(ISBLANK(Display!N85),NULL,Display!N85)</f>
        <v>0</v>
      </c>
      <c r="K84" s="14">
        <f t="array" ref="K84">IF(ISBLANK(Display!O85),NULL,Display!O85)</f>
        <v>0</v>
      </c>
      <c r="L84" s="14">
        <f t="array" ref="L84">IF(ISBLANK(Display!P85),NULL,Display!P85)</f>
        <v>0</v>
      </c>
      <c r="M84" s="14">
        <f t="array" ref="M84">IF(ISBLANK(Display!Q85),NULL,Display!Q85)</f>
        <v>0</v>
      </c>
      <c r="N84" s="14">
        <f t="array" ref="N84">IF(ISBLANK(Display!R85),NULL,Display!R85)</f>
        <v>0</v>
      </c>
      <c r="O84" s="14">
        <f t="shared" si="19"/>
        <v>0</v>
      </c>
      <c r="P84" s="2" t="str">
        <f>IF(ISBLANK(Display!I85),"",Display!I85)</f>
        <v/>
      </c>
    </row>
    <row r="85" spans="1:16" x14ac:dyDescent="0.3">
      <c r="A85" t="str">
        <f>IF(ISBLANK(Display!A86),,Display!A86)</f>
        <v/>
      </c>
      <c r="B85" s="2" t="str">
        <f>IF($C85&gt;0,Display!I86,)</f>
        <v/>
      </c>
      <c r="C85" s="2" t="str">
        <f>IF(ISBLANK(Display!C86),"",Display!C86)</f>
        <v/>
      </c>
      <c r="D85" s="2" t="str">
        <f>IF(ISBLANK(Display!D86),"",Display!D86)</f>
        <v/>
      </c>
      <c r="E85" s="2" t="str">
        <f>IF(ISBLANK(Display!E86),"",Display!E86)</f>
        <v/>
      </c>
      <c r="F85" s="14">
        <f t="array" ref="F85">IF(ISBLANK(Display!J86),NULL,Display!J86)</f>
        <v>0</v>
      </c>
      <c r="G85" s="14">
        <f t="array" ref="G85">IF(ISBLANK(Display!K86),NULL,Display!K86)</f>
        <v>0</v>
      </c>
      <c r="H85" s="14">
        <f t="array" ref="H85">IF(ISBLANK(Display!L86),NULL,Display!L86)</f>
        <v>0</v>
      </c>
      <c r="I85" s="14">
        <f t="array" ref="I85">IF(ISBLANK(Display!M86),NULL,Display!M86)</f>
        <v>0</v>
      </c>
      <c r="J85" s="14">
        <f t="array" ref="J85">IF(ISBLANK(Display!N86),NULL,Display!N86)</f>
        <v>0</v>
      </c>
      <c r="K85" s="14">
        <f t="array" ref="K85">IF(ISBLANK(Display!O86),NULL,Display!O86)</f>
        <v>0</v>
      </c>
      <c r="L85" s="14">
        <f t="array" ref="L85">IF(ISBLANK(Display!P86),NULL,Display!P86)</f>
        <v>0</v>
      </c>
      <c r="M85" s="14">
        <f t="array" ref="M85">IF(ISBLANK(Display!Q86),NULL,Display!Q86)</f>
        <v>0</v>
      </c>
      <c r="N85" s="14">
        <f t="array" ref="N85">IF(ISBLANK(Display!R86),NULL,Display!R86)</f>
        <v>0</v>
      </c>
      <c r="O85" s="14">
        <f t="shared" si="19"/>
        <v>0</v>
      </c>
      <c r="P85" s="2" t="str">
        <f>IF(ISBLANK(Display!I86),"",Display!I86)</f>
        <v/>
      </c>
    </row>
    <row r="86" spans="1:16" x14ac:dyDescent="0.3">
      <c r="A86" t="str">
        <f>IF(ISBLANK(Display!A87),,Display!A87)</f>
        <v/>
      </c>
      <c r="B86" s="2" t="str">
        <f>IF($C86&gt;0,Display!I87,)</f>
        <v/>
      </c>
      <c r="C86" s="2" t="str">
        <f>IF(ISBLANK(Display!C87),"",Display!C87)</f>
        <v/>
      </c>
      <c r="D86" s="2" t="str">
        <f>IF(ISBLANK(Display!D87),"",Display!D87)</f>
        <v/>
      </c>
      <c r="E86" s="2" t="str">
        <f>IF(ISBLANK(Display!E87),"",Display!E87)</f>
        <v/>
      </c>
      <c r="F86" s="14">
        <f t="array" ref="F86">IF(ISBLANK(Display!J87),NULL,Display!J87)</f>
        <v>0</v>
      </c>
      <c r="G86" s="14">
        <f t="array" ref="G86">IF(ISBLANK(Display!K87),NULL,Display!K87)</f>
        <v>0</v>
      </c>
      <c r="H86" s="14">
        <f t="array" ref="H86">IF(ISBLANK(Display!L87),NULL,Display!L87)</f>
        <v>0</v>
      </c>
      <c r="I86" s="14">
        <f t="array" ref="I86">IF(ISBLANK(Display!M87),NULL,Display!M87)</f>
        <v>0</v>
      </c>
      <c r="J86" s="14">
        <f t="array" ref="J86">IF(ISBLANK(Display!N87),NULL,Display!N87)</f>
        <v>0</v>
      </c>
      <c r="K86" s="14">
        <f t="array" ref="K86">IF(ISBLANK(Display!O87),NULL,Display!O87)</f>
        <v>0</v>
      </c>
      <c r="L86" s="14">
        <f t="array" ref="L86">IF(ISBLANK(Display!P87),NULL,Display!P87)</f>
        <v>0</v>
      </c>
      <c r="M86" s="14">
        <f t="array" ref="M86">IF(ISBLANK(Display!Q87),NULL,Display!Q87)</f>
        <v>0</v>
      </c>
      <c r="N86" s="14">
        <f t="array" ref="N86">IF(ISBLANK(Display!R87),NULL,Display!R87)</f>
        <v>0</v>
      </c>
      <c r="O86" s="14">
        <f t="shared" si="19"/>
        <v>0</v>
      </c>
      <c r="P86" s="2" t="str">
        <f>IF(ISBLANK(Display!I87),"",Display!I87)</f>
        <v/>
      </c>
    </row>
    <row r="87" spans="1:16" x14ac:dyDescent="0.3">
      <c r="A87" t="str">
        <f>IF(ISBLANK(Display!A88),,Display!A88)</f>
        <v/>
      </c>
      <c r="B87" s="2" t="str">
        <f>IF($C87&gt;0,Display!I88,)</f>
        <v/>
      </c>
      <c r="C87" s="2" t="str">
        <f>IF(ISBLANK(Display!C88),"",Display!C88)</f>
        <v/>
      </c>
      <c r="D87" s="2" t="str">
        <f>IF(ISBLANK(Display!D88),"",Display!D88)</f>
        <v/>
      </c>
      <c r="E87" s="2" t="str">
        <f>IF(ISBLANK(Display!E88),"",Display!E88)</f>
        <v/>
      </c>
      <c r="F87" s="14">
        <f t="array" ref="F87">IF(ISBLANK(Display!J88),NULL,Display!J88)</f>
        <v>0</v>
      </c>
      <c r="G87" s="14">
        <f t="array" ref="G87">IF(ISBLANK(Display!K88),NULL,Display!K88)</f>
        <v>0</v>
      </c>
      <c r="H87" s="14">
        <f t="array" ref="H87">IF(ISBLANK(Display!L88),NULL,Display!L88)</f>
        <v>0</v>
      </c>
      <c r="I87" s="14">
        <f t="array" ref="I87">IF(ISBLANK(Display!M88),NULL,Display!M88)</f>
        <v>0</v>
      </c>
      <c r="J87" s="14">
        <f t="array" ref="J87">IF(ISBLANK(Display!N88),NULL,Display!N88)</f>
        <v>0</v>
      </c>
      <c r="K87" s="14">
        <f t="array" ref="K87">IF(ISBLANK(Display!O88),NULL,Display!O88)</f>
        <v>0</v>
      </c>
      <c r="L87" s="14">
        <f t="array" ref="L87">IF(ISBLANK(Display!P88),NULL,Display!P88)</f>
        <v>0</v>
      </c>
      <c r="M87" s="14">
        <f t="array" ref="M87">IF(ISBLANK(Display!Q88),NULL,Display!Q88)</f>
        <v>0</v>
      </c>
      <c r="N87" s="14">
        <f t="array" ref="N87">IF(ISBLANK(Display!R88),NULL,Display!R88)</f>
        <v>0</v>
      </c>
      <c r="O87" s="14">
        <f t="shared" si="19"/>
        <v>0</v>
      </c>
      <c r="P87" s="2" t="str">
        <f>IF(ISBLANK(Display!I88),"",Display!I88)</f>
        <v/>
      </c>
    </row>
    <row r="88" spans="1:16" x14ac:dyDescent="0.3">
      <c r="A88" t="str">
        <f>IF(ISBLANK(Display!A89),,Display!A89)</f>
        <v/>
      </c>
      <c r="B88" s="2" t="str">
        <f>IF($C88&gt;0,Display!I89,)</f>
        <v/>
      </c>
      <c r="C88" s="2" t="str">
        <f>IF(ISBLANK(Display!C89),"",Display!C89)</f>
        <v/>
      </c>
      <c r="D88" s="2" t="str">
        <f>IF(ISBLANK(Display!D89),"",Display!D89)</f>
        <v/>
      </c>
      <c r="E88" s="2" t="str">
        <f>IF(ISBLANK(Display!E89),"",Display!E89)</f>
        <v/>
      </c>
      <c r="F88" s="14">
        <f t="array" ref="F88">IF(ISBLANK(Display!J89),NULL,Display!J89)</f>
        <v>0</v>
      </c>
      <c r="G88" s="14">
        <f t="array" ref="G88">IF(ISBLANK(Display!K89),NULL,Display!K89)</f>
        <v>0</v>
      </c>
      <c r="H88" s="14">
        <f t="array" ref="H88">IF(ISBLANK(Display!L89),NULL,Display!L89)</f>
        <v>0</v>
      </c>
      <c r="I88" s="14">
        <f t="array" ref="I88">IF(ISBLANK(Display!M89),NULL,Display!M89)</f>
        <v>0</v>
      </c>
      <c r="J88" s="14">
        <f t="array" ref="J88">IF(ISBLANK(Display!N89),NULL,Display!N89)</f>
        <v>0</v>
      </c>
      <c r="K88" s="14">
        <f t="array" ref="K88">IF(ISBLANK(Display!O89),NULL,Display!O89)</f>
        <v>0</v>
      </c>
      <c r="L88" s="14">
        <f t="array" ref="L88">IF(ISBLANK(Display!P89),NULL,Display!P89)</f>
        <v>0</v>
      </c>
      <c r="M88" s="14">
        <f t="array" ref="M88">IF(ISBLANK(Display!Q89),NULL,Display!Q89)</f>
        <v>0</v>
      </c>
      <c r="N88" s="14">
        <f t="array" ref="N88">IF(ISBLANK(Display!R89),NULL,Display!R89)</f>
        <v>0</v>
      </c>
      <c r="O88" s="14">
        <f t="shared" si="19"/>
        <v>0</v>
      </c>
      <c r="P88" s="2" t="str">
        <f>IF(ISBLANK(Display!I89),"",Display!I89)</f>
        <v/>
      </c>
    </row>
    <row r="89" spans="1:16" x14ac:dyDescent="0.3">
      <c r="A89" t="str">
        <f>IF(ISBLANK(Display!A90),,Display!A90)</f>
        <v/>
      </c>
      <c r="B89" s="2" t="str">
        <f>IF($C89&gt;0,Display!I90,)</f>
        <v/>
      </c>
      <c r="C89" s="2" t="str">
        <f>IF(ISBLANK(Display!C90),"",Display!C90)</f>
        <v/>
      </c>
      <c r="D89" s="2" t="str">
        <f>IF(ISBLANK(Display!D90),"",Display!D90)</f>
        <v/>
      </c>
      <c r="E89" s="2" t="str">
        <f>IF(ISBLANK(Display!E90),"",Display!E90)</f>
        <v/>
      </c>
      <c r="F89" s="14">
        <f t="array" ref="F89">IF(ISBLANK(Display!J90),NULL,Display!J90)</f>
        <v>0</v>
      </c>
      <c r="G89" s="14">
        <f t="array" ref="G89">IF(ISBLANK(Display!K90),NULL,Display!K90)</f>
        <v>0</v>
      </c>
      <c r="H89" s="14">
        <f t="array" ref="H89">IF(ISBLANK(Display!L90),NULL,Display!L90)</f>
        <v>0</v>
      </c>
      <c r="I89" s="14">
        <f t="array" ref="I89">IF(ISBLANK(Display!M90),NULL,Display!M90)</f>
        <v>0</v>
      </c>
      <c r="J89" s="14">
        <f t="array" ref="J89">IF(ISBLANK(Display!N90),NULL,Display!N90)</f>
        <v>0</v>
      </c>
      <c r="K89" s="14">
        <f t="array" ref="K89">IF(ISBLANK(Display!O90),NULL,Display!O90)</f>
        <v>0</v>
      </c>
      <c r="L89" s="14">
        <f t="array" ref="L89">IF(ISBLANK(Display!P90),NULL,Display!P90)</f>
        <v>0</v>
      </c>
      <c r="M89" s="14">
        <f t="array" ref="M89">IF(ISBLANK(Display!Q90),NULL,Display!Q90)</f>
        <v>0</v>
      </c>
      <c r="N89" s="14">
        <f t="array" ref="N89">IF(ISBLANK(Display!R90),NULL,Display!R90)</f>
        <v>0</v>
      </c>
      <c r="O89" s="14">
        <f t="shared" si="19"/>
        <v>0</v>
      </c>
      <c r="P89" s="2" t="str">
        <f>IF(ISBLANK(Display!I90),"",Display!I90)</f>
        <v/>
      </c>
    </row>
    <row r="90" spans="1:16" x14ac:dyDescent="0.3">
      <c r="A90" t="str">
        <f>IF(ISBLANK(Display!A91),,Display!A91)</f>
        <v/>
      </c>
      <c r="B90" s="2" t="str">
        <f>IF($C90&gt;0,Display!I91,)</f>
        <v/>
      </c>
      <c r="C90" s="2" t="str">
        <f>IF(ISBLANK(Display!C91),"",Display!C91)</f>
        <v/>
      </c>
      <c r="D90" s="2" t="str">
        <f>IF(ISBLANK(Display!D91),"",Display!D91)</f>
        <v/>
      </c>
      <c r="E90" s="2" t="str">
        <f>IF(ISBLANK(Display!E91),"",Display!E91)</f>
        <v/>
      </c>
      <c r="F90" s="14">
        <f t="array" ref="F90">IF(ISBLANK(Display!J91),NULL,Display!J91)</f>
        <v>0</v>
      </c>
      <c r="G90" s="14">
        <f t="array" ref="G90">IF(ISBLANK(Display!K91),NULL,Display!K91)</f>
        <v>0</v>
      </c>
      <c r="H90" s="14">
        <f t="array" ref="H90">IF(ISBLANK(Display!L91),NULL,Display!L91)</f>
        <v>0</v>
      </c>
      <c r="I90" s="14">
        <f t="array" ref="I90">IF(ISBLANK(Display!M91),NULL,Display!M91)</f>
        <v>0</v>
      </c>
      <c r="J90" s="14">
        <f t="array" ref="J90">IF(ISBLANK(Display!N91),NULL,Display!N91)</f>
        <v>0</v>
      </c>
      <c r="K90" s="14">
        <f t="array" ref="K90">IF(ISBLANK(Display!O91),NULL,Display!O91)</f>
        <v>0</v>
      </c>
      <c r="L90" s="14">
        <f t="array" ref="L90">IF(ISBLANK(Display!P91),NULL,Display!P91)</f>
        <v>0</v>
      </c>
      <c r="M90" s="14">
        <f t="array" ref="M90">IF(ISBLANK(Display!Q91),NULL,Display!Q91)</f>
        <v>0</v>
      </c>
      <c r="N90" s="14">
        <f t="array" ref="N90">IF(ISBLANK(Display!R91),NULL,Display!R91)</f>
        <v>0</v>
      </c>
      <c r="O90" s="14">
        <f t="shared" si="19"/>
        <v>0</v>
      </c>
      <c r="P90" s="2" t="str">
        <f>IF(ISBLANK(Display!I91),"",Display!I91)</f>
        <v/>
      </c>
    </row>
    <row r="91" spans="1:16" x14ac:dyDescent="0.3">
      <c r="A91" t="str">
        <f>IF(ISBLANK(Display!A92),,Display!A92)</f>
        <v/>
      </c>
      <c r="B91" s="2" t="str">
        <f>IF($C91&gt;0,Display!I92,)</f>
        <v/>
      </c>
      <c r="C91" s="2" t="str">
        <f>IF(ISBLANK(Display!C92),"",Display!C92)</f>
        <v/>
      </c>
      <c r="D91" s="2" t="str">
        <f>IF(ISBLANK(Display!D92),"",Display!D92)</f>
        <v/>
      </c>
      <c r="E91" s="2" t="str">
        <f>IF(ISBLANK(Display!E92),"",Display!E92)</f>
        <v/>
      </c>
      <c r="F91" s="14">
        <f t="array" ref="F91">IF(ISBLANK(Display!J92),NULL,Display!J92)</f>
        <v>0</v>
      </c>
      <c r="G91" s="14">
        <f t="array" ref="G91">IF(ISBLANK(Display!K92),NULL,Display!K92)</f>
        <v>0</v>
      </c>
      <c r="H91" s="14">
        <f t="array" ref="H91">IF(ISBLANK(Display!L92),NULL,Display!L92)</f>
        <v>0</v>
      </c>
      <c r="I91" s="14">
        <f t="array" ref="I91">IF(ISBLANK(Display!M92),NULL,Display!M92)</f>
        <v>0</v>
      </c>
      <c r="J91" s="14">
        <f t="array" ref="J91">IF(ISBLANK(Display!N92),NULL,Display!N92)</f>
        <v>0</v>
      </c>
      <c r="K91" s="14">
        <f t="array" ref="K91">IF(ISBLANK(Display!O92),NULL,Display!O92)</f>
        <v>0</v>
      </c>
      <c r="L91" s="14">
        <f t="array" ref="L91">IF(ISBLANK(Display!P92),NULL,Display!P92)</f>
        <v>0</v>
      </c>
      <c r="M91" s="14">
        <f t="array" ref="M91">IF(ISBLANK(Display!Q92),NULL,Display!Q92)</f>
        <v>0</v>
      </c>
      <c r="N91" s="14">
        <f t="array" ref="N91">IF(ISBLANK(Display!R92),NULL,Display!R92)</f>
        <v>0</v>
      </c>
      <c r="O91" s="14">
        <f t="shared" si="19"/>
        <v>0</v>
      </c>
      <c r="P91" s="2" t="str">
        <f>IF(ISBLANK(Display!I92),"",Display!I92)</f>
        <v/>
      </c>
    </row>
    <row r="92" spans="1:16" x14ac:dyDescent="0.3">
      <c r="A92" t="str">
        <f>IF(ISBLANK(Display!A93),,Display!A93)</f>
        <v/>
      </c>
      <c r="B92" s="2" t="str">
        <f>IF($C92&gt;0,Display!I93,)</f>
        <v/>
      </c>
      <c r="C92" s="2" t="str">
        <f>IF(ISBLANK(Display!C93),"",Display!C93)</f>
        <v/>
      </c>
      <c r="D92" s="2" t="str">
        <f>IF(ISBLANK(Display!D93),"",Display!D93)</f>
        <v/>
      </c>
      <c r="E92" s="2" t="str">
        <f>IF(ISBLANK(Display!E93),"",Display!E93)</f>
        <v/>
      </c>
      <c r="F92" s="14">
        <f t="array" ref="F92">IF(ISBLANK(Display!J93),NULL,Display!J93)</f>
        <v>0</v>
      </c>
      <c r="G92" s="14">
        <f t="array" ref="G92">IF(ISBLANK(Display!K93),NULL,Display!K93)</f>
        <v>0</v>
      </c>
      <c r="H92" s="14">
        <f t="array" ref="H92">IF(ISBLANK(Display!L93),NULL,Display!L93)</f>
        <v>0</v>
      </c>
      <c r="I92" s="14">
        <f t="array" ref="I92">IF(ISBLANK(Display!M93),NULL,Display!M93)</f>
        <v>0</v>
      </c>
      <c r="J92" s="14">
        <f t="array" ref="J92">IF(ISBLANK(Display!N93),NULL,Display!N93)</f>
        <v>0</v>
      </c>
      <c r="K92" s="14">
        <f t="array" ref="K92">IF(ISBLANK(Display!O93),NULL,Display!O93)</f>
        <v>0</v>
      </c>
      <c r="L92" s="14">
        <f t="array" ref="L92">IF(ISBLANK(Display!P93),NULL,Display!P93)</f>
        <v>0</v>
      </c>
      <c r="M92" s="14">
        <f t="array" ref="M92">IF(ISBLANK(Display!Q93),NULL,Display!Q93)</f>
        <v>0</v>
      </c>
      <c r="N92" s="14">
        <f t="array" ref="N92">IF(ISBLANK(Display!R93),NULL,Display!R93)</f>
        <v>0</v>
      </c>
      <c r="O92" s="14">
        <f t="shared" si="19"/>
        <v>0</v>
      </c>
      <c r="P92" s="2" t="str">
        <f>IF(ISBLANK(Display!I93),"",Display!I93)</f>
        <v/>
      </c>
    </row>
    <row r="93" spans="1:16" x14ac:dyDescent="0.3">
      <c r="A93" t="str">
        <f>IF(ISBLANK(Display!A94),,Display!A94)</f>
        <v/>
      </c>
      <c r="B93" s="2" t="str">
        <f>IF($C93&gt;0,Display!I94,)</f>
        <v/>
      </c>
      <c r="C93" s="2" t="str">
        <f>IF(ISBLANK(Display!C94),"",Display!C94)</f>
        <v/>
      </c>
      <c r="D93" s="2" t="str">
        <f>IF(ISBLANK(Display!D94),"",Display!D94)</f>
        <v/>
      </c>
      <c r="E93" s="2" t="str">
        <f>IF(ISBLANK(Display!E94),"",Display!E94)</f>
        <v/>
      </c>
      <c r="F93" s="14">
        <f t="array" ref="F93">IF(ISBLANK(Display!J94),NULL,Display!J94)</f>
        <v>0</v>
      </c>
      <c r="G93" s="14">
        <f t="array" ref="G93">IF(ISBLANK(Display!K94),NULL,Display!K94)</f>
        <v>0</v>
      </c>
      <c r="H93" s="14">
        <f t="array" ref="H93">IF(ISBLANK(Display!L94),NULL,Display!L94)</f>
        <v>0</v>
      </c>
      <c r="I93" s="14">
        <f t="array" ref="I93">IF(ISBLANK(Display!M94),NULL,Display!M94)</f>
        <v>0</v>
      </c>
      <c r="J93" s="14">
        <f t="array" ref="J93">IF(ISBLANK(Display!N94),NULL,Display!N94)</f>
        <v>0</v>
      </c>
      <c r="K93" s="14">
        <f t="array" ref="K93">IF(ISBLANK(Display!O94),NULL,Display!O94)</f>
        <v>0</v>
      </c>
      <c r="L93" s="14">
        <f t="array" ref="L93">IF(ISBLANK(Display!P94),NULL,Display!P94)</f>
        <v>0</v>
      </c>
      <c r="M93" s="14">
        <f t="array" ref="M93">IF(ISBLANK(Display!Q94),NULL,Display!Q94)</f>
        <v>0</v>
      </c>
      <c r="N93" s="14">
        <f t="array" ref="N93">IF(ISBLANK(Display!R94),NULL,Display!R94)</f>
        <v>0</v>
      </c>
      <c r="O93" s="14">
        <f t="shared" si="19"/>
        <v>0</v>
      </c>
      <c r="P93" s="2" t="str">
        <f>IF(ISBLANK(Display!I94),"",Display!I94)</f>
        <v/>
      </c>
    </row>
    <row r="94" spans="1:16" x14ac:dyDescent="0.3">
      <c r="A94" t="str">
        <f>IF(ISBLANK(Display!A95),,Display!A95)</f>
        <v/>
      </c>
      <c r="B94" s="2" t="str">
        <f>IF($C94&gt;0,Display!I95,)</f>
        <v/>
      </c>
      <c r="C94" s="2" t="str">
        <f>IF(ISBLANK(Display!C95),"",Display!C95)</f>
        <v/>
      </c>
      <c r="D94" s="2" t="str">
        <f>IF(ISBLANK(Display!D95),"",Display!D95)</f>
        <v/>
      </c>
      <c r="E94" s="2" t="str">
        <f>IF(ISBLANK(Display!E95),"",Display!E95)</f>
        <v/>
      </c>
      <c r="F94" s="14">
        <f t="array" ref="F94">IF(ISBLANK(Display!J95),NULL,Display!J95)</f>
        <v>0</v>
      </c>
      <c r="G94" s="14">
        <f t="array" ref="G94">IF(ISBLANK(Display!K95),NULL,Display!K95)</f>
        <v>0</v>
      </c>
      <c r="H94" s="14">
        <f t="array" ref="H94">IF(ISBLANK(Display!L95),NULL,Display!L95)</f>
        <v>0</v>
      </c>
      <c r="I94" s="14">
        <f t="array" ref="I94">IF(ISBLANK(Display!M95),NULL,Display!M95)</f>
        <v>0</v>
      </c>
      <c r="J94" s="14">
        <f t="array" ref="J94">IF(ISBLANK(Display!N95),NULL,Display!N95)</f>
        <v>0</v>
      </c>
      <c r="K94" s="14">
        <f t="array" ref="K94">IF(ISBLANK(Display!O95),NULL,Display!O95)</f>
        <v>0</v>
      </c>
      <c r="L94" s="14">
        <f t="array" ref="L94">IF(ISBLANK(Display!P95),NULL,Display!P95)</f>
        <v>0</v>
      </c>
      <c r="M94" s="14">
        <f t="array" ref="M94">IF(ISBLANK(Display!Q95),NULL,Display!Q95)</f>
        <v>0</v>
      </c>
      <c r="N94" s="14">
        <f t="array" ref="N94">IF(ISBLANK(Display!R95),NULL,Display!R95)</f>
        <v>0</v>
      </c>
      <c r="O94" s="14">
        <f t="shared" si="19"/>
        <v>0</v>
      </c>
      <c r="P94" s="2" t="str">
        <f>IF(ISBLANK(Display!I95),"",Display!I95)</f>
        <v/>
      </c>
    </row>
    <row r="95" spans="1:16" x14ac:dyDescent="0.3">
      <c r="A95" t="str">
        <f>IF(ISBLANK(Display!A96),,Display!A96)</f>
        <v/>
      </c>
      <c r="B95" s="2" t="str">
        <f>IF($C95&gt;0,Display!I96,)</f>
        <v/>
      </c>
      <c r="C95" s="2" t="str">
        <f>IF(ISBLANK(Display!C96),"",Display!C96)</f>
        <v/>
      </c>
      <c r="D95" s="2" t="str">
        <f>IF(ISBLANK(Display!D96),"",Display!D96)</f>
        <v/>
      </c>
      <c r="E95" s="2" t="str">
        <f>IF(ISBLANK(Display!E96),"",Display!E96)</f>
        <v/>
      </c>
      <c r="F95" s="14">
        <f t="array" ref="F95">IF(ISBLANK(Display!J96),NULL,Display!J96)</f>
        <v>0</v>
      </c>
      <c r="G95" s="14">
        <f t="array" ref="G95">IF(ISBLANK(Display!K96),NULL,Display!K96)</f>
        <v>0</v>
      </c>
      <c r="H95" s="14">
        <f t="array" ref="H95">IF(ISBLANK(Display!L96),NULL,Display!L96)</f>
        <v>0</v>
      </c>
      <c r="I95" s="14">
        <f t="array" ref="I95">IF(ISBLANK(Display!M96),NULL,Display!M96)</f>
        <v>0</v>
      </c>
      <c r="J95" s="14">
        <f t="array" ref="J95">IF(ISBLANK(Display!N96),NULL,Display!N96)</f>
        <v>0</v>
      </c>
      <c r="K95" s="14">
        <f t="array" ref="K95">IF(ISBLANK(Display!O96),NULL,Display!O96)</f>
        <v>0</v>
      </c>
      <c r="L95" s="14">
        <f t="array" ref="L95">IF(ISBLANK(Display!P96),NULL,Display!P96)</f>
        <v>0</v>
      </c>
      <c r="M95" s="14">
        <f t="array" ref="M95">IF(ISBLANK(Display!Q96),NULL,Display!Q96)</f>
        <v>0</v>
      </c>
      <c r="N95" s="14">
        <f t="array" ref="N95">IF(ISBLANK(Display!R96),NULL,Display!R96)</f>
        <v>0</v>
      </c>
      <c r="O95" s="14">
        <f t="shared" si="19"/>
        <v>0</v>
      </c>
      <c r="P95" s="2" t="str">
        <f>IF(ISBLANK(Display!I96),"",Display!I96)</f>
        <v/>
      </c>
    </row>
    <row r="96" spans="1:16" x14ac:dyDescent="0.3">
      <c r="A96" t="str">
        <f>IF(ISBLANK(Display!A97),,Display!A97)</f>
        <v/>
      </c>
      <c r="B96" s="2" t="str">
        <f>IF($C96&gt;0,Display!I97,)</f>
        <v/>
      </c>
      <c r="C96" s="2" t="str">
        <f>IF(ISBLANK(Display!C97),"",Display!C97)</f>
        <v/>
      </c>
      <c r="D96" s="2" t="str">
        <f>IF(ISBLANK(Display!D97),"",Display!D97)</f>
        <v/>
      </c>
      <c r="E96" s="2" t="str">
        <f>IF(ISBLANK(Display!E97),"",Display!E97)</f>
        <v/>
      </c>
      <c r="F96" s="14">
        <f t="array" ref="F96">IF(ISBLANK(Display!J97),NULL,Display!J97)</f>
        <v>0</v>
      </c>
      <c r="G96" s="14">
        <f t="array" ref="G96">IF(ISBLANK(Display!K97),NULL,Display!K97)</f>
        <v>0</v>
      </c>
      <c r="H96" s="14">
        <f t="array" ref="H96">IF(ISBLANK(Display!L97),NULL,Display!L97)</f>
        <v>0</v>
      </c>
      <c r="I96" s="14">
        <f t="array" ref="I96">IF(ISBLANK(Display!M97),NULL,Display!M97)</f>
        <v>0</v>
      </c>
      <c r="J96" s="14">
        <f t="array" ref="J96">IF(ISBLANK(Display!N97),NULL,Display!N97)</f>
        <v>0</v>
      </c>
      <c r="K96" s="14">
        <f t="array" ref="K96">IF(ISBLANK(Display!O97),NULL,Display!O97)</f>
        <v>0</v>
      </c>
      <c r="L96" s="14">
        <f t="array" ref="L96">IF(ISBLANK(Display!P97),NULL,Display!P97)</f>
        <v>0</v>
      </c>
      <c r="M96" s="14">
        <f t="array" ref="M96">IF(ISBLANK(Display!Q97),NULL,Display!Q97)</f>
        <v>0</v>
      </c>
      <c r="N96" s="14">
        <f t="array" ref="N96">IF(ISBLANK(Display!R97),NULL,Display!R97)</f>
        <v>0</v>
      </c>
      <c r="O96" s="14">
        <f t="shared" si="19"/>
        <v>0</v>
      </c>
      <c r="P96" s="2" t="str">
        <f>IF(ISBLANK(Display!I97),"",Display!I97)</f>
        <v/>
      </c>
    </row>
    <row r="97" spans="1:16" x14ac:dyDescent="0.3">
      <c r="A97" t="str">
        <f>IF(ISBLANK(Display!A98),,Display!A98)</f>
        <v/>
      </c>
      <c r="B97" s="2" t="str">
        <f>IF($C97&gt;0,Display!I98,)</f>
        <v/>
      </c>
      <c r="C97" s="2" t="str">
        <f>IF(ISBLANK(Display!C98),"",Display!C98)</f>
        <v/>
      </c>
      <c r="D97" s="2" t="str">
        <f>IF(ISBLANK(Display!D98),"",Display!D98)</f>
        <v/>
      </c>
      <c r="E97" s="2" t="str">
        <f>IF(ISBLANK(Display!E98),"",Display!E98)</f>
        <v/>
      </c>
      <c r="F97" s="14">
        <f t="array" ref="F97">IF(ISBLANK(Display!J98),NULL,Display!J98)</f>
        <v>0</v>
      </c>
      <c r="G97" s="14">
        <f t="array" ref="G97">IF(ISBLANK(Display!K98),NULL,Display!K98)</f>
        <v>0</v>
      </c>
      <c r="H97" s="14">
        <f t="array" ref="H97">IF(ISBLANK(Display!L98),NULL,Display!L98)</f>
        <v>0</v>
      </c>
      <c r="I97" s="14">
        <f t="array" ref="I97">IF(ISBLANK(Display!M98),NULL,Display!M98)</f>
        <v>0</v>
      </c>
      <c r="J97" s="14">
        <f t="array" ref="J97">IF(ISBLANK(Display!N98),NULL,Display!N98)</f>
        <v>0</v>
      </c>
      <c r="K97" s="14">
        <f t="array" ref="K97">IF(ISBLANK(Display!O98),NULL,Display!O98)</f>
        <v>0</v>
      </c>
      <c r="L97" s="14">
        <f t="array" ref="L97">IF(ISBLANK(Display!P98),NULL,Display!P98)</f>
        <v>0</v>
      </c>
      <c r="M97" s="14">
        <f t="array" ref="M97">IF(ISBLANK(Display!Q98),NULL,Display!Q98)</f>
        <v>0</v>
      </c>
      <c r="N97" s="14">
        <f t="array" ref="N97">IF(ISBLANK(Display!R98),NULL,Display!R98)</f>
        <v>0</v>
      </c>
      <c r="O97" s="14">
        <f t="shared" si="19"/>
        <v>0</v>
      </c>
      <c r="P97" s="2" t="str">
        <f>IF(ISBLANK(Display!I98),"",Display!I98)</f>
        <v/>
      </c>
    </row>
    <row r="98" spans="1:16" x14ac:dyDescent="0.3">
      <c r="A98" t="str">
        <f>IF(ISBLANK(Display!A99),,Display!A99)</f>
        <v/>
      </c>
      <c r="B98" s="2" t="str">
        <f>IF($C98&gt;0,Display!I99,)</f>
        <v/>
      </c>
      <c r="C98" s="2" t="str">
        <f>IF(ISBLANK(Display!C99),"",Display!C99)</f>
        <v/>
      </c>
      <c r="D98" s="2" t="str">
        <f>IF(ISBLANK(Display!D99),"",Display!D99)</f>
        <v/>
      </c>
      <c r="E98" s="2" t="str">
        <f>IF(ISBLANK(Display!E99),"",Display!E99)</f>
        <v/>
      </c>
      <c r="F98" s="14">
        <f t="array" ref="F98">IF(ISBLANK(Display!J99),NULL,Display!J99)</f>
        <v>0</v>
      </c>
      <c r="G98" s="14">
        <f t="array" ref="G98">IF(ISBLANK(Display!K99),NULL,Display!K99)</f>
        <v>0</v>
      </c>
      <c r="H98" s="14">
        <f t="array" ref="H98">IF(ISBLANK(Display!L99),NULL,Display!L99)</f>
        <v>0</v>
      </c>
      <c r="I98" s="14">
        <f t="array" ref="I98">IF(ISBLANK(Display!M99),NULL,Display!M99)</f>
        <v>0</v>
      </c>
      <c r="J98" s="14">
        <f t="array" ref="J98">IF(ISBLANK(Display!N99),NULL,Display!N99)</f>
        <v>0</v>
      </c>
      <c r="K98" s="14">
        <f t="array" ref="K98">IF(ISBLANK(Display!O99),NULL,Display!O99)</f>
        <v>0</v>
      </c>
      <c r="L98" s="14">
        <f t="array" ref="L98">IF(ISBLANK(Display!P99),NULL,Display!P99)</f>
        <v>0</v>
      </c>
      <c r="M98" s="14">
        <f t="array" ref="M98">IF(ISBLANK(Display!Q99),NULL,Display!Q99)</f>
        <v>0</v>
      </c>
      <c r="N98" s="14">
        <f t="array" ref="N98">IF(ISBLANK(Display!R99),NULL,Display!R99)</f>
        <v>0</v>
      </c>
      <c r="O98" s="14">
        <f t="shared" si="19"/>
        <v>0</v>
      </c>
      <c r="P98" s="2" t="str">
        <f>IF(ISBLANK(Display!I99),"",Display!I99)</f>
        <v/>
      </c>
    </row>
    <row r="99" spans="1:16" x14ac:dyDescent="0.3">
      <c r="A99" t="str">
        <f>IF(ISBLANK(Display!A100),,Display!A100)</f>
        <v/>
      </c>
      <c r="B99" s="2" t="str">
        <f>IF($C99&gt;0,Display!I100,)</f>
        <v/>
      </c>
      <c r="C99" s="2" t="str">
        <f>IF(ISBLANK(Display!C100),"",Display!C100)</f>
        <v/>
      </c>
      <c r="D99" s="2" t="str">
        <f>IF(ISBLANK(Display!D100),"",Display!D100)</f>
        <v/>
      </c>
      <c r="E99" s="2" t="str">
        <f>IF(ISBLANK(Display!E100),"",Display!E100)</f>
        <v/>
      </c>
      <c r="F99" s="14">
        <f t="array" ref="F99">IF(ISBLANK(Display!J100),NULL,Display!J100)</f>
        <v>0</v>
      </c>
      <c r="G99" s="14">
        <f t="array" ref="G99">IF(ISBLANK(Display!K100),NULL,Display!K100)</f>
        <v>0</v>
      </c>
      <c r="H99" s="14">
        <f t="array" ref="H99">IF(ISBLANK(Display!L100),NULL,Display!L100)</f>
        <v>0</v>
      </c>
      <c r="I99" s="14">
        <f t="array" ref="I99">IF(ISBLANK(Display!M100),NULL,Display!M100)</f>
        <v>0</v>
      </c>
      <c r="J99" s="14">
        <f t="array" ref="J99">IF(ISBLANK(Display!N100),NULL,Display!N100)</f>
        <v>0</v>
      </c>
      <c r="K99" s="14">
        <f t="array" ref="K99">IF(ISBLANK(Display!O100),NULL,Display!O100)</f>
        <v>0</v>
      </c>
      <c r="L99" s="14">
        <f t="array" ref="L99">IF(ISBLANK(Display!P100),NULL,Display!P100)</f>
        <v>0</v>
      </c>
      <c r="M99" s="14">
        <f t="array" ref="M99">IF(ISBLANK(Display!Q100),NULL,Display!Q100)</f>
        <v>0</v>
      </c>
      <c r="N99" s="14">
        <f t="array" ref="N99">IF(ISBLANK(Display!R100),NULL,Display!R100)</f>
        <v>0</v>
      </c>
      <c r="O99" s="14">
        <f t="shared" si="19"/>
        <v>0</v>
      </c>
      <c r="P99" s="2" t="str">
        <f>IF(ISBLANK(Display!I100),"",Display!I100)</f>
        <v/>
      </c>
    </row>
  </sheetData>
  <autoFilter ref="A1:P75" xr:uid="{00000000-0009-0000-0000-000004000000}">
    <sortState xmlns:xlrd2="http://schemas.microsoft.com/office/spreadsheetml/2017/richdata2" ref="A2:P99">
      <sortCondition descending="1" ref="H1:H75"/>
    </sortState>
  </autoFilter>
  <mergeCells count="5">
    <mergeCell ref="Z30:AC30"/>
    <mergeCell ref="T16:W16"/>
    <mergeCell ref="AF30:AI30"/>
    <mergeCell ref="T30:W30"/>
    <mergeCell ref="Z16:AC16"/>
  </mergeCells>
  <conditionalFormatting sqref="A2:A100 T18:T28">
    <cfRule type="duplicateValues" dxfId="3" priority="43"/>
  </conditionalFormatting>
  <conditionalFormatting sqref="A2:A100 Z18:Z28">
    <cfRule type="duplicateValues" dxfId="2" priority="46"/>
  </conditionalFormatting>
  <conditionalFormatting sqref="A2:A100">
    <cfRule type="containsBlanks" dxfId="1" priority="1" stopIfTrue="1">
      <formula>LEN(TRIM(A2))=0</formula>
    </cfRule>
  </conditionalFormatting>
  <conditionalFormatting sqref="F1:F1048576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4857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104857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:L104857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32:AF42">
    <cfRule type="duplicateValues" dxfId="0" priority="2"/>
  </conditionalFormatting>
  <dataValidations count="1">
    <dataValidation type="list" allowBlank="1" showInputMessage="1" showErrorMessage="1" sqref="T18:T28 Z18:Z28" xr:uid="{00000000-0002-0000-0400-000000000000}">
      <formula1>$A$3:$A$700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W18"/>
  <sheetViews>
    <sheetView workbookViewId="0">
      <selection activeCell="I6" sqref="I6"/>
    </sheetView>
  </sheetViews>
  <sheetFormatPr defaultColWidth="8.6640625" defaultRowHeight="14.4" x14ac:dyDescent="0.3"/>
  <sheetData>
    <row r="1" spans="1:49" x14ac:dyDescent="0.3">
      <c r="B1" t="s">
        <v>463</v>
      </c>
      <c r="C1" t="s">
        <v>207</v>
      </c>
      <c r="D1" t="s">
        <v>21</v>
      </c>
      <c r="E1" t="s">
        <v>22</v>
      </c>
      <c r="F1" t="s">
        <v>449</v>
      </c>
      <c r="G1" t="s">
        <v>25</v>
      </c>
      <c r="H1" t="s">
        <v>26</v>
      </c>
      <c r="I1" t="s">
        <v>28</v>
      </c>
      <c r="J1" t="s">
        <v>29</v>
      </c>
      <c r="K1" t="s">
        <v>447</v>
      </c>
      <c r="L1" t="s">
        <v>208</v>
      </c>
      <c r="M1" t="s">
        <v>32</v>
      </c>
      <c r="N1" t="s">
        <v>33</v>
      </c>
      <c r="O1" t="s">
        <v>34</v>
      </c>
      <c r="P1" t="s">
        <v>35</v>
      </c>
      <c r="Q1" t="s">
        <v>209</v>
      </c>
      <c r="R1" t="s">
        <v>452</v>
      </c>
      <c r="S1" t="s">
        <v>37</v>
      </c>
      <c r="T1" t="s">
        <v>454</v>
      </c>
      <c r="U1" t="s">
        <v>40</v>
      </c>
      <c r="V1" t="s">
        <v>41</v>
      </c>
      <c r="W1" t="s">
        <v>42</v>
      </c>
      <c r="X1" t="s">
        <v>43</v>
      </c>
      <c r="Y1" t="s">
        <v>44</v>
      </c>
      <c r="Z1" t="s">
        <v>45</v>
      </c>
      <c r="AA1" t="s">
        <v>46</v>
      </c>
      <c r="AB1" t="s">
        <v>47</v>
      </c>
      <c r="AC1" t="s">
        <v>48</v>
      </c>
      <c r="AD1" t="s">
        <v>49</v>
      </c>
      <c r="AE1" t="s">
        <v>211</v>
      </c>
      <c r="AF1" t="s">
        <v>51</v>
      </c>
      <c r="AG1" t="s">
        <v>52</v>
      </c>
      <c r="AH1" t="s">
        <v>53</v>
      </c>
      <c r="AI1" t="s">
        <v>433</v>
      </c>
      <c r="AJ1" t="s">
        <v>56</v>
      </c>
      <c r="AK1" t="s">
        <v>57</v>
      </c>
      <c r="AL1" t="s">
        <v>58</v>
      </c>
      <c r="AM1" t="s">
        <v>59</v>
      </c>
      <c r="AN1" t="s">
        <v>61</v>
      </c>
      <c r="AO1" t="s">
        <v>62</v>
      </c>
      <c r="AP1" t="s">
        <v>64</v>
      </c>
      <c r="AQ1" t="s">
        <v>65</v>
      </c>
      <c r="AR1" t="s">
        <v>67</v>
      </c>
      <c r="AS1" t="s">
        <v>68</v>
      </c>
      <c r="AT1" t="s">
        <v>55</v>
      </c>
      <c r="AU1" t="s">
        <v>448</v>
      </c>
      <c r="AV1" t="s">
        <v>63</v>
      </c>
      <c r="AW1" t="s">
        <v>66</v>
      </c>
    </row>
    <row r="2" spans="1:49" x14ac:dyDescent="0.3">
      <c r="A2" s="47" t="s">
        <v>464</v>
      </c>
      <c r="B2" t="s">
        <v>19</v>
      </c>
      <c r="C2">
        <v>1</v>
      </c>
      <c r="D2">
        <v>10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10</v>
      </c>
      <c r="L2">
        <v>10</v>
      </c>
      <c r="M2">
        <v>10</v>
      </c>
      <c r="N2">
        <v>3</v>
      </c>
      <c r="O2">
        <v>10</v>
      </c>
      <c r="P2">
        <v>7</v>
      </c>
      <c r="Q2">
        <v>7</v>
      </c>
      <c r="R2">
        <v>3</v>
      </c>
      <c r="S2">
        <v>10</v>
      </c>
      <c r="T2">
        <v>1</v>
      </c>
      <c r="U2">
        <v>7</v>
      </c>
      <c r="V2">
        <v>1</v>
      </c>
      <c r="W2">
        <v>7</v>
      </c>
      <c r="X2">
        <v>4</v>
      </c>
      <c r="Y2">
        <v>1</v>
      </c>
      <c r="Z2">
        <v>10</v>
      </c>
      <c r="AA2">
        <v>7</v>
      </c>
      <c r="AB2">
        <v>4</v>
      </c>
      <c r="AC2">
        <v>1</v>
      </c>
      <c r="AD2">
        <v>4</v>
      </c>
      <c r="AE2">
        <v>0</v>
      </c>
      <c r="AF2">
        <v>10</v>
      </c>
      <c r="AG2">
        <v>1</v>
      </c>
      <c r="AH2">
        <v>1</v>
      </c>
      <c r="AI2">
        <v>1</v>
      </c>
      <c r="AJ2">
        <v>0</v>
      </c>
      <c r="AK2">
        <v>0</v>
      </c>
      <c r="AL2">
        <v>0</v>
      </c>
      <c r="AM2">
        <v>1</v>
      </c>
      <c r="AN2">
        <v>0</v>
      </c>
      <c r="AO2">
        <v>0</v>
      </c>
      <c r="AP2">
        <v>0</v>
      </c>
      <c r="AQ2">
        <v>1</v>
      </c>
      <c r="AR2">
        <v>0</v>
      </c>
      <c r="AS2">
        <v>1</v>
      </c>
      <c r="AT2">
        <v>1</v>
      </c>
      <c r="AU2">
        <v>1</v>
      </c>
      <c r="AV2">
        <v>1</v>
      </c>
      <c r="AW2">
        <v>1</v>
      </c>
    </row>
    <row r="3" spans="1:49" x14ac:dyDescent="0.3">
      <c r="A3" s="48"/>
      <c r="B3" t="s">
        <v>465</v>
      </c>
      <c r="C3">
        <v>10</v>
      </c>
      <c r="D3">
        <v>7</v>
      </c>
      <c r="E3">
        <v>4</v>
      </c>
      <c r="F3">
        <v>2</v>
      </c>
      <c r="G3">
        <v>2</v>
      </c>
      <c r="H3">
        <v>7</v>
      </c>
      <c r="I3">
        <v>7</v>
      </c>
      <c r="J3">
        <v>2</v>
      </c>
      <c r="K3">
        <v>2</v>
      </c>
      <c r="L3">
        <v>2</v>
      </c>
      <c r="M3">
        <v>2</v>
      </c>
      <c r="N3">
        <v>2</v>
      </c>
      <c r="O3">
        <v>2</v>
      </c>
      <c r="P3">
        <v>2</v>
      </c>
      <c r="Q3">
        <v>2</v>
      </c>
      <c r="R3">
        <v>2</v>
      </c>
      <c r="S3">
        <v>2</v>
      </c>
      <c r="T3">
        <v>2</v>
      </c>
      <c r="U3">
        <v>2</v>
      </c>
      <c r="V3">
        <v>2</v>
      </c>
      <c r="W3">
        <v>10</v>
      </c>
      <c r="X3">
        <v>5</v>
      </c>
      <c r="Y3">
        <v>2</v>
      </c>
      <c r="Z3">
        <v>10</v>
      </c>
      <c r="AA3">
        <v>7</v>
      </c>
      <c r="AB3">
        <v>3</v>
      </c>
      <c r="AC3">
        <v>0</v>
      </c>
      <c r="AD3">
        <v>3</v>
      </c>
      <c r="AE3">
        <v>2</v>
      </c>
      <c r="AF3">
        <v>10</v>
      </c>
      <c r="AG3">
        <v>10</v>
      </c>
      <c r="AH3">
        <v>2</v>
      </c>
      <c r="AI3">
        <v>7</v>
      </c>
      <c r="AJ3">
        <v>7</v>
      </c>
      <c r="AK3">
        <v>7</v>
      </c>
      <c r="AL3">
        <v>0</v>
      </c>
      <c r="AM3">
        <v>2</v>
      </c>
      <c r="AN3">
        <v>2</v>
      </c>
      <c r="AO3">
        <v>0</v>
      </c>
      <c r="AP3">
        <v>10</v>
      </c>
      <c r="AQ3">
        <v>7</v>
      </c>
      <c r="AR3">
        <v>10</v>
      </c>
      <c r="AS3">
        <v>7</v>
      </c>
      <c r="AT3">
        <v>0</v>
      </c>
      <c r="AU3">
        <v>0</v>
      </c>
      <c r="AV3">
        <v>0</v>
      </c>
      <c r="AW3">
        <v>0</v>
      </c>
    </row>
    <row r="4" spans="1:49" x14ac:dyDescent="0.3">
      <c r="A4" s="48"/>
      <c r="B4" t="s">
        <v>466</v>
      </c>
      <c r="C4">
        <v>8</v>
      </c>
      <c r="D4">
        <v>8</v>
      </c>
      <c r="E4">
        <v>4</v>
      </c>
      <c r="F4">
        <v>10</v>
      </c>
      <c r="G4">
        <v>2</v>
      </c>
      <c r="H4">
        <v>7</v>
      </c>
      <c r="I4">
        <v>2</v>
      </c>
      <c r="J4">
        <v>10</v>
      </c>
      <c r="K4">
        <v>2</v>
      </c>
      <c r="L4">
        <v>2</v>
      </c>
      <c r="M4">
        <v>2</v>
      </c>
      <c r="N4">
        <v>2</v>
      </c>
      <c r="O4">
        <v>2</v>
      </c>
      <c r="P4">
        <v>2</v>
      </c>
      <c r="Q4">
        <v>2</v>
      </c>
      <c r="R4">
        <v>2</v>
      </c>
      <c r="S4">
        <v>2</v>
      </c>
      <c r="T4">
        <v>2</v>
      </c>
      <c r="U4">
        <v>2</v>
      </c>
      <c r="V4">
        <v>7</v>
      </c>
      <c r="W4">
        <v>10</v>
      </c>
      <c r="X4">
        <v>7</v>
      </c>
      <c r="Y4">
        <v>10</v>
      </c>
      <c r="Z4">
        <v>7</v>
      </c>
      <c r="AA4">
        <v>7</v>
      </c>
      <c r="AB4">
        <v>3</v>
      </c>
      <c r="AC4">
        <v>0</v>
      </c>
      <c r="AD4">
        <v>3</v>
      </c>
      <c r="AE4">
        <v>2</v>
      </c>
      <c r="AF4">
        <v>10</v>
      </c>
      <c r="AG4">
        <v>2</v>
      </c>
      <c r="AH4">
        <v>7</v>
      </c>
      <c r="AI4">
        <v>2</v>
      </c>
      <c r="AJ4">
        <v>2</v>
      </c>
      <c r="AK4">
        <v>2</v>
      </c>
      <c r="AL4">
        <v>0</v>
      </c>
      <c r="AM4">
        <v>7</v>
      </c>
      <c r="AN4">
        <v>10</v>
      </c>
      <c r="AO4">
        <v>0</v>
      </c>
      <c r="AP4">
        <v>10</v>
      </c>
      <c r="AQ4">
        <v>10</v>
      </c>
      <c r="AR4">
        <v>10</v>
      </c>
      <c r="AS4">
        <v>7</v>
      </c>
      <c r="AT4">
        <v>0</v>
      </c>
      <c r="AU4">
        <v>0</v>
      </c>
      <c r="AV4">
        <v>0</v>
      </c>
      <c r="AW4">
        <v>0</v>
      </c>
    </row>
    <row r="5" spans="1:49" x14ac:dyDescent="0.3">
      <c r="A5" s="48"/>
      <c r="B5" t="s">
        <v>451</v>
      </c>
      <c r="C5">
        <v>8</v>
      </c>
      <c r="D5">
        <v>8</v>
      </c>
      <c r="E5">
        <v>5</v>
      </c>
      <c r="F5">
        <v>0</v>
      </c>
      <c r="G5">
        <v>2</v>
      </c>
      <c r="H5">
        <v>8</v>
      </c>
      <c r="I5">
        <v>7</v>
      </c>
      <c r="J5">
        <v>7</v>
      </c>
      <c r="K5">
        <v>2</v>
      </c>
      <c r="L5">
        <v>2</v>
      </c>
      <c r="M5">
        <v>2</v>
      </c>
      <c r="N5">
        <v>2</v>
      </c>
      <c r="O5">
        <v>2</v>
      </c>
      <c r="P5">
        <v>2</v>
      </c>
      <c r="Q5">
        <v>2</v>
      </c>
      <c r="R5">
        <v>2</v>
      </c>
      <c r="S5">
        <v>2</v>
      </c>
      <c r="T5">
        <v>2</v>
      </c>
      <c r="U5">
        <v>2</v>
      </c>
      <c r="V5">
        <v>7</v>
      </c>
      <c r="W5">
        <v>10</v>
      </c>
      <c r="X5">
        <v>3</v>
      </c>
      <c r="Y5">
        <v>7</v>
      </c>
      <c r="Z5">
        <v>10</v>
      </c>
      <c r="AA5">
        <v>7</v>
      </c>
      <c r="AB5">
        <v>3</v>
      </c>
      <c r="AC5">
        <v>2</v>
      </c>
      <c r="AD5">
        <v>3</v>
      </c>
      <c r="AE5">
        <v>2</v>
      </c>
      <c r="AF5">
        <v>10</v>
      </c>
      <c r="AG5">
        <v>10</v>
      </c>
      <c r="AH5">
        <v>2</v>
      </c>
      <c r="AI5">
        <v>7</v>
      </c>
      <c r="AJ5">
        <v>2</v>
      </c>
      <c r="AK5">
        <v>2</v>
      </c>
      <c r="AL5">
        <v>2</v>
      </c>
      <c r="AM5">
        <v>7</v>
      </c>
      <c r="AN5">
        <v>0</v>
      </c>
      <c r="AO5">
        <v>2</v>
      </c>
      <c r="AP5">
        <v>7</v>
      </c>
      <c r="AQ5">
        <v>7</v>
      </c>
      <c r="AR5">
        <v>10</v>
      </c>
      <c r="AS5">
        <v>2</v>
      </c>
      <c r="AT5">
        <v>0</v>
      </c>
      <c r="AU5">
        <v>0</v>
      </c>
      <c r="AV5">
        <v>0</v>
      </c>
      <c r="AW5">
        <v>0</v>
      </c>
    </row>
    <row r="6" spans="1:49" x14ac:dyDescent="0.3">
      <c r="A6" s="48"/>
      <c r="B6" t="s">
        <v>450</v>
      </c>
      <c r="C6">
        <v>8</v>
      </c>
      <c r="D6">
        <v>8</v>
      </c>
      <c r="E6">
        <v>7</v>
      </c>
      <c r="F6">
        <v>0</v>
      </c>
      <c r="G6">
        <v>2</v>
      </c>
      <c r="H6">
        <v>8</v>
      </c>
      <c r="I6">
        <v>7</v>
      </c>
      <c r="J6">
        <v>4</v>
      </c>
      <c r="K6">
        <v>2</v>
      </c>
      <c r="L6">
        <v>2</v>
      </c>
      <c r="M6">
        <v>2</v>
      </c>
      <c r="N6">
        <v>2</v>
      </c>
      <c r="O6">
        <v>2</v>
      </c>
      <c r="P6">
        <v>2</v>
      </c>
      <c r="Q6">
        <v>2</v>
      </c>
      <c r="R6">
        <v>2</v>
      </c>
      <c r="S6">
        <v>2</v>
      </c>
      <c r="T6">
        <v>2</v>
      </c>
      <c r="U6">
        <v>2</v>
      </c>
      <c r="V6">
        <v>4</v>
      </c>
      <c r="W6">
        <v>7</v>
      </c>
      <c r="X6">
        <v>3</v>
      </c>
      <c r="Y6">
        <v>10</v>
      </c>
      <c r="Z6">
        <v>7</v>
      </c>
      <c r="AA6">
        <v>10</v>
      </c>
      <c r="AB6">
        <v>3</v>
      </c>
      <c r="AC6">
        <v>5</v>
      </c>
      <c r="AD6">
        <v>3</v>
      </c>
      <c r="AE6">
        <v>7</v>
      </c>
      <c r="AF6">
        <v>7</v>
      </c>
      <c r="AG6">
        <v>10</v>
      </c>
      <c r="AH6">
        <v>10</v>
      </c>
      <c r="AI6">
        <v>7</v>
      </c>
      <c r="AJ6">
        <v>2</v>
      </c>
      <c r="AK6">
        <v>2</v>
      </c>
      <c r="AL6">
        <v>2</v>
      </c>
      <c r="AM6">
        <v>10</v>
      </c>
      <c r="AN6">
        <v>0</v>
      </c>
      <c r="AO6">
        <v>2</v>
      </c>
      <c r="AP6">
        <v>7</v>
      </c>
      <c r="AQ6">
        <v>10</v>
      </c>
      <c r="AR6">
        <v>7</v>
      </c>
      <c r="AS6">
        <v>10</v>
      </c>
      <c r="AT6">
        <v>0</v>
      </c>
      <c r="AU6">
        <v>0</v>
      </c>
      <c r="AV6">
        <v>0</v>
      </c>
      <c r="AW6">
        <v>0</v>
      </c>
    </row>
    <row r="7" spans="1:49" x14ac:dyDescent="0.3">
      <c r="A7" s="48"/>
      <c r="B7" t="s">
        <v>467</v>
      </c>
      <c r="C7">
        <v>10</v>
      </c>
      <c r="D7">
        <v>10</v>
      </c>
      <c r="E7">
        <v>7</v>
      </c>
      <c r="F7">
        <v>0</v>
      </c>
      <c r="G7">
        <v>2</v>
      </c>
      <c r="H7">
        <v>7</v>
      </c>
      <c r="I7">
        <v>7</v>
      </c>
      <c r="J7">
        <v>2</v>
      </c>
      <c r="K7">
        <v>2</v>
      </c>
      <c r="L7">
        <v>2</v>
      </c>
      <c r="M7">
        <v>2</v>
      </c>
      <c r="N7">
        <v>2</v>
      </c>
      <c r="O7">
        <v>2</v>
      </c>
      <c r="P7">
        <v>2</v>
      </c>
      <c r="Q7">
        <v>2</v>
      </c>
      <c r="R7">
        <v>2</v>
      </c>
      <c r="S7">
        <v>2</v>
      </c>
      <c r="T7">
        <v>2</v>
      </c>
      <c r="U7">
        <v>2</v>
      </c>
      <c r="V7">
        <v>2</v>
      </c>
      <c r="W7">
        <v>10</v>
      </c>
      <c r="X7">
        <v>3</v>
      </c>
      <c r="Y7">
        <v>10</v>
      </c>
      <c r="Z7">
        <v>2</v>
      </c>
      <c r="AA7">
        <v>2</v>
      </c>
      <c r="AB7">
        <v>3</v>
      </c>
      <c r="AC7">
        <v>7</v>
      </c>
      <c r="AD7">
        <v>3</v>
      </c>
      <c r="AE7">
        <v>10</v>
      </c>
      <c r="AF7">
        <v>2</v>
      </c>
      <c r="AG7">
        <v>2</v>
      </c>
      <c r="AH7">
        <v>7</v>
      </c>
      <c r="AI7">
        <v>7</v>
      </c>
      <c r="AJ7">
        <v>7</v>
      </c>
      <c r="AK7">
        <v>10</v>
      </c>
      <c r="AL7">
        <v>7</v>
      </c>
      <c r="AM7">
        <v>10</v>
      </c>
      <c r="AN7">
        <v>0</v>
      </c>
      <c r="AO7">
        <v>7</v>
      </c>
      <c r="AP7">
        <v>2</v>
      </c>
      <c r="AQ7">
        <v>7</v>
      </c>
      <c r="AR7">
        <v>2</v>
      </c>
      <c r="AS7">
        <v>10</v>
      </c>
      <c r="AT7">
        <v>0</v>
      </c>
      <c r="AU7">
        <v>0</v>
      </c>
      <c r="AV7">
        <v>0</v>
      </c>
      <c r="AW7">
        <v>0</v>
      </c>
    </row>
    <row r="8" spans="1:49" x14ac:dyDescent="0.3">
      <c r="A8" s="48"/>
      <c r="B8" t="s">
        <v>468</v>
      </c>
      <c r="C8">
        <v>10</v>
      </c>
      <c r="D8">
        <v>7</v>
      </c>
      <c r="E8">
        <v>5</v>
      </c>
      <c r="F8">
        <v>0</v>
      </c>
      <c r="G8">
        <v>2</v>
      </c>
      <c r="H8">
        <v>7</v>
      </c>
      <c r="I8">
        <v>7</v>
      </c>
      <c r="J8">
        <v>2</v>
      </c>
      <c r="K8">
        <v>2</v>
      </c>
      <c r="L8">
        <v>2</v>
      </c>
      <c r="M8">
        <v>2</v>
      </c>
      <c r="N8">
        <v>2</v>
      </c>
      <c r="O8">
        <v>2</v>
      </c>
      <c r="P8">
        <v>2</v>
      </c>
      <c r="Q8">
        <v>2</v>
      </c>
      <c r="R8">
        <v>2</v>
      </c>
      <c r="S8">
        <v>2</v>
      </c>
      <c r="T8">
        <v>2</v>
      </c>
      <c r="U8">
        <v>2</v>
      </c>
      <c r="V8">
        <v>2</v>
      </c>
      <c r="W8">
        <v>7</v>
      </c>
      <c r="X8">
        <v>3</v>
      </c>
      <c r="Y8">
        <v>10</v>
      </c>
      <c r="Z8">
        <v>2</v>
      </c>
      <c r="AA8">
        <v>7</v>
      </c>
      <c r="AB8">
        <v>3</v>
      </c>
      <c r="AC8">
        <v>7</v>
      </c>
      <c r="AD8">
        <v>3</v>
      </c>
      <c r="AE8">
        <v>10</v>
      </c>
      <c r="AF8">
        <v>2</v>
      </c>
      <c r="AG8">
        <v>2</v>
      </c>
      <c r="AH8">
        <v>7</v>
      </c>
      <c r="AI8">
        <v>10</v>
      </c>
      <c r="AJ8">
        <v>10</v>
      </c>
      <c r="AK8">
        <v>7</v>
      </c>
      <c r="AL8">
        <v>2</v>
      </c>
      <c r="AM8">
        <v>10</v>
      </c>
      <c r="AN8">
        <v>0</v>
      </c>
      <c r="AO8">
        <v>7</v>
      </c>
      <c r="AP8">
        <v>2</v>
      </c>
      <c r="AQ8">
        <v>10</v>
      </c>
      <c r="AR8">
        <v>2</v>
      </c>
      <c r="AS8">
        <v>10</v>
      </c>
      <c r="AT8">
        <v>0</v>
      </c>
      <c r="AU8">
        <v>0</v>
      </c>
      <c r="AV8">
        <v>0</v>
      </c>
      <c r="AW8">
        <v>0</v>
      </c>
    </row>
    <row r="9" spans="1:49" x14ac:dyDescent="0.3">
      <c r="A9" s="48"/>
      <c r="B9" t="s">
        <v>469</v>
      </c>
      <c r="C9">
        <v>10</v>
      </c>
      <c r="D9">
        <v>10</v>
      </c>
      <c r="E9">
        <v>7</v>
      </c>
      <c r="F9">
        <v>0</v>
      </c>
      <c r="G9">
        <v>2</v>
      </c>
      <c r="H9">
        <v>10</v>
      </c>
      <c r="I9">
        <v>7</v>
      </c>
      <c r="J9">
        <v>2</v>
      </c>
      <c r="K9">
        <v>2</v>
      </c>
      <c r="L9">
        <v>2</v>
      </c>
      <c r="M9">
        <v>2</v>
      </c>
      <c r="N9">
        <v>2</v>
      </c>
      <c r="O9">
        <v>2</v>
      </c>
      <c r="P9">
        <v>2</v>
      </c>
      <c r="Q9">
        <v>2</v>
      </c>
      <c r="R9">
        <v>2</v>
      </c>
      <c r="S9">
        <v>2</v>
      </c>
      <c r="T9">
        <v>2</v>
      </c>
      <c r="U9">
        <v>2</v>
      </c>
      <c r="V9">
        <v>2</v>
      </c>
      <c r="W9">
        <v>7</v>
      </c>
      <c r="X9">
        <v>3</v>
      </c>
      <c r="Y9">
        <v>2</v>
      </c>
      <c r="Z9">
        <v>2</v>
      </c>
      <c r="AA9">
        <v>2</v>
      </c>
      <c r="AB9">
        <v>3</v>
      </c>
      <c r="AC9">
        <v>7</v>
      </c>
      <c r="AD9">
        <v>3</v>
      </c>
      <c r="AE9">
        <v>7</v>
      </c>
      <c r="AF9">
        <v>2</v>
      </c>
      <c r="AG9">
        <v>10</v>
      </c>
      <c r="AH9">
        <v>2</v>
      </c>
      <c r="AI9">
        <v>7</v>
      </c>
      <c r="AJ9">
        <v>10</v>
      </c>
      <c r="AK9">
        <v>10</v>
      </c>
      <c r="AL9">
        <v>2</v>
      </c>
      <c r="AM9">
        <v>7</v>
      </c>
      <c r="AN9">
        <v>0</v>
      </c>
      <c r="AO9">
        <v>2</v>
      </c>
      <c r="AP9">
        <v>2</v>
      </c>
      <c r="AQ9">
        <v>7</v>
      </c>
      <c r="AR9">
        <v>2</v>
      </c>
      <c r="AS9">
        <v>10</v>
      </c>
      <c r="AT9">
        <v>0</v>
      </c>
      <c r="AU9">
        <v>0</v>
      </c>
      <c r="AV9">
        <v>0</v>
      </c>
      <c r="AW9">
        <v>0</v>
      </c>
    </row>
    <row r="10" spans="1:49" x14ac:dyDescent="0.3">
      <c r="A10" s="48"/>
      <c r="B10" t="s">
        <v>470</v>
      </c>
      <c r="C10">
        <v>10</v>
      </c>
      <c r="D10">
        <v>7</v>
      </c>
      <c r="E10">
        <v>7</v>
      </c>
      <c r="F10">
        <v>7</v>
      </c>
      <c r="G10">
        <v>2</v>
      </c>
      <c r="H10">
        <v>7</v>
      </c>
      <c r="I10">
        <v>2</v>
      </c>
      <c r="J10">
        <v>10</v>
      </c>
      <c r="K10">
        <v>2</v>
      </c>
      <c r="L10">
        <v>2</v>
      </c>
      <c r="M10">
        <v>2</v>
      </c>
      <c r="N10">
        <v>2</v>
      </c>
      <c r="O10">
        <v>2</v>
      </c>
      <c r="P10">
        <v>2</v>
      </c>
      <c r="Q10">
        <v>2</v>
      </c>
      <c r="R10">
        <v>2</v>
      </c>
      <c r="S10">
        <v>2</v>
      </c>
      <c r="T10">
        <v>2</v>
      </c>
      <c r="U10">
        <v>2</v>
      </c>
      <c r="V10">
        <v>2</v>
      </c>
      <c r="W10">
        <v>7</v>
      </c>
      <c r="X10">
        <v>5</v>
      </c>
      <c r="Y10">
        <v>10</v>
      </c>
      <c r="Z10">
        <v>2</v>
      </c>
      <c r="AA10">
        <v>7</v>
      </c>
      <c r="AB10">
        <v>4</v>
      </c>
      <c r="AC10">
        <v>4</v>
      </c>
      <c r="AD10">
        <v>2</v>
      </c>
      <c r="AE10">
        <v>10</v>
      </c>
      <c r="AF10">
        <v>2</v>
      </c>
      <c r="AG10">
        <v>2</v>
      </c>
      <c r="AH10">
        <v>2</v>
      </c>
      <c r="AI10">
        <v>2</v>
      </c>
      <c r="AJ10">
        <v>2</v>
      </c>
      <c r="AK10">
        <v>7</v>
      </c>
      <c r="AL10">
        <v>10</v>
      </c>
      <c r="AM10">
        <v>10</v>
      </c>
      <c r="AN10">
        <v>10</v>
      </c>
      <c r="AO10">
        <v>2</v>
      </c>
      <c r="AP10">
        <v>0</v>
      </c>
      <c r="AQ10">
        <v>7</v>
      </c>
      <c r="AR10">
        <v>0</v>
      </c>
      <c r="AS10">
        <v>10</v>
      </c>
      <c r="AT10">
        <v>0</v>
      </c>
      <c r="AU10">
        <v>0</v>
      </c>
      <c r="AV10">
        <v>0</v>
      </c>
      <c r="AW10">
        <v>2</v>
      </c>
    </row>
    <row r="11" spans="1:49" x14ac:dyDescent="0.3">
      <c r="A11" s="47" t="s">
        <v>471</v>
      </c>
      <c r="B11" t="s">
        <v>19</v>
      </c>
      <c r="C11">
        <v>1</v>
      </c>
      <c r="D11">
        <v>10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10</v>
      </c>
      <c r="L11">
        <v>10</v>
      </c>
      <c r="M11">
        <v>10</v>
      </c>
      <c r="N11">
        <v>3</v>
      </c>
      <c r="O11">
        <v>10</v>
      </c>
      <c r="P11">
        <v>1</v>
      </c>
      <c r="Q11">
        <v>7</v>
      </c>
      <c r="R11">
        <v>3</v>
      </c>
      <c r="S11">
        <v>10</v>
      </c>
      <c r="T11">
        <v>7</v>
      </c>
      <c r="U11">
        <v>1</v>
      </c>
      <c r="V11">
        <v>1</v>
      </c>
      <c r="W11">
        <v>7</v>
      </c>
      <c r="X11">
        <v>4</v>
      </c>
      <c r="Y11">
        <v>1</v>
      </c>
      <c r="Z11">
        <v>10</v>
      </c>
      <c r="AA11">
        <v>7</v>
      </c>
      <c r="AB11">
        <v>4</v>
      </c>
      <c r="AC11">
        <v>1</v>
      </c>
      <c r="AD11">
        <v>4</v>
      </c>
      <c r="AE11">
        <v>0</v>
      </c>
      <c r="AF11">
        <v>10</v>
      </c>
      <c r="AG11">
        <v>1</v>
      </c>
      <c r="AH11">
        <v>1</v>
      </c>
      <c r="AI11">
        <v>1</v>
      </c>
      <c r="AJ11">
        <v>0</v>
      </c>
      <c r="AK11">
        <v>0</v>
      </c>
      <c r="AL11">
        <v>0</v>
      </c>
      <c r="AM11">
        <v>1</v>
      </c>
      <c r="AN11">
        <v>0</v>
      </c>
      <c r="AO11">
        <v>0</v>
      </c>
      <c r="AP11">
        <v>0</v>
      </c>
      <c r="AQ11">
        <v>1</v>
      </c>
      <c r="AR11">
        <v>0</v>
      </c>
      <c r="AS11">
        <v>1</v>
      </c>
      <c r="AT11">
        <v>1</v>
      </c>
      <c r="AU11">
        <v>1</v>
      </c>
      <c r="AV11">
        <v>1</v>
      </c>
      <c r="AW11">
        <v>1</v>
      </c>
    </row>
    <row r="12" spans="1:49" x14ac:dyDescent="0.3">
      <c r="A12" s="48"/>
      <c r="B12" t="s">
        <v>465</v>
      </c>
      <c r="C12">
        <v>10</v>
      </c>
      <c r="D12">
        <v>7</v>
      </c>
      <c r="E12">
        <v>4</v>
      </c>
      <c r="F12">
        <v>2</v>
      </c>
      <c r="G12">
        <v>2</v>
      </c>
      <c r="H12">
        <v>7</v>
      </c>
      <c r="I12">
        <v>7</v>
      </c>
      <c r="J12">
        <v>2</v>
      </c>
      <c r="K12">
        <v>2</v>
      </c>
      <c r="L12">
        <v>2</v>
      </c>
      <c r="M12">
        <v>2</v>
      </c>
      <c r="N12">
        <v>2</v>
      </c>
      <c r="O12">
        <v>2</v>
      </c>
      <c r="P12">
        <v>2</v>
      </c>
      <c r="Q12">
        <v>2</v>
      </c>
      <c r="R12">
        <v>2</v>
      </c>
      <c r="S12">
        <v>2</v>
      </c>
      <c r="T12">
        <v>2</v>
      </c>
      <c r="U12">
        <v>2</v>
      </c>
      <c r="V12">
        <v>7</v>
      </c>
      <c r="W12">
        <v>10</v>
      </c>
      <c r="X12">
        <v>5</v>
      </c>
      <c r="Y12">
        <v>2</v>
      </c>
      <c r="Z12">
        <v>7</v>
      </c>
      <c r="AA12">
        <v>7</v>
      </c>
      <c r="AB12">
        <v>3</v>
      </c>
      <c r="AC12">
        <v>0</v>
      </c>
      <c r="AD12">
        <v>3</v>
      </c>
      <c r="AE12">
        <v>2</v>
      </c>
      <c r="AF12">
        <v>10</v>
      </c>
      <c r="AG12">
        <v>10</v>
      </c>
      <c r="AH12">
        <v>2</v>
      </c>
      <c r="AI12">
        <v>7</v>
      </c>
      <c r="AJ12">
        <v>2</v>
      </c>
      <c r="AK12">
        <v>2</v>
      </c>
      <c r="AL12">
        <v>0</v>
      </c>
      <c r="AM12">
        <v>2</v>
      </c>
      <c r="AN12">
        <v>2</v>
      </c>
      <c r="AO12">
        <v>0</v>
      </c>
      <c r="AP12">
        <v>10</v>
      </c>
      <c r="AQ12">
        <v>2</v>
      </c>
      <c r="AR12">
        <v>10</v>
      </c>
      <c r="AS12">
        <v>2</v>
      </c>
      <c r="AT12">
        <v>0</v>
      </c>
      <c r="AU12">
        <v>0</v>
      </c>
      <c r="AV12">
        <v>0</v>
      </c>
      <c r="AW12">
        <v>0</v>
      </c>
    </row>
    <row r="13" spans="1:49" x14ac:dyDescent="0.3">
      <c r="A13" s="48"/>
      <c r="B13" t="s">
        <v>472</v>
      </c>
      <c r="C13">
        <v>8</v>
      </c>
      <c r="D13">
        <v>8</v>
      </c>
      <c r="E13">
        <v>4</v>
      </c>
      <c r="F13">
        <v>10</v>
      </c>
      <c r="G13">
        <v>2</v>
      </c>
      <c r="H13">
        <v>7</v>
      </c>
      <c r="I13">
        <v>2</v>
      </c>
      <c r="J13">
        <v>10</v>
      </c>
      <c r="K13">
        <v>2</v>
      </c>
      <c r="L13">
        <v>2</v>
      </c>
      <c r="M13">
        <v>2</v>
      </c>
      <c r="N13">
        <v>2</v>
      </c>
      <c r="O13">
        <v>2</v>
      </c>
      <c r="P13">
        <v>2</v>
      </c>
      <c r="Q13">
        <v>2</v>
      </c>
      <c r="R13">
        <v>2</v>
      </c>
      <c r="S13">
        <v>2</v>
      </c>
      <c r="T13">
        <v>2</v>
      </c>
      <c r="U13">
        <v>2</v>
      </c>
      <c r="V13">
        <v>7</v>
      </c>
      <c r="W13">
        <v>10</v>
      </c>
      <c r="X13">
        <v>7</v>
      </c>
      <c r="Y13">
        <v>7</v>
      </c>
      <c r="Z13">
        <v>7</v>
      </c>
      <c r="AA13">
        <v>7</v>
      </c>
      <c r="AB13">
        <v>3</v>
      </c>
      <c r="AC13">
        <v>0</v>
      </c>
      <c r="AD13">
        <v>3</v>
      </c>
      <c r="AE13">
        <v>2</v>
      </c>
      <c r="AF13">
        <v>10</v>
      </c>
      <c r="AG13">
        <v>2</v>
      </c>
      <c r="AH13">
        <v>2</v>
      </c>
      <c r="AI13">
        <v>2</v>
      </c>
      <c r="AJ13">
        <v>2</v>
      </c>
      <c r="AK13">
        <v>2</v>
      </c>
      <c r="AL13">
        <v>0</v>
      </c>
      <c r="AM13">
        <v>2</v>
      </c>
      <c r="AN13">
        <v>10</v>
      </c>
      <c r="AO13">
        <v>0</v>
      </c>
      <c r="AP13">
        <v>10</v>
      </c>
      <c r="AQ13">
        <v>2</v>
      </c>
      <c r="AR13">
        <v>10</v>
      </c>
      <c r="AS13">
        <v>2</v>
      </c>
      <c r="AT13">
        <v>0</v>
      </c>
      <c r="AU13">
        <v>0</v>
      </c>
      <c r="AV13">
        <v>0</v>
      </c>
      <c r="AW13">
        <v>0</v>
      </c>
    </row>
    <row r="14" spans="1:49" x14ac:dyDescent="0.3">
      <c r="A14" s="48"/>
      <c r="B14" t="s">
        <v>473</v>
      </c>
      <c r="C14">
        <v>8</v>
      </c>
      <c r="D14">
        <v>8</v>
      </c>
      <c r="E14">
        <v>5</v>
      </c>
      <c r="F14">
        <v>0</v>
      </c>
      <c r="G14">
        <v>2</v>
      </c>
      <c r="H14">
        <v>8</v>
      </c>
      <c r="I14">
        <v>7</v>
      </c>
      <c r="J14">
        <v>7</v>
      </c>
      <c r="K14">
        <v>2</v>
      </c>
      <c r="L14">
        <v>2</v>
      </c>
      <c r="M14">
        <v>2</v>
      </c>
      <c r="N14">
        <v>2</v>
      </c>
      <c r="O14">
        <v>2</v>
      </c>
      <c r="P14">
        <v>2</v>
      </c>
      <c r="Q14">
        <v>2</v>
      </c>
      <c r="R14">
        <v>2</v>
      </c>
      <c r="S14">
        <v>2</v>
      </c>
      <c r="T14">
        <v>2</v>
      </c>
      <c r="U14">
        <v>2</v>
      </c>
      <c r="V14">
        <v>4</v>
      </c>
      <c r="W14">
        <v>10</v>
      </c>
      <c r="X14">
        <v>3</v>
      </c>
      <c r="Y14">
        <v>2</v>
      </c>
      <c r="Z14">
        <v>10</v>
      </c>
      <c r="AA14">
        <v>10</v>
      </c>
      <c r="AB14">
        <v>3</v>
      </c>
      <c r="AC14">
        <v>2</v>
      </c>
      <c r="AD14">
        <v>3</v>
      </c>
      <c r="AE14">
        <v>2</v>
      </c>
      <c r="AF14">
        <v>10</v>
      </c>
      <c r="AG14">
        <v>7</v>
      </c>
      <c r="AH14">
        <v>2</v>
      </c>
      <c r="AI14">
        <v>7</v>
      </c>
      <c r="AJ14">
        <v>2</v>
      </c>
      <c r="AK14">
        <v>2</v>
      </c>
      <c r="AL14">
        <v>2</v>
      </c>
      <c r="AM14">
        <v>2</v>
      </c>
      <c r="AN14">
        <v>0</v>
      </c>
      <c r="AO14">
        <v>2</v>
      </c>
      <c r="AP14">
        <v>10</v>
      </c>
      <c r="AQ14">
        <v>2</v>
      </c>
      <c r="AR14">
        <v>10</v>
      </c>
      <c r="AS14">
        <v>2</v>
      </c>
      <c r="AT14">
        <v>0</v>
      </c>
      <c r="AU14">
        <v>0</v>
      </c>
      <c r="AV14">
        <v>0</v>
      </c>
      <c r="AW14">
        <v>0</v>
      </c>
    </row>
    <row r="15" spans="1:49" x14ac:dyDescent="0.3">
      <c r="A15" s="48"/>
      <c r="B15" t="s">
        <v>474</v>
      </c>
      <c r="C15">
        <v>10</v>
      </c>
      <c r="D15">
        <v>7</v>
      </c>
      <c r="E15">
        <v>5</v>
      </c>
      <c r="F15">
        <v>0</v>
      </c>
      <c r="G15">
        <v>2</v>
      </c>
      <c r="H15">
        <v>7</v>
      </c>
      <c r="I15">
        <v>10</v>
      </c>
      <c r="J15">
        <v>3</v>
      </c>
      <c r="K15">
        <v>2</v>
      </c>
      <c r="L15">
        <v>2</v>
      </c>
      <c r="M15">
        <v>2</v>
      </c>
      <c r="N15">
        <v>2</v>
      </c>
      <c r="O15">
        <v>2</v>
      </c>
      <c r="P15">
        <v>2</v>
      </c>
      <c r="Q15">
        <v>2</v>
      </c>
      <c r="R15">
        <v>2</v>
      </c>
      <c r="S15">
        <v>2</v>
      </c>
      <c r="T15">
        <v>2</v>
      </c>
      <c r="U15">
        <v>2</v>
      </c>
      <c r="V15">
        <v>10</v>
      </c>
      <c r="W15">
        <v>10</v>
      </c>
      <c r="X15">
        <v>3</v>
      </c>
      <c r="Y15">
        <v>2</v>
      </c>
      <c r="Z15">
        <v>2</v>
      </c>
      <c r="AA15">
        <v>10</v>
      </c>
      <c r="AB15">
        <v>3</v>
      </c>
      <c r="AC15">
        <v>2</v>
      </c>
      <c r="AD15">
        <v>3</v>
      </c>
      <c r="AE15">
        <v>7</v>
      </c>
      <c r="AF15">
        <v>7</v>
      </c>
      <c r="AG15">
        <v>10</v>
      </c>
      <c r="AH15">
        <v>2</v>
      </c>
      <c r="AI15">
        <v>10</v>
      </c>
      <c r="AJ15">
        <v>2</v>
      </c>
      <c r="AK15">
        <v>2</v>
      </c>
      <c r="AL15">
        <v>2</v>
      </c>
      <c r="AM15">
        <v>2</v>
      </c>
      <c r="AN15">
        <v>0</v>
      </c>
      <c r="AO15">
        <v>2</v>
      </c>
      <c r="AP15">
        <v>5</v>
      </c>
      <c r="AQ15">
        <v>2</v>
      </c>
      <c r="AR15">
        <v>5</v>
      </c>
      <c r="AS15">
        <v>2</v>
      </c>
      <c r="AT15">
        <v>0</v>
      </c>
      <c r="AU15">
        <v>0</v>
      </c>
      <c r="AV15">
        <v>0</v>
      </c>
      <c r="AW15">
        <v>0</v>
      </c>
    </row>
    <row r="16" spans="1:49" x14ac:dyDescent="0.3">
      <c r="A16" s="48"/>
      <c r="B16" t="s">
        <v>475</v>
      </c>
      <c r="C16">
        <v>8</v>
      </c>
      <c r="D16">
        <v>8</v>
      </c>
      <c r="E16">
        <v>5</v>
      </c>
      <c r="F16">
        <v>0</v>
      </c>
      <c r="G16">
        <v>2</v>
      </c>
      <c r="H16">
        <v>8</v>
      </c>
      <c r="I16">
        <v>10</v>
      </c>
      <c r="J16">
        <v>3</v>
      </c>
      <c r="K16">
        <v>2</v>
      </c>
      <c r="L16">
        <v>2</v>
      </c>
      <c r="M16">
        <v>2</v>
      </c>
      <c r="N16">
        <v>2</v>
      </c>
      <c r="O16">
        <v>2</v>
      </c>
      <c r="P16">
        <v>2</v>
      </c>
      <c r="Q16">
        <v>2</v>
      </c>
      <c r="R16">
        <v>2</v>
      </c>
      <c r="S16">
        <v>2</v>
      </c>
      <c r="T16">
        <v>2</v>
      </c>
      <c r="U16">
        <v>2</v>
      </c>
      <c r="V16">
        <v>10</v>
      </c>
      <c r="W16">
        <v>10</v>
      </c>
      <c r="X16">
        <v>3</v>
      </c>
      <c r="Y16">
        <v>2</v>
      </c>
      <c r="Z16">
        <v>2</v>
      </c>
      <c r="AA16">
        <v>10</v>
      </c>
      <c r="AB16">
        <v>3</v>
      </c>
      <c r="AC16">
        <v>5</v>
      </c>
      <c r="AD16">
        <v>3</v>
      </c>
      <c r="AE16">
        <v>7</v>
      </c>
      <c r="AF16">
        <v>7</v>
      </c>
      <c r="AG16">
        <v>10</v>
      </c>
      <c r="AH16">
        <v>5</v>
      </c>
      <c r="AI16">
        <v>10</v>
      </c>
      <c r="AJ16">
        <v>2</v>
      </c>
      <c r="AK16">
        <v>2</v>
      </c>
      <c r="AL16">
        <v>2</v>
      </c>
      <c r="AM16">
        <v>2</v>
      </c>
      <c r="AN16">
        <v>0</v>
      </c>
      <c r="AO16">
        <v>2</v>
      </c>
      <c r="AP16">
        <v>7</v>
      </c>
      <c r="AQ16">
        <v>2</v>
      </c>
      <c r="AR16">
        <v>5</v>
      </c>
      <c r="AS16">
        <v>2</v>
      </c>
      <c r="AT16">
        <v>0</v>
      </c>
      <c r="AU16">
        <v>0</v>
      </c>
      <c r="AV16">
        <v>0</v>
      </c>
      <c r="AW16">
        <v>0</v>
      </c>
    </row>
    <row r="17" spans="1:49" x14ac:dyDescent="0.3">
      <c r="A17" s="48"/>
      <c r="B17" t="s">
        <v>476</v>
      </c>
      <c r="C17">
        <v>8</v>
      </c>
      <c r="D17">
        <v>8</v>
      </c>
      <c r="E17">
        <v>10</v>
      </c>
      <c r="F17">
        <v>2</v>
      </c>
      <c r="G17">
        <v>2</v>
      </c>
      <c r="H17">
        <v>8</v>
      </c>
      <c r="I17">
        <v>2</v>
      </c>
      <c r="J17">
        <v>7</v>
      </c>
      <c r="K17">
        <v>2</v>
      </c>
      <c r="L17">
        <v>2</v>
      </c>
      <c r="M17">
        <v>2</v>
      </c>
      <c r="N17">
        <v>2</v>
      </c>
      <c r="O17">
        <v>2</v>
      </c>
      <c r="P17">
        <v>2</v>
      </c>
      <c r="Q17">
        <v>2</v>
      </c>
      <c r="R17">
        <v>2</v>
      </c>
      <c r="S17">
        <v>2</v>
      </c>
      <c r="T17">
        <v>2</v>
      </c>
      <c r="U17">
        <v>2</v>
      </c>
      <c r="V17">
        <v>2</v>
      </c>
      <c r="W17">
        <v>10</v>
      </c>
      <c r="X17">
        <v>5</v>
      </c>
      <c r="Y17">
        <v>7</v>
      </c>
      <c r="Z17">
        <v>10</v>
      </c>
      <c r="AA17">
        <v>10</v>
      </c>
      <c r="AB17">
        <v>4</v>
      </c>
      <c r="AC17">
        <v>4</v>
      </c>
      <c r="AD17">
        <v>2</v>
      </c>
      <c r="AE17">
        <v>10</v>
      </c>
      <c r="AF17">
        <v>2</v>
      </c>
      <c r="AG17">
        <v>10</v>
      </c>
      <c r="AH17">
        <v>2</v>
      </c>
      <c r="AI17">
        <v>2</v>
      </c>
      <c r="AJ17">
        <v>2</v>
      </c>
      <c r="AK17">
        <v>2</v>
      </c>
      <c r="AL17">
        <v>2</v>
      </c>
      <c r="AM17">
        <v>7</v>
      </c>
      <c r="AN17">
        <v>2</v>
      </c>
      <c r="AO17">
        <v>2</v>
      </c>
      <c r="AP17">
        <v>7</v>
      </c>
      <c r="AQ17">
        <v>2</v>
      </c>
      <c r="AR17">
        <v>0</v>
      </c>
      <c r="AS17">
        <v>2</v>
      </c>
      <c r="AT17">
        <v>0</v>
      </c>
      <c r="AU17">
        <v>0</v>
      </c>
      <c r="AV17">
        <v>0</v>
      </c>
      <c r="AW17">
        <v>2</v>
      </c>
    </row>
    <row r="18" spans="1:49" x14ac:dyDescent="0.3">
      <c r="C18" t="s">
        <v>207</v>
      </c>
      <c r="D18" t="s">
        <v>21</v>
      </c>
      <c r="E18" t="s">
        <v>22</v>
      </c>
      <c r="F18" t="s">
        <v>23</v>
      </c>
      <c r="G18" t="s">
        <v>25</v>
      </c>
      <c r="H18" t="s">
        <v>26</v>
      </c>
      <c r="I18" t="s">
        <v>28</v>
      </c>
      <c r="J18" t="s">
        <v>29</v>
      </c>
      <c r="K18" t="s">
        <v>30</v>
      </c>
      <c r="L18" t="s">
        <v>31</v>
      </c>
      <c r="M18" t="s">
        <v>32</v>
      </c>
      <c r="N18" t="s">
        <v>33</v>
      </c>
      <c r="O18" t="s">
        <v>34</v>
      </c>
      <c r="P18" t="s">
        <v>35</v>
      </c>
      <c r="Q18" t="s">
        <v>36</v>
      </c>
      <c r="R18" t="s">
        <v>37</v>
      </c>
      <c r="S18" t="s">
        <v>38</v>
      </c>
      <c r="T18" t="s">
        <v>39</v>
      </c>
      <c r="U18" t="s">
        <v>40</v>
      </c>
      <c r="V18" t="s">
        <v>41</v>
      </c>
      <c r="W18" t="s">
        <v>42</v>
      </c>
      <c r="X18" t="s">
        <v>43</v>
      </c>
      <c r="Y18" t="s">
        <v>44</v>
      </c>
      <c r="Z18" t="s">
        <v>45</v>
      </c>
      <c r="AA18" t="s">
        <v>46</v>
      </c>
      <c r="AB18" t="s">
        <v>47</v>
      </c>
      <c r="AC18" t="s">
        <v>48</v>
      </c>
      <c r="AD18" t="s">
        <v>49</v>
      </c>
      <c r="AE18" t="s">
        <v>211</v>
      </c>
      <c r="AF18" t="s">
        <v>51</v>
      </c>
      <c r="AG18" t="s">
        <v>52</v>
      </c>
      <c r="AH18" t="s">
        <v>53</v>
      </c>
      <c r="AI18" t="s">
        <v>433</v>
      </c>
      <c r="AJ18" t="s">
        <v>56</v>
      </c>
      <c r="AK18" t="s">
        <v>57</v>
      </c>
      <c r="AL18" t="s">
        <v>58</v>
      </c>
      <c r="AM18" t="s">
        <v>59</v>
      </c>
      <c r="AN18" t="s">
        <v>61</v>
      </c>
      <c r="AO18" t="s">
        <v>62</v>
      </c>
      <c r="AP18" t="s">
        <v>64</v>
      </c>
      <c r="AQ18" t="s">
        <v>65</v>
      </c>
      <c r="AR18" t="s">
        <v>67</v>
      </c>
      <c r="AS18" t="s">
        <v>68</v>
      </c>
      <c r="AT18" t="s">
        <v>55</v>
      </c>
      <c r="AU18" t="s">
        <v>434</v>
      </c>
      <c r="AV18" t="s">
        <v>63</v>
      </c>
      <c r="AW18" t="s">
        <v>66</v>
      </c>
    </row>
  </sheetData>
  <mergeCells count="2">
    <mergeCell ref="A2:A10"/>
    <mergeCell ref="A11:A1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50"/>
  <sheetViews>
    <sheetView workbookViewId="0">
      <selection activeCell="B53" sqref="B53"/>
    </sheetView>
  </sheetViews>
  <sheetFormatPr defaultRowHeight="14.4" x14ac:dyDescent="0.3"/>
  <cols>
    <col min="1" max="1" width="18" bestFit="1" customWidth="1"/>
    <col min="2" max="2" width="18.33203125" style="14" bestFit="1" customWidth="1"/>
    <col min="3" max="3" width="14.33203125" style="2" bestFit="1" customWidth="1"/>
    <col min="4" max="4" width="20.88671875" bestFit="1" customWidth="1"/>
  </cols>
  <sheetData>
    <row r="1" spans="1:19" x14ac:dyDescent="0.3">
      <c r="A1" s="1" t="s">
        <v>477</v>
      </c>
      <c r="B1" s="40" t="s">
        <v>478</v>
      </c>
      <c r="C1" s="20" t="s">
        <v>479</v>
      </c>
      <c r="D1" s="20" t="s">
        <v>480</v>
      </c>
      <c r="R1" t="s">
        <v>19</v>
      </c>
      <c r="S1" t="s">
        <v>481</v>
      </c>
    </row>
    <row r="2" spans="1:19" x14ac:dyDescent="0.3">
      <c r="A2" t="s">
        <v>125</v>
      </c>
      <c r="B2" s="14">
        <v>14</v>
      </c>
      <c r="C2" s="2" t="s">
        <v>18</v>
      </c>
      <c r="D2" t="str">
        <f t="shared" ref="D2:D33" si="0">IF(ISBLANK(C2),"",VLOOKUP(C2,$R$1:$S$9,2,FALSE))</f>
        <v>Full-Back</v>
      </c>
      <c r="R2" t="s">
        <v>18</v>
      </c>
      <c r="S2" t="s">
        <v>482</v>
      </c>
    </row>
    <row r="3" spans="1:19" x14ac:dyDescent="0.3">
      <c r="A3" t="s">
        <v>158</v>
      </c>
      <c r="B3" s="14">
        <v>16</v>
      </c>
      <c r="C3" s="2" t="s">
        <v>17</v>
      </c>
      <c r="D3" t="str">
        <f t="shared" si="0"/>
        <v>Ball-playing Centre-Back</v>
      </c>
      <c r="R3" t="s">
        <v>17</v>
      </c>
      <c r="S3" t="s">
        <v>483</v>
      </c>
    </row>
    <row r="4" spans="1:19" x14ac:dyDescent="0.3">
      <c r="A4" t="s">
        <v>146</v>
      </c>
      <c r="B4" s="14">
        <v>16</v>
      </c>
      <c r="C4" s="2" t="s">
        <v>16</v>
      </c>
      <c r="D4" t="str">
        <f t="shared" si="0"/>
        <v>Full-Back</v>
      </c>
      <c r="R4" t="s">
        <v>16</v>
      </c>
      <c r="S4" t="s">
        <v>482</v>
      </c>
    </row>
    <row r="5" spans="1:19" x14ac:dyDescent="0.3">
      <c r="A5" t="s">
        <v>96</v>
      </c>
      <c r="B5" s="14">
        <v>16</v>
      </c>
      <c r="C5" s="2" t="s">
        <v>15</v>
      </c>
      <c r="D5" t="str">
        <f t="shared" si="0"/>
        <v>Defensive Midfielder</v>
      </c>
      <c r="R5" t="s">
        <v>15</v>
      </c>
      <c r="S5" t="s">
        <v>217</v>
      </c>
    </row>
    <row r="6" spans="1:19" x14ac:dyDescent="0.3">
      <c r="A6" t="s">
        <v>85</v>
      </c>
      <c r="B6" s="14">
        <v>16</v>
      </c>
      <c r="C6" s="2" t="s">
        <v>14</v>
      </c>
      <c r="D6" t="str">
        <f t="shared" si="0"/>
        <v>Winger</v>
      </c>
      <c r="R6" t="s">
        <v>14</v>
      </c>
      <c r="S6" t="s">
        <v>484</v>
      </c>
    </row>
    <row r="7" spans="1:19" x14ac:dyDescent="0.3">
      <c r="A7" t="s">
        <v>104</v>
      </c>
      <c r="B7" s="14">
        <v>16</v>
      </c>
      <c r="C7" s="2" t="s">
        <v>13</v>
      </c>
      <c r="D7" t="str">
        <f t="shared" si="0"/>
        <v>Attacking Midfielder</v>
      </c>
      <c r="R7" t="s">
        <v>13</v>
      </c>
      <c r="S7" t="s">
        <v>485</v>
      </c>
    </row>
    <row r="8" spans="1:19" x14ac:dyDescent="0.3">
      <c r="A8" t="s">
        <v>107</v>
      </c>
      <c r="B8" s="14">
        <v>16</v>
      </c>
      <c r="C8" s="2" t="s">
        <v>12</v>
      </c>
      <c r="D8" t="str">
        <f t="shared" si="0"/>
        <v>Inside Forward</v>
      </c>
      <c r="R8" t="s">
        <v>12</v>
      </c>
      <c r="S8" t="s">
        <v>486</v>
      </c>
    </row>
    <row r="9" spans="1:19" x14ac:dyDescent="0.3">
      <c r="A9" t="s">
        <v>142</v>
      </c>
      <c r="B9" s="14">
        <v>16</v>
      </c>
      <c r="C9" s="2" t="s">
        <v>441</v>
      </c>
      <c r="D9" t="str">
        <f t="shared" si="0"/>
        <v>Centre-Forward</v>
      </c>
      <c r="R9" t="s">
        <v>441</v>
      </c>
      <c r="S9" t="s">
        <v>487</v>
      </c>
    </row>
    <row r="10" spans="1:19" x14ac:dyDescent="0.3">
      <c r="A10" t="s">
        <v>114</v>
      </c>
      <c r="B10" s="14">
        <v>20</v>
      </c>
      <c r="C10" s="2" t="s">
        <v>17</v>
      </c>
      <c r="D10" t="str">
        <f t="shared" si="0"/>
        <v>Ball-playing Centre-Back</v>
      </c>
    </row>
    <row r="11" spans="1:19" x14ac:dyDescent="0.3">
      <c r="A11" t="s">
        <v>488</v>
      </c>
      <c r="B11" s="14">
        <v>20</v>
      </c>
      <c r="C11" s="2" t="s">
        <v>16</v>
      </c>
      <c r="D11" t="str">
        <f t="shared" si="0"/>
        <v>Full-Back</v>
      </c>
    </row>
    <row r="12" spans="1:19" x14ac:dyDescent="0.3">
      <c r="A12" t="s">
        <v>134</v>
      </c>
      <c r="B12" s="14">
        <v>18</v>
      </c>
      <c r="C12" s="2" t="s">
        <v>15</v>
      </c>
      <c r="D12" t="str">
        <f t="shared" si="0"/>
        <v>Defensive Midfielder</v>
      </c>
    </row>
    <row r="13" spans="1:19" x14ac:dyDescent="0.3">
      <c r="A13" t="s">
        <v>129</v>
      </c>
      <c r="B13" s="14">
        <v>19</v>
      </c>
      <c r="C13" s="2" t="s">
        <v>14</v>
      </c>
      <c r="D13" t="str">
        <f t="shared" si="0"/>
        <v>Winger</v>
      </c>
    </row>
    <row r="14" spans="1:19" x14ac:dyDescent="0.3">
      <c r="A14" t="s">
        <v>156</v>
      </c>
      <c r="B14" s="14">
        <v>20</v>
      </c>
      <c r="C14" s="2" t="s">
        <v>441</v>
      </c>
      <c r="D14" t="str">
        <f t="shared" si="0"/>
        <v>Centre-Forward</v>
      </c>
    </row>
    <row r="15" spans="1:19" x14ac:dyDescent="0.3">
      <c r="D15" t="str">
        <f t="shared" si="0"/>
        <v/>
      </c>
    </row>
    <row r="16" spans="1:19" x14ac:dyDescent="0.3">
      <c r="D16" t="str">
        <f t="shared" si="0"/>
        <v/>
      </c>
    </row>
    <row r="17" spans="4:4" x14ac:dyDescent="0.3">
      <c r="D17" t="str">
        <f t="shared" si="0"/>
        <v/>
      </c>
    </row>
    <row r="18" spans="4:4" x14ac:dyDescent="0.3">
      <c r="D18" t="str">
        <f t="shared" si="0"/>
        <v/>
      </c>
    </row>
    <row r="19" spans="4:4" x14ac:dyDescent="0.3">
      <c r="D19" t="str">
        <f t="shared" si="0"/>
        <v/>
      </c>
    </row>
    <row r="20" spans="4:4" x14ac:dyDescent="0.3">
      <c r="D20" t="str">
        <f t="shared" si="0"/>
        <v/>
      </c>
    </row>
    <row r="21" spans="4:4" x14ac:dyDescent="0.3">
      <c r="D21" t="str">
        <f t="shared" si="0"/>
        <v/>
      </c>
    </row>
    <row r="22" spans="4:4" x14ac:dyDescent="0.3">
      <c r="D22" t="str">
        <f t="shared" si="0"/>
        <v/>
      </c>
    </row>
    <row r="23" spans="4:4" x14ac:dyDescent="0.3">
      <c r="D23" t="str">
        <f t="shared" si="0"/>
        <v/>
      </c>
    </row>
    <row r="24" spans="4:4" x14ac:dyDescent="0.3">
      <c r="D24" t="str">
        <f t="shared" si="0"/>
        <v/>
      </c>
    </row>
    <row r="25" spans="4:4" x14ac:dyDescent="0.3">
      <c r="D25" t="str">
        <f t="shared" si="0"/>
        <v/>
      </c>
    </row>
    <row r="26" spans="4:4" x14ac:dyDescent="0.3">
      <c r="D26" t="str">
        <f t="shared" si="0"/>
        <v/>
      </c>
    </row>
    <row r="27" spans="4:4" x14ac:dyDescent="0.3">
      <c r="D27" t="str">
        <f t="shared" si="0"/>
        <v/>
      </c>
    </row>
    <row r="28" spans="4:4" x14ac:dyDescent="0.3">
      <c r="D28" t="str">
        <f t="shared" si="0"/>
        <v/>
      </c>
    </row>
    <row r="29" spans="4:4" x14ac:dyDescent="0.3">
      <c r="D29" t="str">
        <f t="shared" si="0"/>
        <v/>
      </c>
    </row>
    <row r="30" spans="4:4" x14ac:dyDescent="0.3">
      <c r="D30" t="str">
        <f t="shared" si="0"/>
        <v/>
      </c>
    </row>
    <row r="31" spans="4:4" x14ac:dyDescent="0.3">
      <c r="D31" t="str">
        <f t="shared" si="0"/>
        <v/>
      </c>
    </row>
    <row r="32" spans="4:4" x14ac:dyDescent="0.3">
      <c r="D32" t="str">
        <f t="shared" si="0"/>
        <v/>
      </c>
    </row>
    <row r="33" spans="4:4" x14ac:dyDescent="0.3">
      <c r="D33" t="str">
        <f t="shared" si="0"/>
        <v/>
      </c>
    </row>
    <row r="34" spans="4:4" x14ac:dyDescent="0.3">
      <c r="D34" t="str">
        <f t="shared" ref="D34:D65" si="1">IF(ISBLANK(C34),"",VLOOKUP(C34,$R$1:$S$9,2,FALSE))</f>
        <v/>
      </c>
    </row>
    <row r="35" spans="4:4" x14ac:dyDescent="0.3">
      <c r="D35" t="str">
        <f t="shared" si="1"/>
        <v/>
      </c>
    </row>
    <row r="36" spans="4:4" x14ac:dyDescent="0.3">
      <c r="D36" t="str">
        <f t="shared" si="1"/>
        <v/>
      </c>
    </row>
    <row r="37" spans="4:4" x14ac:dyDescent="0.3">
      <c r="D37" t="str">
        <f t="shared" si="1"/>
        <v/>
      </c>
    </row>
    <row r="38" spans="4:4" x14ac:dyDescent="0.3">
      <c r="D38" t="str">
        <f t="shared" si="1"/>
        <v/>
      </c>
    </row>
    <row r="39" spans="4:4" x14ac:dyDescent="0.3">
      <c r="D39" t="str">
        <f t="shared" si="1"/>
        <v/>
      </c>
    </row>
    <row r="40" spans="4:4" x14ac:dyDescent="0.3">
      <c r="D40" t="str">
        <f t="shared" si="1"/>
        <v/>
      </c>
    </row>
    <row r="41" spans="4:4" x14ac:dyDescent="0.3">
      <c r="D41" t="str">
        <f t="shared" si="1"/>
        <v/>
      </c>
    </row>
    <row r="42" spans="4:4" x14ac:dyDescent="0.3">
      <c r="D42" t="str">
        <f t="shared" si="1"/>
        <v/>
      </c>
    </row>
    <row r="43" spans="4:4" x14ac:dyDescent="0.3">
      <c r="D43" t="str">
        <f t="shared" si="1"/>
        <v/>
      </c>
    </row>
    <row r="44" spans="4:4" x14ac:dyDescent="0.3">
      <c r="D44" t="str">
        <f t="shared" si="1"/>
        <v/>
      </c>
    </row>
    <row r="45" spans="4:4" x14ac:dyDescent="0.3">
      <c r="D45" t="str">
        <f t="shared" si="1"/>
        <v/>
      </c>
    </row>
    <row r="46" spans="4:4" x14ac:dyDescent="0.3">
      <c r="D46" t="str">
        <f t="shared" si="1"/>
        <v/>
      </c>
    </row>
    <row r="47" spans="4:4" x14ac:dyDescent="0.3">
      <c r="D47" t="str">
        <f t="shared" si="1"/>
        <v/>
      </c>
    </row>
    <row r="48" spans="4:4" x14ac:dyDescent="0.3">
      <c r="D48" t="str">
        <f t="shared" si="1"/>
        <v/>
      </c>
    </row>
    <row r="49" spans="4:4" x14ac:dyDescent="0.3">
      <c r="D49" t="str">
        <f t="shared" si="1"/>
        <v/>
      </c>
    </row>
    <row r="50" spans="4:4" x14ac:dyDescent="0.3">
      <c r="D50" t="str">
        <f t="shared" si="1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Paste</vt:lpstr>
      <vt:lpstr>Paste Full</vt:lpstr>
      <vt:lpstr>Display</vt:lpstr>
      <vt:lpstr>Attributes</vt:lpstr>
      <vt:lpstr>Planner</vt:lpstr>
      <vt:lpstr>AttWeights</vt:lpstr>
      <vt:lpstr>Player Training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Mason, Doug</dc:creator>
  <cp:lastModifiedBy>Doug Mason</cp:lastModifiedBy>
  <dcterms:created xsi:type="dcterms:W3CDTF">2025-11-14T17:22:38Z</dcterms:created>
  <dcterms:modified xsi:type="dcterms:W3CDTF">2025-12-16T20:16:10Z</dcterms:modified>
</cp:coreProperties>
</file>